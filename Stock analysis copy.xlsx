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dh\Downloads\"/>
    </mc:Choice>
  </mc:AlternateContent>
  <xr:revisionPtr revIDLastSave="0" documentId="8_{9DE1D566-A5F2-4548-B233-4C2E020EACD1}" xr6:coauthVersionLast="47" xr6:coauthVersionMax="47" xr10:uidLastSave="{00000000-0000-0000-0000-000000000000}"/>
  <bookViews>
    <workbookView xWindow="-108" yWindow="-108" windowWidth="23256" windowHeight="14616" xr2:uid="{66653B5C-A6D3-43FE-B9D6-8D988DCD1F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R2" i="1"/>
  <c r="Q2" i="1"/>
  <c r="P2" i="1"/>
  <c r="O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D3" i="1"/>
  <c r="H3" i="1" s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I3" i="1" s="1"/>
  <c r="R3" i="1" s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G3" i="1" s="1"/>
  <c r="P3" i="1" s="1"/>
  <c r="A2" i="1"/>
  <c r="Q3" i="1" l="1"/>
  <c r="I1131" i="1"/>
  <c r="I799" i="1"/>
  <c r="I831" i="1"/>
  <c r="F1002" i="1"/>
  <c r="H192" i="1"/>
  <c r="H102" i="1"/>
  <c r="H126" i="1"/>
  <c r="H334" i="1"/>
  <c r="H414" i="1"/>
  <c r="H702" i="1"/>
  <c r="H838" i="1"/>
  <c r="H950" i="1"/>
  <c r="H958" i="1"/>
  <c r="H1022" i="1"/>
  <c r="H1054" i="1"/>
  <c r="H1078" i="1"/>
  <c r="H1110" i="1"/>
  <c r="H1118" i="1"/>
  <c r="H1150" i="1"/>
  <c r="H1174" i="1"/>
  <c r="H1182" i="1"/>
  <c r="H1206" i="1"/>
  <c r="H1214" i="1"/>
  <c r="H1246" i="1"/>
  <c r="I8" i="1"/>
  <c r="I16" i="1"/>
  <c r="I24" i="1"/>
  <c r="I32" i="1"/>
  <c r="I40" i="1"/>
  <c r="I48" i="1"/>
  <c r="I56" i="1"/>
  <c r="I64" i="1"/>
  <c r="I72" i="1"/>
  <c r="I80" i="1"/>
  <c r="I88" i="1"/>
  <c r="I96" i="1"/>
  <c r="I104" i="1"/>
  <c r="I112" i="1"/>
  <c r="I120" i="1"/>
  <c r="I128" i="1"/>
  <c r="I136" i="1"/>
  <c r="I144" i="1"/>
  <c r="I152" i="1"/>
  <c r="I160" i="1"/>
  <c r="I168" i="1"/>
  <c r="I176" i="1"/>
  <c r="I184" i="1"/>
  <c r="I192" i="1"/>
  <c r="I200" i="1"/>
  <c r="I208" i="1"/>
  <c r="I216" i="1"/>
  <c r="I224" i="1"/>
  <c r="I232" i="1"/>
  <c r="I240" i="1"/>
  <c r="I248" i="1"/>
  <c r="I256" i="1"/>
  <c r="I272" i="1"/>
  <c r="I280" i="1"/>
  <c r="I288" i="1"/>
  <c r="I296" i="1"/>
  <c r="I304" i="1"/>
  <c r="I312" i="1"/>
  <c r="I320" i="1"/>
  <c r="I328" i="1"/>
  <c r="I336" i="1"/>
  <c r="I344" i="1"/>
  <c r="I352" i="1"/>
  <c r="I360" i="1"/>
  <c r="I368" i="1"/>
  <c r="I376" i="1"/>
  <c r="I384" i="1"/>
  <c r="I392" i="1"/>
  <c r="I400" i="1"/>
  <c r="I408" i="1"/>
  <c r="I416" i="1"/>
  <c r="I424" i="1"/>
  <c r="I432" i="1"/>
  <c r="I440" i="1"/>
  <c r="I448" i="1"/>
  <c r="I456" i="1"/>
  <c r="I464" i="1"/>
  <c r="I472" i="1"/>
  <c r="I480" i="1"/>
  <c r="I488" i="1"/>
  <c r="I496" i="1"/>
  <c r="I504" i="1"/>
  <c r="I512" i="1"/>
  <c r="I520" i="1"/>
  <c r="I528" i="1"/>
  <c r="I536" i="1"/>
  <c r="I544" i="1"/>
  <c r="I560" i="1"/>
  <c r="I568" i="1"/>
  <c r="I576" i="1"/>
  <c r="I584" i="1"/>
  <c r="I600" i="1"/>
  <c r="I608" i="1"/>
  <c r="I616" i="1"/>
  <c r="I624" i="1"/>
  <c r="I632" i="1"/>
  <c r="I640" i="1"/>
  <c r="I648" i="1"/>
  <c r="I656" i="1"/>
  <c r="I664" i="1"/>
  <c r="I672" i="1"/>
  <c r="I680" i="1"/>
  <c r="I688" i="1"/>
  <c r="I696" i="1"/>
  <c r="I704" i="1"/>
  <c r="I712" i="1"/>
  <c r="I720" i="1"/>
  <c r="I728" i="1"/>
  <c r="I736" i="1"/>
  <c r="I744" i="1"/>
  <c r="I752" i="1"/>
  <c r="I760" i="1"/>
  <c r="I768" i="1"/>
  <c r="I776" i="1"/>
  <c r="I784" i="1"/>
  <c r="I792" i="1"/>
  <c r="I800" i="1"/>
  <c r="I808" i="1"/>
  <c r="I816" i="1"/>
  <c r="I824" i="1"/>
  <c r="I832" i="1"/>
  <c r="I840" i="1"/>
  <c r="I848" i="1"/>
  <c r="I856" i="1"/>
  <c r="I864" i="1"/>
  <c r="I872" i="1"/>
  <c r="I880" i="1"/>
  <c r="I888" i="1"/>
  <c r="I904" i="1"/>
  <c r="I912" i="1"/>
  <c r="I920" i="1"/>
  <c r="I928" i="1"/>
  <c r="I936" i="1"/>
  <c r="I944" i="1"/>
  <c r="I952" i="1"/>
  <c r="I960" i="1"/>
  <c r="I968" i="1"/>
  <c r="I976" i="1"/>
  <c r="I984" i="1"/>
  <c r="I992" i="1"/>
  <c r="I1000" i="1"/>
  <c r="I1008" i="1"/>
  <c r="I1016" i="1"/>
  <c r="I1024" i="1"/>
  <c r="I554" i="1"/>
  <c r="I690" i="1"/>
  <c r="I778" i="1"/>
  <c r="I1242" i="1"/>
  <c r="I1032" i="1"/>
  <c r="I1040" i="1"/>
  <c r="I1048" i="1"/>
  <c r="I1056" i="1"/>
  <c r="I1064" i="1"/>
  <c r="I1072" i="1"/>
  <c r="I1080" i="1"/>
  <c r="I1088" i="1"/>
  <c r="I1096" i="1"/>
  <c r="I1104" i="1"/>
  <c r="I1112" i="1"/>
  <c r="I1120" i="1"/>
  <c r="I1128" i="1"/>
  <c r="I1136" i="1"/>
  <c r="I1144" i="1"/>
  <c r="I1152" i="1"/>
  <c r="I1160" i="1"/>
  <c r="I1168" i="1"/>
  <c r="I1176" i="1"/>
  <c r="I1184" i="1"/>
  <c r="I1192" i="1"/>
  <c r="I1200" i="1"/>
  <c r="I1208" i="1"/>
  <c r="I1216" i="1"/>
  <c r="I1224" i="1"/>
  <c r="I1232" i="1"/>
  <c r="I1240" i="1"/>
  <c r="I1248" i="1"/>
  <c r="I732" i="1"/>
  <c r="I756" i="1"/>
  <c r="I780" i="1"/>
  <c r="I804" i="1"/>
  <c r="I828" i="1"/>
  <c r="I860" i="1"/>
  <c r="I892" i="1"/>
  <c r="I916" i="1"/>
  <c r="I940" i="1"/>
  <c r="I964" i="1"/>
  <c r="I988" i="1"/>
  <c r="I1012" i="1"/>
  <c r="I1036" i="1"/>
  <c r="I1052" i="1"/>
  <c r="I1084" i="1"/>
  <c r="I1108" i="1"/>
  <c r="I1132" i="1"/>
  <c r="I1156" i="1"/>
  <c r="I1172" i="1"/>
  <c r="I1252" i="1"/>
  <c r="I1018" i="1"/>
  <c r="I1090" i="1"/>
  <c r="I740" i="1"/>
  <c r="I764" i="1"/>
  <c r="I788" i="1"/>
  <c r="I812" i="1"/>
  <c r="I836" i="1"/>
  <c r="I852" i="1"/>
  <c r="I876" i="1"/>
  <c r="I900" i="1"/>
  <c r="I924" i="1"/>
  <c r="I956" i="1"/>
  <c r="I1004" i="1"/>
  <c r="I1028" i="1"/>
  <c r="I1060" i="1"/>
  <c r="I1076" i="1"/>
  <c r="I1100" i="1"/>
  <c r="I1116" i="1"/>
  <c r="I1140" i="1"/>
  <c r="I1164" i="1"/>
  <c r="I1188" i="1"/>
  <c r="I1196" i="1"/>
  <c r="I1204" i="1"/>
  <c r="I1212" i="1"/>
  <c r="I1220" i="1"/>
  <c r="I1228" i="1"/>
  <c r="I1236" i="1"/>
  <c r="I1010" i="1"/>
  <c r="I748" i="1"/>
  <c r="I772" i="1"/>
  <c r="I796" i="1"/>
  <c r="I820" i="1"/>
  <c r="I844" i="1"/>
  <c r="I868" i="1"/>
  <c r="I884" i="1"/>
  <c r="I908" i="1"/>
  <c r="I932" i="1"/>
  <c r="I948" i="1"/>
  <c r="I980" i="1"/>
  <c r="I996" i="1"/>
  <c r="I1020" i="1"/>
  <c r="I1044" i="1"/>
  <c r="I1068" i="1"/>
  <c r="I1092" i="1"/>
  <c r="I1124" i="1"/>
  <c r="I1148" i="1"/>
  <c r="I1180" i="1"/>
  <c r="I1244" i="1"/>
  <c r="I905" i="1"/>
  <c r="I929" i="1"/>
  <c r="I953" i="1"/>
  <c r="I993" i="1"/>
  <c r="I1017" i="1"/>
  <c r="I1041" i="1"/>
  <c r="I1065" i="1"/>
  <c r="I1089" i="1"/>
  <c r="I1113" i="1"/>
  <c r="I1129" i="1"/>
  <c r="I1153" i="1"/>
  <c r="I1193" i="1"/>
  <c r="I1217" i="1"/>
  <c r="I1050" i="1"/>
  <c r="I1154" i="1"/>
  <c r="I1218" i="1"/>
  <c r="G870" i="1"/>
  <c r="G1206" i="1"/>
  <c r="H33" i="1"/>
  <c r="H97" i="1"/>
  <c r="H1249" i="1"/>
  <c r="I19" i="1"/>
  <c r="I43" i="1"/>
  <c r="I67" i="1"/>
  <c r="I91" i="1"/>
  <c r="I115" i="1"/>
  <c r="I139" i="1"/>
  <c r="I163" i="1"/>
  <c r="I187" i="1"/>
  <c r="I211" i="1"/>
  <c r="I235" i="1"/>
  <c r="I259" i="1"/>
  <c r="I283" i="1"/>
  <c r="I315" i="1"/>
  <c r="I339" i="1"/>
  <c r="I363" i="1"/>
  <c r="I387" i="1"/>
  <c r="I411" i="1"/>
  <c r="I443" i="1"/>
  <c r="I499" i="1"/>
  <c r="I1130" i="1"/>
  <c r="I913" i="1"/>
  <c r="I937" i="1"/>
  <c r="I969" i="1"/>
  <c r="I985" i="1"/>
  <c r="I1009" i="1"/>
  <c r="I1033" i="1"/>
  <c r="I1057" i="1"/>
  <c r="I1081" i="1"/>
  <c r="I1105" i="1"/>
  <c r="I1137" i="1"/>
  <c r="I1161" i="1"/>
  <c r="I1185" i="1"/>
  <c r="I1209" i="1"/>
  <c r="I1241" i="1"/>
  <c r="I450" i="1"/>
  <c r="I1138" i="1"/>
  <c r="I1250" i="1"/>
  <c r="G998" i="1"/>
  <c r="H9" i="1"/>
  <c r="H81" i="1"/>
  <c r="I11" i="1"/>
  <c r="I35" i="1"/>
  <c r="I59" i="1"/>
  <c r="I83" i="1"/>
  <c r="I107" i="1"/>
  <c r="I131" i="1"/>
  <c r="I155" i="1"/>
  <c r="I179" i="1"/>
  <c r="I203" i="1"/>
  <c r="I227" i="1"/>
  <c r="I251" i="1"/>
  <c r="I275" i="1"/>
  <c r="I307" i="1"/>
  <c r="I331" i="1"/>
  <c r="I347" i="1"/>
  <c r="I371" i="1"/>
  <c r="I395" i="1"/>
  <c r="I427" i="1"/>
  <c r="I451" i="1"/>
  <c r="I483" i="1"/>
  <c r="I164" i="1"/>
  <c r="I284" i="1"/>
  <c r="H4" i="1"/>
  <c r="I887" i="1"/>
  <c r="I921" i="1"/>
  <c r="I945" i="1"/>
  <c r="I961" i="1"/>
  <c r="I977" i="1"/>
  <c r="I1001" i="1"/>
  <c r="I1025" i="1"/>
  <c r="I1049" i="1"/>
  <c r="I1073" i="1"/>
  <c r="I1097" i="1"/>
  <c r="I1121" i="1"/>
  <c r="I1145" i="1"/>
  <c r="I1169" i="1"/>
  <c r="I1177" i="1"/>
  <c r="I1201" i="1"/>
  <c r="I1225" i="1"/>
  <c r="I1233" i="1"/>
  <c r="I1249" i="1"/>
  <c r="I1002" i="1"/>
  <c r="I1058" i="1"/>
  <c r="I1146" i="1"/>
  <c r="I1186" i="1"/>
  <c r="I1210" i="1"/>
  <c r="G782" i="1"/>
  <c r="G862" i="1"/>
  <c r="G1062" i="1"/>
  <c r="H17" i="1"/>
  <c r="H89" i="1"/>
  <c r="I27" i="1"/>
  <c r="I51" i="1"/>
  <c r="I75" i="1"/>
  <c r="I99" i="1"/>
  <c r="I123" i="1"/>
  <c r="I147" i="1"/>
  <c r="I171" i="1"/>
  <c r="I195" i="1"/>
  <c r="I219" i="1"/>
  <c r="I243" i="1"/>
  <c r="I267" i="1"/>
  <c r="I291" i="1"/>
  <c r="I299" i="1"/>
  <c r="I323" i="1"/>
  <c r="I355" i="1"/>
  <c r="I379" i="1"/>
  <c r="I403" i="1"/>
  <c r="I419" i="1"/>
  <c r="I435" i="1"/>
  <c r="I459" i="1"/>
  <c r="I467" i="1"/>
  <c r="I475" i="1"/>
  <c r="I491" i="1"/>
  <c r="I507" i="1"/>
  <c r="I515" i="1"/>
  <c r="I523" i="1"/>
  <c r="I100" i="1"/>
  <c r="I703" i="1"/>
  <c r="I531" i="1"/>
  <c r="I539" i="1"/>
  <c r="I547" i="1"/>
  <c r="I555" i="1"/>
  <c r="I563" i="1"/>
  <c r="I571" i="1"/>
  <c r="I579" i="1"/>
  <c r="I587" i="1"/>
  <c r="I595" i="1"/>
  <c r="I603" i="1"/>
  <c r="I611" i="1"/>
  <c r="I619" i="1"/>
  <c r="I627" i="1"/>
  <c r="I635" i="1"/>
  <c r="I643" i="1"/>
  <c r="I651" i="1"/>
  <c r="I659" i="1"/>
  <c r="I667" i="1"/>
  <c r="I675" i="1"/>
  <c r="I683" i="1"/>
  <c r="I691" i="1"/>
  <c r="I699" i="1"/>
  <c r="I707" i="1"/>
  <c r="I715" i="1"/>
  <c r="I723" i="1"/>
  <c r="I731" i="1"/>
  <c r="I739" i="1"/>
  <c r="I747" i="1"/>
  <c r="I755" i="1"/>
  <c r="I763" i="1"/>
  <c r="I771" i="1"/>
  <c r="I779" i="1"/>
  <c r="I787" i="1"/>
  <c r="I795" i="1"/>
  <c r="I803" i="1"/>
  <c r="I811" i="1"/>
  <c r="I819" i="1"/>
  <c r="I827" i="1"/>
  <c r="I835" i="1"/>
  <c r="I843" i="1"/>
  <c r="I851" i="1"/>
  <c r="I859" i="1"/>
  <c r="I867" i="1"/>
  <c r="I875" i="1"/>
  <c r="I899" i="1"/>
  <c r="I931" i="1"/>
  <c r="I939" i="1"/>
  <c r="I947" i="1"/>
  <c r="I955" i="1"/>
  <c r="I971" i="1"/>
  <c r="I979" i="1"/>
  <c r="I987" i="1"/>
  <c r="I995" i="1"/>
  <c r="I1003" i="1"/>
  <c r="I1011" i="1"/>
  <c r="I1019" i="1"/>
  <c r="I1027" i="1"/>
  <c r="I1035" i="1"/>
  <c r="I1043" i="1"/>
  <c r="I1051" i="1"/>
  <c r="I1059" i="1"/>
  <c r="I1067" i="1"/>
  <c r="I1075" i="1"/>
  <c r="I1083" i="1"/>
  <c r="I1099" i="1"/>
  <c r="I1107" i="1"/>
  <c r="I1115" i="1"/>
  <c r="I1123" i="1"/>
  <c r="I1139" i="1"/>
  <c r="I1147" i="1"/>
  <c r="I1155" i="1"/>
  <c r="I1163" i="1"/>
  <c r="I1171" i="1"/>
  <c r="I1179" i="1"/>
  <c r="I1187" i="1"/>
  <c r="I1195" i="1"/>
  <c r="I1203" i="1"/>
  <c r="I1211" i="1"/>
  <c r="I1219" i="1"/>
  <c r="I1227" i="1"/>
  <c r="I1235" i="1"/>
  <c r="I1243" i="1"/>
  <c r="I1251" i="1"/>
  <c r="I428" i="1"/>
  <c r="I492" i="1"/>
  <c r="I532" i="1"/>
  <c r="I596" i="1"/>
  <c r="I612" i="1"/>
  <c r="I692" i="1"/>
  <c r="I972" i="1"/>
  <c r="H179" i="1"/>
  <c r="H267" i="1"/>
  <c r="H331" i="1"/>
  <c r="H619" i="1"/>
  <c r="I1181" i="1"/>
  <c r="I1066" i="1"/>
  <c r="I962" i="1"/>
  <c r="H259" i="1"/>
  <c r="H323" i="1"/>
  <c r="H435" i="1"/>
  <c r="H515" i="1"/>
  <c r="H675" i="1"/>
  <c r="H715" i="1"/>
  <c r="H763" i="1"/>
  <c r="H803" i="1"/>
  <c r="H843" i="1"/>
  <c r="H907" i="1"/>
  <c r="H939" i="1"/>
  <c r="H1091" i="1"/>
  <c r="H1115" i="1"/>
  <c r="H1123" i="1"/>
  <c r="H1211" i="1"/>
  <c r="H1251" i="1"/>
  <c r="I13" i="1"/>
  <c r="I21" i="1"/>
  <c r="I37" i="1"/>
  <c r="I53" i="1"/>
  <c r="I77" i="1"/>
  <c r="I93" i="1"/>
  <c r="I101" i="1"/>
  <c r="I117" i="1"/>
  <c r="I133" i="1"/>
  <c r="I149" i="1"/>
  <c r="I165" i="1"/>
  <c r="I181" i="1"/>
  <c r="I197" i="1"/>
  <c r="I213" i="1"/>
  <c r="I229" i="1"/>
  <c r="I245" i="1"/>
  <c r="I261" i="1"/>
  <c r="I277" i="1"/>
  <c r="I293" i="1"/>
  <c r="I309" i="1"/>
  <c r="I325" i="1"/>
  <c r="I341" i="1"/>
  <c r="I357" i="1"/>
  <c r="I373" i="1"/>
  <c r="I389" i="1"/>
  <c r="I405" i="1"/>
  <c r="I421" i="1"/>
  <c r="I437" i="1"/>
  <c r="I933" i="1"/>
  <c r="I1237" i="1"/>
  <c r="I42" i="1"/>
  <c r="I106" i="1"/>
  <c r="I122" i="1"/>
  <c r="I226" i="1"/>
  <c r="I434" i="1"/>
  <c r="I674" i="1"/>
  <c r="I842" i="1"/>
  <c r="I874" i="1"/>
  <c r="I882" i="1"/>
  <c r="I890" i="1"/>
  <c r="I898" i="1"/>
  <c r="I906" i="1"/>
  <c r="I914" i="1"/>
  <c r="I922" i="1"/>
  <c r="I930" i="1"/>
  <c r="I938" i="1"/>
  <c r="I946" i="1"/>
  <c r="I954" i="1"/>
  <c r="I970" i="1"/>
  <c r="I978" i="1"/>
  <c r="I986" i="1"/>
  <c r="I994" i="1"/>
  <c r="I1026" i="1"/>
  <c r="I1034" i="1"/>
  <c r="I1042" i="1"/>
  <c r="I1074" i="1"/>
  <c r="I1082" i="1"/>
  <c r="I1098" i="1"/>
  <c r="I1106" i="1"/>
  <c r="I1114" i="1"/>
  <c r="I1122" i="1"/>
  <c r="I1162" i="1"/>
  <c r="I1170" i="1"/>
  <c r="I1178" i="1"/>
  <c r="I1194" i="1"/>
  <c r="I1202" i="1"/>
  <c r="I1226" i="1"/>
  <c r="I1234" i="1"/>
  <c r="H203" i="1"/>
  <c r="H411" i="1"/>
  <c r="H523" i="1"/>
  <c r="H755" i="1"/>
  <c r="H795" i="1"/>
  <c r="H1179" i="1"/>
  <c r="H1195" i="1"/>
  <c r="I5" i="1"/>
  <c r="I29" i="1"/>
  <c r="I45" i="1"/>
  <c r="I61" i="1"/>
  <c r="I69" i="1"/>
  <c r="I85" i="1"/>
  <c r="I109" i="1"/>
  <c r="I125" i="1"/>
  <c r="I141" i="1"/>
  <c r="I157" i="1"/>
  <c r="I173" i="1"/>
  <c r="I189" i="1"/>
  <c r="I205" i="1"/>
  <c r="I221" i="1"/>
  <c r="I237" i="1"/>
  <c r="I253" i="1"/>
  <c r="I269" i="1"/>
  <c r="I285" i="1"/>
  <c r="I301" i="1"/>
  <c r="I317" i="1"/>
  <c r="I333" i="1"/>
  <c r="I349" i="1"/>
  <c r="I365" i="1"/>
  <c r="I381" i="1"/>
  <c r="I397" i="1"/>
  <c r="I413" i="1"/>
  <c r="I429" i="1"/>
  <c r="I445" i="1"/>
  <c r="H42" i="1"/>
  <c r="H66" i="1"/>
  <c r="H106" i="1"/>
  <c r="H306" i="1"/>
  <c r="H434" i="1"/>
  <c r="H570" i="1"/>
  <c r="H962" i="1"/>
  <c r="H1026" i="1"/>
  <c r="H1058" i="1"/>
  <c r="H1066" i="1"/>
  <c r="H1098" i="1"/>
  <c r="H1130" i="1"/>
  <c r="H1162" i="1"/>
  <c r="H1186" i="1"/>
  <c r="H1194" i="1"/>
  <c r="H1226" i="1"/>
  <c r="I883" i="1"/>
  <c r="I891" i="1"/>
  <c r="I907" i="1"/>
  <c r="I915" i="1"/>
  <c r="I923" i="1"/>
  <c r="I963" i="1"/>
  <c r="I1091" i="1"/>
  <c r="I941" i="1"/>
  <c r="I949" i="1"/>
  <c r="I957" i="1"/>
  <c r="I965" i="1"/>
  <c r="I973" i="1"/>
  <c r="I981" i="1"/>
  <c r="I989" i="1"/>
  <c r="I997" i="1"/>
  <c r="I1005" i="1"/>
  <c r="I1013" i="1"/>
  <c r="I1021" i="1"/>
  <c r="I1029" i="1"/>
  <c r="I1037" i="1"/>
  <c r="I1045" i="1"/>
  <c r="I1053" i="1"/>
  <c r="I1061" i="1"/>
  <c r="I1069" i="1"/>
  <c r="I1077" i="1"/>
  <c r="I1085" i="1"/>
  <c r="I1093" i="1"/>
  <c r="I1101" i="1"/>
  <c r="I1109" i="1"/>
  <c r="I1117" i="1"/>
  <c r="I1125" i="1"/>
  <c r="I1133" i="1"/>
  <c r="I1141" i="1"/>
  <c r="I1149" i="1"/>
  <c r="I1157" i="1"/>
  <c r="I1165" i="1"/>
  <c r="I1173" i="1"/>
  <c r="I1189" i="1"/>
  <c r="I1197" i="1"/>
  <c r="I1205" i="1"/>
  <c r="I1213" i="1"/>
  <c r="I1221" i="1"/>
  <c r="I1229" i="1"/>
  <c r="I1245" i="1"/>
  <c r="I1253" i="1"/>
  <c r="I461" i="1"/>
  <c r="I477" i="1"/>
  <c r="I493" i="1"/>
  <c r="I509" i="1"/>
  <c r="I525" i="1"/>
  <c r="I541" i="1"/>
  <c r="I549" i="1"/>
  <c r="I565" i="1"/>
  <c r="I581" i="1"/>
  <c r="I605" i="1"/>
  <c r="I621" i="1"/>
  <c r="I629" i="1"/>
  <c r="I645" i="1"/>
  <c r="I661" i="1"/>
  <c r="I677" i="1"/>
  <c r="I693" i="1"/>
  <c r="I709" i="1"/>
  <c r="I733" i="1"/>
  <c r="I741" i="1"/>
  <c r="I765" i="1"/>
  <c r="I781" i="1"/>
  <c r="I797" i="1"/>
  <c r="I813" i="1"/>
  <c r="I829" i="1"/>
  <c r="I845" i="1"/>
  <c r="I861" i="1"/>
  <c r="I869" i="1"/>
  <c r="I893" i="1"/>
  <c r="I909" i="1"/>
  <c r="I925" i="1"/>
  <c r="G385" i="1"/>
  <c r="G593" i="1"/>
  <c r="G617" i="1"/>
  <c r="H12" i="1"/>
  <c r="H20" i="1"/>
  <c r="H28" i="1"/>
  <c r="H36" i="1"/>
  <c r="H44" i="1"/>
  <c r="H52" i="1"/>
  <c r="H60" i="1"/>
  <c r="H68" i="1"/>
  <c r="H76" i="1"/>
  <c r="H84" i="1"/>
  <c r="H92" i="1"/>
  <c r="H100" i="1"/>
  <c r="H108" i="1"/>
  <c r="H116" i="1"/>
  <c r="H124" i="1"/>
  <c r="H132" i="1"/>
  <c r="H140" i="1"/>
  <c r="H148" i="1"/>
  <c r="H156" i="1"/>
  <c r="H164" i="1"/>
  <c r="H172" i="1"/>
  <c r="H180" i="1"/>
  <c r="H188" i="1"/>
  <c r="H196" i="1"/>
  <c r="H204" i="1"/>
  <c r="H212" i="1"/>
  <c r="H220" i="1"/>
  <c r="H228" i="1"/>
  <c r="H236" i="1"/>
  <c r="H244" i="1"/>
  <c r="H252" i="1"/>
  <c r="H260" i="1"/>
  <c r="H268" i="1"/>
  <c r="H276" i="1"/>
  <c r="H284" i="1"/>
  <c r="H292" i="1"/>
  <c r="H300" i="1"/>
  <c r="H308" i="1"/>
  <c r="H316" i="1"/>
  <c r="H324" i="1"/>
  <c r="H332" i="1"/>
  <c r="H340" i="1"/>
  <c r="H348" i="1"/>
  <c r="H356" i="1"/>
  <c r="H364" i="1"/>
  <c r="I453" i="1"/>
  <c r="I469" i="1"/>
  <c r="I485" i="1"/>
  <c r="I501" i="1"/>
  <c r="I517" i="1"/>
  <c r="I533" i="1"/>
  <c r="I557" i="1"/>
  <c r="I573" i="1"/>
  <c r="I589" i="1"/>
  <c r="I597" i="1"/>
  <c r="I613" i="1"/>
  <c r="I637" i="1"/>
  <c r="I653" i="1"/>
  <c r="I669" i="1"/>
  <c r="I685" i="1"/>
  <c r="I701" i="1"/>
  <c r="I717" i="1"/>
  <c r="I725" i="1"/>
  <c r="I749" i="1"/>
  <c r="I757" i="1"/>
  <c r="I773" i="1"/>
  <c r="I789" i="1"/>
  <c r="I805" i="1"/>
  <c r="I821" i="1"/>
  <c r="I837" i="1"/>
  <c r="I853" i="1"/>
  <c r="I877" i="1"/>
  <c r="I885" i="1"/>
  <c r="I901" i="1"/>
  <c r="I917" i="1"/>
  <c r="I1174" i="1"/>
  <c r="H372" i="1"/>
  <c r="H380" i="1"/>
  <c r="H388" i="1"/>
  <c r="H396" i="1"/>
  <c r="H404" i="1"/>
  <c r="H412" i="1"/>
  <c r="H420" i="1"/>
  <c r="H428" i="1"/>
  <c r="H436" i="1"/>
  <c r="H444" i="1"/>
  <c r="H452" i="1"/>
  <c r="H460" i="1"/>
  <c r="H468" i="1"/>
  <c r="H476" i="1"/>
  <c r="H484" i="1"/>
  <c r="H492" i="1"/>
  <c r="H500" i="1"/>
  <c r="H508" i="1"/>
  <c r="H516" i="1"/>
  <c r="H524" i="1"/>
  <c r="H532" i="1"/>
  <c r="H540" i="1"/>
  <c r="H548" i="1"/>
  <c r="H556" i="1"/>
  <c r="H564" i="1"/>
  <c r="H572" i="1"/>
  <c r="H580" i="1"/>
  <c r="H588" i="1"/>
  <c r="H596" i="1"/>
  <c r="H604" i="1"/>
  <c r="H612" i="1"/>
  <c r="H620" i="1"/>
  <c r="H628" i="1"/>
  <c r="H636" i="1"/>
  <c r="H644" i="1"/>
  <c r="H652" i="1"/>
  <c r="H660" i="1"/>
  <c r="H668" i="1"/>
  <c r="H676" i="1"/>
  <c r="H684" i="1"/>
  <c r="H692" i="1"/>
  <c r="H700" i="1"/>
  <c r="H708" i="1"/>
  <c r="H716" i="1"/>
  <c r="H724" i="1"/>
  <c r="H732" i="1"/>
  <c r="H740" i="1"/>
  <c r="H748" i="1"/>
  <c r="H756" i="1"/>
  <c r="H764" i="1"/>
  <c r="H772" i="1"/>
  <c r="H780" i="1"/>
  <c r="H788" i="1"/>
  <c r="H796" i="1"/>
  <c r="H804" i="1"/>
  <c r="H812" i="1"/>
  <c r="H820" i="1"/>
  <c r="H828" i="1"/>
  <c r="H836" i="1"/>
  <c r="H844" i="1"/>
  <c r="H852" i="1"/>
  <c r="H860" i="1"/>
  <c r="H868" i="1"/>
  <c r="H876" i="1"/>
  <c r="H884" i="1"/>
  <c r="H908" i="1"/>
  <c r="H916" i="1"/>
  <c r="H940" i="1"/>
  <c r="H948" i="1"/>
  <c r="H972" i="1"/>
  <c r="H980" i="1"/>
  <c r="H1012" i="1"/>
  <c r="I1198" i="1"/>
  <c r="I1254" i="1"/>
  <c r="H892" i="1"/>
  <c r="G395" i="1"/>
  <c r="G435" i="1"/>
  <c r="G459" i="1"/>
  <c r="G499" i="1"/>
  <c r="G539" i="1"/>
  <c r="I264" i="1"/>
  <c r="I265" i="1"/>
  <c r="I552" i="1"/>
  <c r="I553" i="1"/>
  <c r="I592" i="1"/>
  <c r="I593" i="1"/>
  <c r="I896" i="1"/>
  <c r="I897" i="1"/>
  <c r="H591" i="1"/>
  <c r="H623" i="1"/>
  <c r="H655" i="1"/>
  <c r="I169" i="1"/>
  <c r="I225" i="1"/>
  <c r="I329" i="1"/>
  <c r="I657" i="1"/>
  <c r="I705" i="1"/>
  <c r="I729" i="1"/>
  <c r="I769" i="1"/>
  <c r="I801" i="1"/>
  <c r="I873" i="1"/>
  <c r="H891" i="1"/>
  <c r="H104" i="1"/>
  <c r="H216" i="1"/>
  <c r="H224" i="1"/>
  <c r="H232" i="1"/>
  <c r="H240" i="1"/>
  <c r="H248" i="1"/>
  <c r="H256" i="1"/>
  <c r="H264" i="1"/>
  <c r="H272" i="1"/>
  <c r="H280" i="1"/>
  <c r="H288" i="1"/>
  <c r="H296" i="1"/>
  <c r="H304" i="1"/>
  <c r="H312" i="1"/>
  <c r="H320" i="1"/>
  <c r="H328" i="1"/>
  <c r="H336" i="1"/>
  <c r="H344" i="1"/>
  <c r="H352" i="1"/>
  <c r="H360" i="1"/>
  <c r="H368" i="1"/>
  <c r="H899" i="1"/>
  <c r="H947" i="1"/>
  <c r="H971" i="1"/>
  <c r="H1011" i="1"/>
  <c r="H1059" i="1"/>
  <c r="H1083" i="1"/>
  <c r="H1099" i="1"/>
  <c r="H1131" i="1"/>
  <c r="H1155" i="1"/>
  <c r="H1163" i="1"/>
  <c r="I1230" i="1"/>
  <c r="H1004" i="1"/>
  <c r="H1036" i="1"/>
  <c r="H1044" i="1"/>
  <c r="H1068" i="1"/>
  <c r="H1076" i="1"/>
  <c r="H1100" i="1"/>
  <c r="H1108" i="1"/>
  <c r="H1132" i="1"/>
  <c r="H1140" i="1"/>
  <c r="H1164" i="1"/>
  <c r="H1172" i="1"/>
  <c r="H1196" i="1"/>
  <c r="H1204" i="1"/>
  <c r="H1228" i="1"/>
  <c r="H1236" i="1"/>
  <c r="I6" i="1"/>
  <c r="I14" i="1"/>
  <c r="I22" i="1"/>
  <c r="I30" i="1"/>
  <c r="I38" i="1"/>
  <c r="I46" i="1"/>
  <c r="I54" i="1"/>
  <c r="I62" i="1"/>
  <c r="I70" i="1"/>
  <c r="I78" i="1"/>
  <c r="I86" i="1"/>
  <c r="I94" i="1"/>
  <c r="I102" i="1"/>
  <c r="I110" i="1"/>
  <c r="I118" i="1"/>
  <c r="I126" i="1"/>
  <c r="I134" i="1"/>
  <c r="I142" i="1"/>
  <c r="I150" i="1"/>
  <c r="I158" i="1"/>
  <c r="I166" i="1"/>
  <c r="I174" i="1"/>
  <c r="I182" i="1"/>
  <c r="I190" i="1"/>
  <c r="I198" i="1"/>
  <c r="I206" i="1"/>
  <c r="I214" i="1"/>
  <c r="I222" i="1"/>
  <c r="I230" i="1"/>
  <c r="I238" i="1"/>
  <c r="I246" i="1"/>
  <c r="I254" i="1"/>
  <c r="I262" i="1"/>
  <c r="I270" i="1"/>
  <c r="I278" i="1"/>
  <c r="I286" i="1"/>
  <c r="I294" i="1"/>
  <c r="I302" i="1"/>
  <c r="I310" i="1"/>
  <c r="I318" i="1"/>
  <c r="I326" i="1"/>
  <c r="I334" i="1"/>
  <c r="I342" i="1"/>
  <c r="I350" i="1"/>
  <c r="I358" i="1"/>
  <c r="I366" i="1"/>
  <c r="I374" i="1"/>
  <c r="I382" i="1"/>
  <c r="I390" i="1"/>
  <c r="I398" i="1"/>
  <c r="I406" i="1"/>
  <c r="I414" i="1"/>
  <c r="I422" i="1"/>
  <c r="I430" i="1"/>
  <c r="I438" i="1"/>
  <c r="I446" i="1"/>
  <c r="I454" i="1"/>
  <c r="I462" i="1"/>
  <c r="I470" i="1"/>
  <c r="I478" i="1"/>
  <c r="I486" i="1"/>
  <c r="I494" i="1"/>
  <c r="I502" i="1"/>
  <c r="I510" i="1"/>
  <c r="I518" i="1"/>
  <c r="I526" i="1"/>
  <c r="I534" i="1"/>
  <c r="I542" i="1"/>
  <c r="I550" i="1"/>
  <c r="I558" i="1"/>
  <c r="I566" i="1"/>
  <c r="I574" i="1"/>
  <c r="I582" i="1"/>
  <c r="I590" i="1"/>
  <c r="I598" i="1"/>
  <c r="I606" i="1"/>
  <c r="I614" i="1"/>
  <c r="I622" i="1"/>
  <c r="I630" i="1"/>
  <c r="I638" i="1"/>
  <c r="I646" i="1"/>
  <c r="I654" i="1"/>
  <c r="I662" i="1"/>
  <c r="I670" i="1"/>
  <c r="I678" i="1"/>
  <c r="I686" i="1"/>
  <c r="I694" i="1"/>
  <c r="I702" i="1"/>
  <c r="I710" i="1"/>
  <c r="I718" i="1"/>
  <c r="I726" i="1"/>
  <c r="I734" i="1"/>
  <c r="I742" i="1"/>
  <c r="I750" i="1"/>
  <c r="I758" i="1"/>
  <c r="I766" i="1"/>
  <c r="I774" i="1"/>
  <c r="I782" i="1"/>
  <c r="I790" i="1"/>
  <c r="I798" i="1"/>
  <c r="I806" i="1"/>
  <c r="I814" i="1"/>
  <c r="I822" i="1"/>
  <c r="I830" i="1"/>
  <c r="I838" i="1"/>
  <c r="I846" i="1"/>
  <c r="I854" i="1"/>
  <c r="I862" i="1"/>
  <c r="I870" i="1"/>
  <c r="I878" i="1"/>
  <c r="I886" i="1"/>
  <c r="I894" i="1"/>
  <c r="I902" i="1"/>
  <c r="I910" i="1"/>
  <c r="I918" i="1"/>
  <c r="I926" i="1"/>
  <c r="I934" i="1"/>
  <c r="I942" i="1"/>
  <c r="I950" i="1"/>
  <c r="I958" i="1"/>
  <c r="I966" i="1"/>
  <c r="I974" i="1"/>
  <c r="I982" i="1"/>
  <c r="I990" i="1"/>
  <c r="I998" i="1"/>
  <c r="I1006" i="1"/>
  <c r="I1014" i="1"/>
  <c r="I1022" i="1"/>
  <c r="I1030" i="1"/>
  <c r="I1038" i="1"/>
  <c r="I1046" i="1"/>
  <c r="I1054" i="1"/>
  <c r="I1062" i="1"/>
  <c r="I1070" i="1"/>
  <c r="I1078" i="1"/>
  <c r="I1086" i="1"/>
  <c r="I1094" i="1"/>
  <c r="I1102" i="1"/>
  <c r="I1110" i="1"/>
  <c r="I1118" i="1"/>
  <c r="I1126" i="1"/>
  <c r="I1134" i="1"/>
  <c r="I1142" i="1"/>
  <c r="I1150" i="1"/>
  <c r="I1158" i="1"/>
  <c r="I1166" i="1"/>
  <c r="I1182" i="1"/>
  <c r="I1190" i="1"/>
  <c r="I1206" i="1"/>
  <c r="I1214" i="1"/>
  <c r="I1222" i="1"/>
  <c r="I1238" i="1"/>
  <c r="I1246" i="1"/>
  <c r="G579" i="1"/>
  <c r="H917" i="1"/>
  <c r="H926" i="1"/>
  <c r="H957" i="1"/>
  <c r="H973" i="1"/>
  <c r="H1045" i="1"/>
  <c r="H1069" i="1"/>
  <c r="H1109" i="1"/>
  <c r="H1133" i="1"/>
  <c r="H1165" i="1"/>
  <c r="H1173" i="1"/>
  <c r="H1205" i="1"/>
  <c r="I719" i="1"/>
  <c r="I823" i="1"/>
  <c r="I855" i="1"/>
  <c r="I863" i="1"/>
  <c r="I743" i="1"/>
  <c r="H1229" i="1"/>
  <c r="I7" i="1"/>
  <c r="I15" i="1"/>
  <c r="I23" i="1"/>
  <c r="I31" i="1"/>
  <c r="I39" i="1"/>
  <c r="I47" i="1"/>
  <c r="I55" i="1"/>
  <c r="I63" i="1"/>
  <c r="I71" i="1"/>
  <c r="I79" i="1"/>
  <c r="I87" i="1"/>
  <c r="I95" i="1"/>
  <c r="I103" i="1"/>
  <c r="I111" i="1"/>
  <c r="I119" i="1"/>
  <c r="I127" i="1"/>
  <c r="I135" i="1"/>
  <c r="I143" i="1"/>
  <c r="I151" i="1"/>
  <c r="I159" i="1"/>
  <c r="I167" i="1"/>
  <c r="I175" i="1"/>
  <c r="I183" i="1"/>
  <c r="I191" i="1"/>
  <c r="I199" i="1"/>
  <c r="I207" i="1"/>
  <c r="I215" i="1"/>
  <c r="I223" i="1"/>
  <c r="I231" i="1"/>
  <c r="I239" i="1"/>
  <c r="I247" i="1"/>
  <c r="I255" i="1"/>
  <c r="I263" i="1"/>
  <c r="I271" i="1"/>
  <c r="I279" i="1"/>
  <c r="I287" i="1"/>
  <c r="I295" i="1"/>
  <c r="I303" i="1"/>
  <c r="I311" i="1"/>
  <c r="I319" i="1"/>
  <c r="I327" i="1"/>
  <c r="I335" i="1"/>
  <c r="I343" i="1"/>
  <c r="I351" i="1"/>
  <c r="I359" i="1"/>
  <c r="I367" i="1"/>
  <c r="I375" i="1"/>
  <c r="I383" i="1"/>
  <c r="I391" i="1"/>
  <c r="I399" i="1"/>
  <c r="I407" i="1"/>
  <c r="I415" i="1"/>
  <c r="I423" i="1"/>
  <c r="I431" i="1"/>
  <c r="I439" i="1"/>
  <c r="I447" i="1"/>
  <c r="I455" i="1"/>
  <c r="I463" i="1"/>
  <c r="I471" i="1"/>
  <c r="I479" i="1"/>
  <c r="I487" i="1"/>
  <c r="I495" i="1"/>
  <c r="I503" i="1"/>
  <c r="I511" i="1"/>
  <c r="I519" i="1"/>
  <c r="I527" i="1"/>
  <c r="I535" i="1"/>
  <c r="I543" i="1"/>
  <c r="I551" i="1"/>
  <c r="I559" i="1"/>
  <c r="I567" i="1"/>
  <c r="I575" i="1"/>
  <c r="I583" i="1"/>
  <c r="I591" i="1"/>
  <c r="I599" i="1"/>
  <c r="I607" i="1"/>
  <c r="I615" i="1"/>
  <c r="I623" i="1"/>
  <c r="I631" i="1"/>
  <c r="I639" i="1"/>
  <c r="I647" i="1"/>
  <c r="I655" i="1"/>
  <c r="I663" i="1"/>
  <c r="I671" i="1"/>
  <c r="I679" i="1"/>
  <c r="I687" i="1"/>
  <c r="I695" i="1"/>
  <c r="I711" i="1"/>
  <c r="I727" i="1"/>
  <c r="I735" i="1"/>
  <c r="I751" i="1"/>
  <c r="I759" i="1"/>
  <c r="I767" i="1"/>
  <c r="I775" i="1"/>
  <c r="I783" i="1"/>
  <c r="I791" i="1"/>
  <c r="I807" i="1"/>
  <c r="I815" i="1"/>
  <c r="I839" i="1"/>
  <c r="I847" i="1"/>
  <c r="I871" i="1"/>
  <c r="I879" i="1"/>
  <c r="I895" i="1"/>
  <c r="I903" i="1"/>
  <c r="I911" i="1"/>
  <c r="I919" i="1"/>
  <c r="I927" i="1"/>
  <c r="I935" i="1"/>
  <c r="I943" i="1"/>
  <c r="I951" i="1"/>
  <c r="I959" i="1"/>
  <c r="I967" i="1"/>
  <c r="I975" i="1"/>
  <c r="I983" i="1"/>
  <c r="I991" i="1"/>
  <c r="I999" i="1"/>
  <c r="I1007" i="1"/>
  <c r="I1015" i="1"/>
  <c r="I1023" i="1"/>
  <c r="I1031" i="1"/>
  <c r="I1039" i="1"/>
  <c r="I1047" i="1"/>
  <c r="I1055" i="1"/>
  <c r="I1063" i="1"/>
  <c r="I1071" i="1"/>
  <c r="I1079" i="1"/>
  <c r="I1087" i="1"/>
  <c r="I1095" i="1"/>
  <c r="I1103" i="1"/>
  <c r="I1111" i="1"/>
  <c r="I1119" i="1"/>
  <c r="I1127" i="1"/>
  <c r="I1135" i="1"/>
  <c r="I1143" i="1"/>
  <c r="I1151" i="1"/>
  <c r="I1159" i="1"/>
  <c r="I1167" i="1"/>
  <c r="I1175" i="1"/>
  <c r="I1183" i="1"/>
  <c r="I1191" i="1"/>
  <c r="I1199" i="1"/>
  <c r="I1207" i="1"/>
  <c r="I1215" i="1"/>
  <c r="I1223" i="1"/>
  <c r="I1231" i="1"/>
  <c r="I1239" i="1"/>
  <c r="I1247" i="1"/>
  <c r="I1255" i="1"/>
  <c r="I9" i="1"/>
  <c r="I17" i="1"/>
  <c r="I25" i="1"/>
  <c r="I33" i="1"/>
  <c r="I41" i="1"/>
  <c r="I49" i="1"/>
  <c r="I57" i="1"/>
  <c r="I65" i="1"/>
  <c r="I73" i="1"/>
  <c r="I81" i="1"/>
  <c r="I89" i="1"/>
  <c r="I97" i="1"/>
  <c r="I105" i="1"/>
  <c r="I113" i="1"/>
  <c r="I121" i="1"/>
  <c r="I129" i="1"/>
  <c r="I137" i="1"/>
  <c r="I145" i="1"/>
  <c r="I153" i="1"/>
  <c r="I161" i="1"/>
  <c r="I177" i="1"/>
  <c r="I185" i="1"/>
  <c r="I193" i="1"/>
  <c r="I201" i="1"/>
  <c r="I209" i="1"/>
  <c r="I217" i="1"/>
  <c r="I233" i="1"/>
  <c r="I241" i="1"/>
  <c r="I249" i="1"/>
  <c r="I257" i="1"/>
  <c r="I273" i="1"/>
  <c r="I281" i="1"/>
  <c r="I289" i="1"/>
  <c r="I297" i="1"/>
  <c r="I305" i="1"/>
  <c r="I313" i="1"/>
  <c r="I321" i="1"/>
  <c r="I337" i="1"/>
  <c r="I345" i="1"/>
  <c r="I353" i="1"/>
  <c r="I361" i="1"/>
  <c r="I369" i="1"/>
  <c r="I377" i="1"/>
  <c r="I385" i="1"/>
  <c r="I393" i="1"/>
  <c r="I401" i="1"/>
  <c r="I409" i="1"/>
  <c r="I417" i="1"/>
  <c r="I425" i="1"/>
  <c r="I433" i="1"/>
  <c r="I441" i="1"/>
  <c r="I449" i="1"/>
  <c r="I457" i="1"/>
  <c r="I465" i="1"/>
  <c r="I473" i="1"/>
  <c r="I481" i="1"/>
  <c r="I489" i="1"/>
  <c r="I497" i="1"/>
  <c r="I505" i="1"/>
  <c r="I513" i="1"/>
  <c r="I521" i="1"/>
  <c r="I529" i="1"/>
  <c r="I537" i="1"/>
  <c r="I545" i="1"/>
  <c r="I561" i="1"/>
  <c r="I569" i="1"/>
  <c r="I577" i="1"/>
  <c r="I578" i="1"/>
  <c r="I585" i="1"/>
  <c r="I601" i="1"/>
  <c r="I609" i="1"/>
  <c r="I617" i="1"/>
  <c r="I618" i="1"/>
  <c r="I625" i="1"/>
  <c r="I633" i="1"/>
  <c r="I634" i="1"/>
  <c r="I641" i="1"/>
  <c r="I649" i="1"/>
  <c r="I665" i="1"/>
  <c r="I673" i="1"/>
  <c r="I681" i="1"/>
  <c r="I689" i="1"/>
  <c r="I697" i="1"/>
  <c r="I713" i="1"/>
  <c r="I721" i="1"/>
  <c r="I737" i="1"/>
  <c r="I745" i="1"/>
  <c r="I753" i="1"/>
  <c r="I754" i="1"/>
  <c r="I761" i="1"/>
  <c r="I785" i="1"/>
  <c r="I793" i="1"/>
  <c r="I809" i="1"/>
  <c r="I810" i="1"/>
  <c r="I817" i="1"/>
  <c r="I825" i="1"/>
  <c r="I833" i="1"/>
  <c r="I841" i="1"/>
  <c r="I849" i="1"/>
  <c r="I857" i="1"/>
  <c r="I865" i="1"/>
  <c r="I881" i="1"/>
  <c r="I889" i="1"/>
  <c r="I777" i="1"/>
  <c r="H376" i="1"/>
  <c r="H384" i="1"/>
  <c r="H392" i="1"/>
  <c r="H400" i="1"/>
  <c r="H408" i="1"/>
  <c r="H416" i="1"/>
  <c r="H424" i="1"/>
  <c r="H432" i="1"/>
  <c r="H440" i="1"/>
  <c r="H448" i="1"/>
  <c r="H456" i="1"/>
  <c r="H464" i="1"/>
  <c r="H472" i="1"/>
  <c r="H480" i="1"/>
  <c r="H488" i="1"/>
  <c r="H496" i="1"/>
  <c r="H504" i="1"/>
  <c r="H512" i="1"/>
  <c r="H520" i="1"/>
  <c r="H528" i="1"/>
  <c r="H536" i="1"/>
  <c r="H544" i="1"/>
  <c r="H552" i="1"/>
  <c r="H560" i="1"/>
  <c r="H568" i="1"/>
  <c r="H576" i="1"/>
  <c r="H584" i="1"/>
  <c r="H592" i="1"/>
  <c r="H600" i="1"/>
  <c r="H608" i="1"/>
  <c r="H616" i="1"/>
  <c r="H624" i="1"/>
  <c r="H632" i="1"/>
  <c r="H640" i="1"/>
  <c r="H648" i="1"/>
  <c r="H656" i="1"/>
  <c r="H664" i="1"/>
  <c r="H672" i="1"/>
  <c r="H680" i="1"/>
  <c r="H688" i="1"/>
  <c r="H696" i="1"/>
  <c r="H704" i="1"/>
  <c r="H712" i="1"/>
  <c r="H720" i="1"/>
  <c r="H728" i="1"/>
  <c r="H736" i="1"/>
  <c r="H744" i="1"/>
  <c r="H752" i="1"/>
  <c r="H760" i="1"/>
  <c r="H768" i="1"/>
  <c r="H776" i="1"/>
  <c r="H784" i="1"/>
  <c r="H792" i="1"/>
  <c r="H800" i="1"/>
  <c r="H808" i="1"/>
  <c r="H816" i="1"/>
  <c r="H824" i="1"/>
  <c r="H832" i="1"/>
  <c r="H840" i="1"/>
  <c r="H848" i="1"/>
  <c r="H856" i="1"/>
  <c r="H864" i="1"/>
  <c r="H872" i="1"/>
  <c r="H880" i="1"/>
  <c r="H888" i="1"/>
  <c r="H896" i="1"/>
  <c r="H904" i="1"/>
  <c r="H912" i="1"/>
  <c r="H920" i="1"/>
  <c r="H928" i="1"/>
  <c r="H936" i="1"/>
  <c r="H944" i="1"/>
  <c r="H952" i="1"/>
  <c r="H960" i="1"/>
  <c r="H968" i="1"/>
  <c r="H976" i="1"/>
  <c r="H984" i="1"/>
  <c r="H992" i="1"/>
  <c r="H1000" i="1"/>
  <c r="H1008" i="1"/>
  <c r="H1016" i="1"/>
  <c r="H1024" i="1"/>
  <c r="H1032" i="1"/>
  <c r="H1040" i="1"/>
  <c r="H1048" i="1"/>
  <c r="H1056" i="1"/>
  <c r="H1064" i="1"/>
  <c r="H1072" i="1"/>
  <c r="H1080" i="1"/>
  <c r="H1088" i="1"/>
  <c r="H1096" i="1"/>
  <c r="H1104" i="1"/>
  <c r="H1112" i="1"/>
  <c r="H1120" i="1"/>
  <c r="H1128" i="1"/>
  <c r="H1136" i="1"/>
  <c r="H1144" i="1"/>
  <c r="H1152" i="1"/>
  <c r="H1160" i="1"/>
  <c r="H1168" i="1"/>
  <c r="H1176" i="1"/>
  <c r="H1184" i="1"/>
  <c r="H1192" i="1"/>
  <c r="H1200" i="1"/>
  <c r="H1208" i="1"/>
  <c r="H1216" i="1"/>
  <c r="H1224" i="1"/>
  <c r="H1232" i="1"/>
  <c r="H1240" i="1"/>
  <c r="H1248" i="1"/>
  <c r="H1256" i="1"/>
  <c r="I10" i="1"/>
  <c r="I18" i="1"/>
  <c r="I26" i="1"/>
  <c r="I34" i="1"/>
  <c r="I50" i="1"/>
  <c r="I58" i="1"/>
  <c r="I66" i="1"/>
  <c r="I74" i="1"/>
  <c r="I82" i="1"/>
  <c r="I90" i="1"/>
  <c r="I98" i="1"/>
  <c r="I114" i="1"/>
  <c r="I130" i="1"/>
  <c r="I138" i="1"/>
  <c r="I146" i="1"/>
  <c r="I154" i="1"/>
  <c r="I162" i="1"/>
  <c r="I170" i="1"/>
  <c r="I178" i="1"/>
  <c r="I186" i="1"/>
  <c r="I194" i="1"/>
  <c r="I202" i="1"/>
  <c r="I210" i="1"/>
  <c r="I218" i="1"/>
  <c r="I234" i="1"/>
  <c r="I242" i="1"/>
  <c r="I250" i="1"/>
  <c r="I258" i="1"/>
  <c r="I266" i="1"/>
  <c r="I274" i="1"/>
  <c r="I282" i="1"/>
  <c r="I290" i="1"/>
  <c r="I298" i="1"/>
  <c r="I306" i="1"/>
  <c r="I314" i="1"/>
  <c r="I322" i="1"/>
  <c r="I330" i="1"/>
  <c r="I490" i="1"/>
  <c r="I514" i="1"/>
  <c r="I730" i="1"/>
  <c r="I370" i="1"/>
  <c r="I706" i="1"/>
  <c r="H1187" i="1"/>
  <c r="H1219" i="1"/>
  <c r="H1243" i="1"/>
  <c r="I4" i="1"/>
  <c r="I12" i="1"/>
  <c r="I20" i="1"/>
  <c r="I28" i="1"/>
  <c r="I36" i="1"/>
  <c r="I44" i="1"/>
  <c r="I52" i="1"/>
  <c r="I60" i="1"/>
  <c r="I68" i="1"/>
  <c r="I76" i="1"/>
  <c r="I84" i="1"/>
  <c r="I92" i="1"/>
  <c r="I108" i="1"/>
  <c r="I116" i="1"/>
  <c r="I124" i="1"/>
  <c r="I132" i="1"/>
  <c r="I140" i="1"/>
  <c r="I148" i="1"/>
  <c r="I156" i="1"/>
  <c r="I172" i="1"/>
  <c r="I180" i="1"/>
  <c r="I188" i="1"/>
  <c r="I196" i="1"/>
  <c r="I204" i="1"/>
  <c r="I212" i="1"/>
  <c r="I220" i="1"/>
  <c r="I228" i="1"/>
  <c r="I236" i="1"/>
  <c r="I244" i="1"/>
  <c r="I252" i="1"/>
  <c r="I260" i="1"/>
  <c r="I268" i="1"/>
  <c r="I276" i="1"/>
  <c r="I292" i="1"/>
  <c r="I300" i="1"/>
  <c r="I308" i="1"/>
  <c r="I316" i="1"/>
  <c r="I324" i="1"/>
  <c r="I332" i="1"/>
  <c r="I340" i="1"/>
  <c r="I348" i="1"/>
  <c r="I356" i="1"/>
  <c r="I364" i="1"/>
  <c r="I372" i="1"/>
  <c r="I380" i="1"/>
  <c r="I388" i="1"/>
  <c r="I396" i="1"/>
  <c r="I404" i="1"/>
  <c r="I412" i="1"/>
  <c r="I420" i="1"/>
  <c r="I436" i="1"/>
  <c r="I444" i="1"/>
  <c r="I452" i="1"/>
  <c r="I460" i="1"/>
  <c r="I468" i="1"/>
  <c r="I476" i="1"/>
  <c r="I484" i="1"/>
  <c r="I500" i="1"/>
  <c r="I508" i="1"/>
  <c r="I516" i="1"/>
  <c r="I524" i="1"/>
  <c r="I540" i="1"/>
  <c r="I548" i="1"/>
  <c r="I556" i="1"/>
  <c r="I564" i="1"/>
  <c r="I572" i="1"/>
  <c r="I580" i="1"/>
  <c r="I588" i="1"/>
  <c r="I604" i="1"/>
  <c r="I620" i="1"/>
  <c r="I628" i="1"/>
  <c r="I636" i="1"/>
  <c r="I644" i="1"/>
  <c r="I652" i="1"/>
  <c r="I660" i="1"/>
  <c r="I668" i="1"/>
  <c r="I676" i="1"/>
  <c r="I684" i="1"/>
  <c r="I700" i="1"/>
  <c r="I708" i="1"/>
  <c r="I716" i="1"/>
  <c r="I724" i="1"/>
  <c r="I338" i="1"/>
  <c r="I346" i="1"/>
  <c r="I354" i="1"/>
  <c r="I362" i="1"/>
  <c r="I378" i="1"/>
  <c r="I386" i="1"/>
  <c r="I394" i="1"/>
  <c r="I402" i="1"/>
  <c r="I410" i="1"/>
  <c r="I418" i="1"/>
  <c r="I426" i="1"/>
  <c r="I442" i="1"/>
  <c r="I458" i="1"/>
  <c r="I466" i="1"/>
  <c r="I474" i="1"/>
  <c r="I482" i="1"/>
  <c r="I498" i="1"/>
  <c r="I506" i="1"/>
  <c r="I522" i="1"/>
  <c r="I530" i="1"/>
  <c r="I538" i="1"/>
  <c r="I546" i="1"/>
  <c r="I562" i="1"/>
  <c r="I570" i="1"/>
  <c r="I586" i="1"/>
  <c r="I594" i="1"/>
  <c r="I602" i="1"/>
  <c r="I610" i="1"/>
  <c r="I626" i="1"/>
  <c r="I642" i="1"/>
  <c r="I650" i="1"/>
  <c r="I658" i="1"/>
  <c r="I666" i="1"/>
  <c r="I682" i="1"/>
  <c r="I698" i="1"/>
  <c r="I714" i="1"/>
  <c r="I722" i="1"/>
  <c r="I738" i="1"/>
  <c r="I746" i="1"/>
  <c r="I762" i="1"/>
  <c r="I770" i="1"/>
  <c r="I786" i="1"/>
  <c r="I794" i="1"/>
  <c r="I802" i="1"/>
  <c r="I818" i="1"/>
  <c r="I826" i="1"/>
  <c r="I834" i="1"/>
  <c r="I850" i="1"/>
  <c r="I858" i="1"/>
  <c r="I866" i="1"/>
  <c r="H229" i="1"/>
  <c r="H237" i="1"/>
  <c r="H245" i="1"/>
  <c r="H253" i="1"/>
  <c r="H261" i="1"/>
  <c r="H269" i="1"/>
  <c r="H277" i="1"/>
  <c r="H285" i="1"/>
  <c r="H293" i="1"/>
  <c r="H301" i="1"/>
  <c r="H309" i="1"/>
  <c r="H317" i="1"/>
  <c r="H325" i="1"/>
  <c r="H333" i="1"/>
  <c r="H341" i="1"/>
  <c r="H349" i="1"/>
  <c r="H357" i="1"/>
  <c r="H365" i="1"/>
  <c r="H373" i="1"/>
  <c r="H381" i="1"/>
  <c r="H389" i="1"/>
  <c r="H397" i="1"/>
  <c r="H405" i="1"/>
  <c r="H413" i="1"/>
  <c r="H421" i="1"/>
  <c r="H429" i="1"/>
  <c r="H437" i="1"/>
  <c r="H445" i="1"/>
  <c r="H453" i="1"/>
  <c r="H461" i="1"/>
  <c r="H469" i="1"/>
  <c r="H477" i="1"/>
  <c r="H485" i="1"/>
  <c r="H493" i="1"/>
  <c r="H501" i="1"/>
  <c r="H509" i="1"/>
  <c r="H517" i="1"/>
  <c r="H525" i="1"/>
  <c r="H533" i="1"/>
  <c r="H541" i="1"/>
  <c r="H549" i="1"/>
  <c r="H557" i="1"/>
  <c r="H565" i="1"/>
  <c r="H573" i="1"/>
  <c r="H581" i="1"/>
  <c r="H589" i="1"/>
  <c r="H597" i="1"/>
  <c r="H605" i="1"/>
  <c r="H613" i="1"/>
  <c r="H621" i="1"/>
  <c r="H629" i="1"/>
  <c r="H637" i="1"/>
  <c r="H701" i="1"/>
  <c r="H725" i="1"/>
  <c r="H765" i="1"/>
  <c r="H254" i="1"/>
  <c r="H38" i="1"/>
  <c r="H62" i="1"/>
  <c r="H78" i="1"/>
  <c r="H158" i="1"/>
  <c r="H166" i="1"/>
  <c r="H190" i="1"/>
  <c r="H206" i="1"/>
  <c r="H222" i="1"/>
  <c r="H230" i="1"/>
  <c r="H270" i="1"/>
  <c r="H286" i="1"/>
  <c r="H294" i="1"/>
  <c r="H350" i="1"/>
  <c r="H470" i="1"/>
  <c r="H550" i="1"/>
  <c r="H622" i="1"/>
  <c r="H630" i="1"/>
  <c r="H8" i="1"/>
  <c r="H16" i="1"/>
  <c r="H24" i="1"/>
  <c r="H32" i="1"/>
  <c r="H40" i="1"/>
  <c r="H48" i="1"/>
  <c r="H56" i="1"/>
  <c r="H64" i="1"/>
  <c r="H72" i="1"/>
  <c r="H80" i="1"/>
  <c r="H88" i="1"/>
  <c r="H96" i="1"/>
  <c r="H112" i="1"/>
  <c r="H120" i="1"/>
  <c r="H128" i="1"/>
  <c r="H136" i="1"/>
  <c r="H144" i="1"/>
  <c r="H152" i="1"/>
  <c r="H160" i="1"/>
  <c r="H168" i="1"/>
  <c r="H176" i="1"/>
  <c r="H184" i="1"/>
  <c r="H200" i="1"/>
  <c r="H208" i="1"/>
  <c r="H25" i="1"/>
  <c r="H49" i="1"/>
  <c r="H57" i="1"/>
  <c r="H73" i="1"/>
  <c r="H113" i="1"/>
  <c r="H121" i="1"/>
  <c r="H129" i="1"/>
  <c r="H137" i="1"/>
  <c r="H145" i="1"/>
  <c r="H153" i="1"/>
  <c r="H161" i="1"/>
  <c r="H169" i="1"/>
  <c r="H177" i="1"/>
  <c r="H185" i="1"/>
  <c r="H193" i="1"/>
  <c r="H201" i="1"/>
  <c r="H209" i="1"/>
  <c r="H217" i="1"/>
  <c r="H225" i="1"/>
  <c r="H233" i="1"/>
  <c r="H241" i="1"/>
  <c r="H249" i="1"/>
  <c r="H257" i="1"/>
  <c r="H265" i="1"/>
  <c r="H273" i="1"/>
  <c r="H289" i="1"/>
  <c r="H297" i="1"/>
  <c r="H313" i="1"/>
  <c r="H321" i="1"/>
  <c r="H329" i="1"/>
  <c r="H337" i="1"/>
  <c r="H353" i="1"/>
  <c r="H361" i="1"/>
  <c r="H369" i="1"/>
  <c r="H377" i="1"/>
  <c r="H385" i="1"/>
  <c r="H393" i="1"/>
  <c r="H401" i="1"/>
  <c r="H417" i="1"/>
  <c r="H425" i="1"/>
  <c r="H441" i="1"/>
  <c r="H449" i="1"/>
  <c r="H457" i="1"/>
  <c r="H465" i="1"/>
  <c r="H473" i="1"/>
  <c r="H481" i="1"/>
  <c r="H489" i="1"/>
  <c r="H497" i="1"/>
  <c r="H505" i="1"/>
  <c r="H513" i="1"/>
  <c r="H521" i="1"/>
  <c r="H529" i="1"/>
  <c r="H537" i="1"/>
  <c r="H545" i="1"/>
  <c r="H561" i="1"/>
  <c r="H577" i="1"/>
  <c r="H593" i="1"/>
  <c r="H601" i="1"/>
  <c r="H617" i="1"/>
  <c r="H625" i="1"/>
  <c r="H641" i="1"/>
  <c r="H649" i="1"/>
  <c r="H657" i="1"/>
  <c r="H665" i="1"/>
  <c r="H673" i="1"/>
  <c r="H681" i="1"/>
  <c r="H697" i="1"/>
  <c r="H721" i="1"/>
  <c r="H737" i="1"/>
  <c r="H745" i="1"/>
  <c r="H761" i="1"/>
  <c r="H777" i="1"/>
  <c r="H785" i="1"/>
  <c r="H801" i="1"/>
  <c r="H809" i="1"/>
  <c r="H817" i="1"/>
  <c r="H825" i="1"/>
  <c r="H841" i="1"/>
  <c r="H849" i="1"/>
  <c r="H857" i="1"/>
  <c r="H865" i="1"/>
  <c r="H873" i="1"/>
  <c r="H881" i="1"/>
  <c r="H889" i="1"/>
  <c r="H897" i="1"/>
  <c r="H905" i="1"/>
  <c r="H913" i="1"/>
  <c r="H921" i="1"/>
  <c r="H937" i="1"/>
  <c r="H945" i="1"/>
  <c r="H953" i="1"/>
  <c r="H969" i="1"/>
  <c r="H977" i="1"/>
  <c r="H985" i="1"/>
  <c r="H993" i="1"/>
  <c r="H1009" i="1"/>
  <c r="H1017" i="1"/>
  <c r="H1041" i="1"/>
  <c r="H1049" i="1"/>
  <c r="H1089" i="1"/>
  <c r="H1121" i="1"/>
  <c r="H1153" i="1"/>
  <c r="H1217" i="1"/>
  <c r="H590" i="1"/>
  <c r="G1048" i="1"/>
  <c r="H11" i="1"/>
  <c r="H27" i="1"/>
  <c r="H35" i="1"/>
  <c r="H51" i="1"/>
  <c r="H67" i="1"/>
  <c r="H75" i="1"/>
  <c r="H91" i="1"/>
  <c r="H99" i="1"/>
  <c r="H115" i="1"/>
  <c r="H131" i="1"/>
  <c r="H139" i="1"/>
  <c r="H155" i="1"/>
  <c r="H163" i="1"/>
  <c r="H195" i="1"/>
  <c r="H219" i="1"/>
  <c r="H227" i="1"/>
  <c r="H243" i="1"/>
  <c r="H283" i="1"/>
  <c r="H291" i="1"/>
  <c r="H307" i="1"/>
  <c r="H347" i="1"/>
  <c r="H355" i="1"/>
  <c r="H371" i="1"/>
  <c r="H387" i="1"/>
  <c r="H395" i="1"/>
  <c r="H419" i="1"/>
  <c r="H451" i="1"/>
  <c r="H459" i="1"/>
  <c r="H483" i="1"/>
  <c r="H491" i="1"/>
  <c r="H547" i="1"/>
  <c r="H555" i="1"/>
  <c r="H579" i="1"/>
  <c r="H587" i="1"/>
  <c r="H611" i="1"/>
  <c r="H643" i="1"/>
  <c r="H651" i="1"/>
  <c r="H683" i="1"/>
  <c r="H691" i="1"/>
  <c r="H699" i="1"/>
  <c r="H707" i="1"/>
  <c r="H723" i="1"/>
  <c r="H731" i="1"/>
  <c r="H739" i="1"/>
  <c r="H747" i="1"/>
  <c r="H771" i="1"/>
  <c r="H779" i="1"/>
  <c r="H787" i="1"/>
  <c r="H811" i="1"/>
  <c r="H819" i="1"/>
  <c r="H827" i="1"/>
  <c r="H835" i="1"/>
  <c r="H859" i="1"/>
  <c r="H867" i="1"/>
  <c r="H883" i="1"/>
  <c r="H915" i="1"/>
  <c r="H931" i="1"/>
  <c r="H963" i="1"/>
  <c r="H979" i="1"/>
  <c r="H995" i="1"/>
  <c r="H1003" i="1"/>
  <c r="H1027" i="1"/>
  <c r="H1035" i="1"/>
  <c r="H1043" i="1"/>
  <c r="H1067" i="1"/>
  <c r="H1075" i="1"/>
  <c r="H1107" i="1"/>
  <c r="H1139" i="1"/>
  <c r="H1147" i="1"/>
  <c r="H1171" i="1"/>
  <c r="H1203" i="1"/>
  <c r="H1227" i="1"/>
  <c r="H1235" i="1"/>
  <c r="H518" i="1"/>
  <c r="H900" i="1"/>
  <c r="H924" i="1"/>
  <c r="H932" i="1"/>
  <c r="H956" i="1"/>
  <c r="H964" i="1"/>
  <c r="H988" i="1"/>
  <c r="H996" i="1"/>
  <c r="H1020" i="1"/>
  <c r="H1028" i="1"/>
  <c r="H1052" i="1"/>
  <c r="H1060" i="1"/>
  <c r="H1084" i="1"/>
  <c r="H1092" i="1"/>
  <c r="H1116" i="1"/>
  <c r="H1124" i="1"/>
  <c r="H1148" i="1"/>
  <c r="H1156" i="1"/>
  <c r="H1180" i="1"/>
  <c r="H1188" i="1"/>
  <c r="H1212" i="1"/>
  <c r="H1220" i="1"/>
  <c r="H1244" i="1"/>
  <c r="H1252" i="1"/>
  <c r="H645" i="1"/>
  <c r="H653" i="1"/>
  <c r="H661" i="1"/>
  <c r="H669" i="1"/>
  <c r="H677" i="1"/>
  <c r="H685" i="1"/>
  <c r="H693" i="1"/>
  <c r="H709" i="1"/>
  <c r="H717" i="1"/>
  <c r="H733" i="1"/>
  <c r="H741" i="1"/>
  <c r="H749" i="1"/>
  <c r="H757" i="1"/>
  <c r="H773" i="1"/>
  <c r="H781" i="1"/>
  <c r="H789" i="1"/>
  <c r="H797" i="1"/>
  <c r="H805" i="1"/>
  <c r="H813" i="1"/>
  <c r="H821" i="1"/>
  <c r="H829" i="1"/>
  <c r="H837" i="1"/>
  <c r="H845" i="1"/>
  <c r="H853" i="1"/>
  <c r="H861" i="1"/>
  <c r="H869" i="1"/>
  <c r="H877" i="1"/>
  <c r="H885" i="1"/>
  <c r="H893" i="1"/>
  <c r="H901" i="1"/>
  <c r="H909" i="1"/>
  <c r="H933" i="1"/>
  <c r="H941" i="1"/>
  <c r="H949" i="1"/>
  <c r="H965" i="1"/>
  <c r="H981" i="1"/>
  <c r="H989" i="1"/>
  <c r="H997" i="1"/>
  <c r="H1005" i="1"/>
  <c r="H1013" i="1"/>
  <c r="H1021" i="1"/>
  <c r="H1029" i="1"/>
  <c r="H1037" i="1"/>
  <c r="H1053" i="1"/>
  <c r="H1061" i="1"/>
  <c r="H1077" i="1"/>
  <c r="H1085" i="1"/>
  <c r="H1093" i="1"/>
  <c r="H1101" i="1"/>
  <c r="H1117" i="1"/>
  <c r="H1125" i="1"/>
  <c r="H1141" i="1"/>
  <c r="H1149" i="1"/>
  <c r="H1157" i="1"/>
  <c r="H1181" i="1"/>
  <c r="H1189" i="1"/>
  <c r="H1197" i="1"/>
  <c r="H1213" i="1"/>
  <c r="H1221" i="1"/>
  <c r="H1237" i="1"/>
  <c r="H1245" i="1"/>
  <c r="H1253" i="1"/>
  <c r="H486" i="1"/>
  <c r="H654" i="1"/>
  <c r="H678" i="1"/>
  <c r="H742" i="1"/>
  <c r="H878" i="1"/>
  <c r="H902" i="1"/>
  <c r="H918" i="1"/>
  <c r="H990" i="1"/>
  <c r="H553" i="1"/>
  <c r="H554" i="1"/>
  <c r="H585" i="1"/>
  <c r="H586" i="1"/>
  <c r="H689" i="1"/>
  <c r="H690" i="1"/>
  <c r="H713" i="1"/>
  <c r="H714" i="1"/>
  <c r="H729" i="1"/>
  <c r="H730" i="1"/>
  <c r="H1082" i="1"/>
  <c r="H1081" i="1"/>
  <c r="H1105" i="1"/>
  <c r="H1106" i="1"/>
  <c r="H1178" i="1"/>
  <c r="H1177" i="1"/>
  <c r="H1201" i="1"/>
  <c r="H1202" i="1"/>
  <c r="H1210" i="1"/>
  <c r="H1209" i="1"/>
  <c r="H1233" i="1"/>
  <c r="H1234" i="1"/>
  <c r="H1057" i="1"/>
  <c r="H866" i="1"/>
  <c r="H482" i="1"/>
  <c r="H433" i="1"/>
  <c r="H305" i="1"/>
  <c r="G143" i="1"/>
  <c r="G191" i="1"/>
  <c r="G607" i="1"/>
  <c r="G639" i="1"/>
  <c r="G679" i="1"/>
  <c r="G703" i="1"/>
  <c r="G735" i="1"/>
  <c r="H74" i="1"/>
  <c r="H154" i="1"/>
  <c r="H194" i="1"/>
  <c r="H298" i="1"/>
  <c r="H514" i="1"/>
  <c r="H618" i="1"/>
  <c r="H666" i="1"/>
  <c r="H722" i="1"/>
  <c r="H850" i="1"/>
  <c r="H914" i="1"/>
  <c r="H986" i="1"/>
  <c r="H1193" i="1"/>
  <c r="H802" i="1"/>
  <c r="H674" i="1"/>
  <c r="H426" i="1"/>
  <c r="H386" i="1"/>
  <c r="H506" i="1"/>
  <c r="H994" i="1"/>
  <c r="H538" i="1"/>
  <c r="H458" i="1"/>
  <c r="H370" i="1"/>
  <c r="H330" i="1"/>
  <c r="H242" i="1"/>
  <c r="H202" i="1"/>
  <c r="H5" i="1"/>
  <c r="H29" i="1"/>
  <c r="H53" i="1"/>
  <c r="H77" i="1"/>
  <c r="H101" i="1"/>
  <c r="H125" i="1"/>
  <c r="H149" i="1"/>
  <c r="H181" i="1"/>
  <c r="H197" i="1"/>
  <c r="H221" i="1"/>
  <c r="H1142" i="1"/>
  <c r="H6" i="1"/>
  <c r="H14" i="1"/>
  <c r="H22" i="1"/>
  <c r="H30" i="1"/>
  <c r="H46" i="1"/>
  <c r="H54" i="1"/>
  <c r="H70" i="1"/>
  <c r="H86" i="1"/>
  <c r="H94" i="1"/>
  <c r="H110" i="1"/>
  <c r="H118" i="1"/>
  <c r="H134" i="1"/>
  <c r="H150" i="1"/>
  <c r="H174" i="1"/>
  <c r="H182" i="1"/>
  <c r="H198" i="1"/>
  <c r="H214" i="1"/>
  <c r="H238" i="1"/>
  <c r="H246" i="1"/>
  <c r="H262" i="1"/>
  <c r="H278" i="1"/>
  <c r="H302" i="1"/>
  <c r="H310" i="1"/>
  <c r="H318" i="1"/>
  <c r="H326" i="1"/>
  <c r="H342" i="1"/>
  <c r="H358" i="1"/>
  <c r="H366" i="1"/>
  <c r="H374" i="1"/>
  <c r="H382" i="1"/>
  <c r="H390" i="1"/>
  <c r="H398" i="1"/>
  <c r="H406" i="1"/>
  <c r="H422" i="1"/>
  <c r="H430" i="1"/>
  <c r="H438" i="1"/>
  <c r="H446" i="1"/>
  <c r="H454" i="1"/>
  <c r="H462" i="1"/>
  <c r="H478" i="1"/>
  <c r="H494" i="1"/>
  <c r="H502" i="1"/>
  <c r="H510" i="1"/>
  <c r="H526" i="1"/>
  <c r="H534" i="1"/>
  <c r="H542" i="1"/>
  <c r="H558" i="1"/>
  <c r="H566" i="1"/>
  <c r="H574" i="1"/>
  <c r="H582" i="1"/>
  <c r="H598" i="1"/>
  <c r="H606" i="1"/>
  <c r="H614" i="1"/>
  <c r="H638" i="1"/>
  <c r="H646" i="1"/>
  <c r="H662" i="1"/>
  <c r="H670" i="1"/>
  <c r="H686" i="1"/>
  <c r="H694" i="1"/>
  <c r="H710" i="1"/>
  <c r="H718" i="1"/>
  <c r="H726" i="1"/>
  <c r="H734" i="1"/>
  <c r="H750" i="1"/>
  <c r="H758" i="1"/>
  <c r="H766" i="1"/>
  <c r="H774" i="1"/>
  <c r="H782" i="1"/>
  <c r="H790" i="1"/>
  <c r="H798" i="1"/>
  <c r="H806" i="1"/>
  <c r="H814" i="1"/>
  <c r="H822" i="1"/>
  <c r="H830" i="1"/>
  <c r="H846" i="1"/>
  <c r="H854" i="1"/>
  <c r="H862" i="1"/>
  <c r="H870" i="1"/>
  <c r="H886" i="1"/>
  <c r="H894" i="1"/>
  <c r="H910" i="1"/>
  <c r="H934" i="1"/>
  <c r="H942" i="1"/>
  <c r="H966" i="1"/>
  <c r="H974" i="1"/>
  <c r="H982" i="1"/>
  <c r="H998" i="1"/>
  <c r="H1006" i="1"/>
  <c r="H1014" i="1"/>
  <c r="H1030" i="1"/>
  <c r="H1038" i="1"/>
  <c r="H1046" i="1"/>
  <c r="H1062" i="1"/>
  <c r="H1070" i="1"/>
  <c r="H1094" i="1"/>
  <c r="H1102" i="1"/>
  <c r="H1126" i="1"/>
  <c r="H1134" i="1"/>
  <c r="H1158" i="1"/>
  <c r="H1166" i="1"/>
  <c r="H1190" i="1"/>
  <c r="H1198" i="1"/>
  <c r="H1238" i="1"/>
  <c r="H1122" i="1"/>
  <c r="H1065" i="1"/>
  <c r="H970" i="1"/>
  <c r="H925" i="1"/>
  <c r="H906" i="1"/>
  <c r="H818" i="1"/>
  <c r="H602" i="1"/>
  <c r="H569" i="1"/>
  <c r="H490" i="1"/>
  <c r="H450" i="1"/>
  <c r="H362" i="1"/>
  <c r="H322" i="1"/>
  <c r="H281" i="1"/>
  <c r="H282" i="1"/>
  <c r="H705" i="1"/>
  <c r="H706" i="1"/>
  <c r="H753" i="1"/>
  <c r="H754" i="1"/>
  <c r="H769" i="1"/>
  <c r="H770" i="1"/>
  <c r="H1033" i="1"/>
  <c r="H1034" i="1"/>
  <c r="H1114" i="1"/>
  <c r="H1113" i="1"/>
  <c r="H1137" i="1"/>
  <c r="H1138" i="1"/>
  <c r="G63" i="1"/>
  <c r="G167" i="1"/>
  <c r="G255" i="1"/>
  <c r="G375" i="1"/>
  <c r="G615" i="1"/>
  <c r="G655" i="1"/>
  <c r="G687" i="1"/>
  <c r="G711" i="1"/>
  <c r="G743" i="1"/>
  <c r="H50" i="1"/>
  <c r="H90" i="1"/>
  <c r="H130" i="1"/>
  <c r="H170" i="1"/>
  <c r="H218" i="1"/>
  <c r="H234" i="1"/>
  <c r="H578" i="1"/>
  <c r="H650" i="1"/>
  <c r="H682" i="1"/>
  <c r="H746" i="1"/>
  <c r="H786" i="1"/>
  <c r="H826" i="1"/>
  <c r="H946" i="1"/>
  <c r="H978" i="1"/>
  <c r="H1010" i="1"/>
  <c r="H1050" i="1"/>
  <c r="H1250" i="1"/>
  <c r="H938" i="1"/>
  <c r="F1208" i="1"/>
  <c r="H1090" i="1"/>
  <c r="H1025" i="1"/>
  <c r="G1154" i="1"/>
  <c r="H21" i="1"/>
  <c r="H45" i="1"/>
  <c r="H69" i="1"/>
  <c r="H93" i="1"/>
  <c r="H117" i="1"/>
  <c r="H141" i="1"/>
  <c r="H165" i="1"/>
  <c r="H205" i="1"/>
  <c r="H1225" i="1"/>
  <c r="H1185" i="1"/>
  <c r="H1086" i="1"/>
  <c r="H142" i="1"/>
  <c r="H7" i="1"/>
  <c r="H15" i="1"/>
  <c r="H23" i="1"/>
  <c r="H31" i="1"/>
  <c r="H39" i="1"/>
  <c r="H47" i="1"/>
  <c r="H55" i="1"/>
  <c r="H63" i="1"/>
  <c r="H71" i="1"/>
  <c r="H79" i="1"/>
  <c r="H87" i="1"/>
  <c r="H95" i="1"/>
  <c r="H103" i="1"/>
  <c r="H111" i="1"/>
  <c r="H119" i="1"/>
  <c r="H127" i="1"/>
  <c r="H135" i="1"/>
  <c r="H143" i="1"/>
  <c r="H471" i="1"/>
  <c r="H503" i="1"/>
  <c r="H535" i="1"/>
  <c r="H663" i="1"/>
  <c r="H1218" i="1"/>
  <c r="H1161" i="1"/>
  <c r="H26" i="1"/>
  <c r="H345" i="1"/>
  <c r="H346" i="1"/>
  <c r="H409" i="1"/>
  <c r="H410" i="1"/>
  <c r="H609" i="1"/>
  <c r="H610" i="1"/>
  <c r="H633" i="1"/>
  <c r="H634" i="1"/>
  <c r="H793" i="1"/>
  <c r="H794" i="1"/>
  <c r="H833" i="1"/>
  <c r="H834" i="1"/>
  <c r="H929" i="1"/>
  <c r="H930" i="1"/>
  <c r="H1001" i="1"/>
  <c r="H1002" i="1"/>
  <c r="H1073" i="1"/>
  <c r="H1074" i="1"/>
  <c r="H1146" i="1"/>
  <c r="H1145" i="1"/>
  <c r="H1169" i="1"/>
  <c r="H1170" i="1"/>
  <c r="H1242" i="1"/>
  <c r="H1241" i="1"/>
  <c r="H1154" i="1"/>
  <c r="H1097" i="1"/>
  <c r="H65" i="1"/>
  <c r="G207" i="1"/>
  <c r="G271" i="1"/>
  <c r="G695" i="1"/>
  <c r="G719" i="1"/>
  <c r="H10" i="1"/>
  <c r="H114" i="1"/>
  <c r="H138" i="1"/>
  <c r="H178" i="1"/>
  <c r="H258" i="1"/>
  <c r="H474" i="1"/>
  <c r="H546" i="1"/>
  <c r="H698" i="1"/>
  <c r="H762" i="1"/>
  <c r="H810" i="1"/>
  <c r="H874" i="1"/>
  <c r="H890" i="1"/>
  <c r="H922" i="1"/>
  <c r="H954" i="1"/>
  <c r="H1018" i="1"/>
  <c r="H1042" i="1"/>
  <c r="H738" i="1"/>
  <c r="H105" i="1"/>
  <c r="H858" i="1"/>
  <c r="H1129" i="1"/>
  <c r="H41" i="1"/>
  <c r="H13" i="1"/>
  <c r="H37" i="1"/>
  <c r="H61" i="1"/>
  <c r="H85" i="1"/>
  <c r="H109" i="1"/>
  <c r="H133" i="1"/>
  <c r="H157" i="1"/>
  <c r="H173" i="1"/>
  <c r="H189" i="1"/>
  <c r="H213" i="1"/>
  <c r="H882" i="1"/>
  <c r="H961" i="1"/>
  <c r="H898" i="1"/>
  <c r="H842" i="1"/>
  <c r="H778" i="1"/>
  <c r="H642" i="1"/>
  <c r="H559" i="1"/>
  <c r="H522" i="1"/>
  <c r="H394" i="1"/>
  <c r="H266" i="1"/>
  <c r="H1222" i="1"/>
  <c r="H1230" i="1"/>
  <c r="H1254" i="1"/>
  <c r="H151" i="1"/>
  <c r="H159" i="1"/>
  <c r="H167" i="1"/>
  <c r="H175" i="1"/>
  <c r="H183" i="1"/>
  <c r="H191" i="1"/>
  <c r="H199" i="1"/>
  <c r="H207" i="1"/>
  <c r="H215" i="1"/>
  <c r="H223" i="1"/>
  <c r="H231" i="1"/>
  <c r="H239" i="1"/>
  <c r="H247" i="1"/>
  <c r="H255" i="1"/>
  <c r="H263" i="1"/>
  <c r="H271" i="1"/>
  <c r="H279" i="1"/>
  <c r="H287" i="1"/>
  <c r="H295" i="1"/>
  <c r="H303" i="1"/>
  <c r="H311" i="1"/>
  <c r="H319" i="1"/>
  <c r="H327" i="1"/>
  <c r="H335" i="1"/>
  <c r="H343" i="1"/>
  <c r="H351" i="1"/>
  <c r="H359" i="1"/>
  <c r="H367" i="1"/>
  <c r="H375" i="1"/>
  <c r="H383" i="1"/>
  <c r="H391" i="1"/>
  <c r="H399" i="1"/>
  <c r="H407" i="1"/>
  <c r="H415" i="1"/>
  <c r="H423" i="1"/>
  <c r="H431" i="1"/>
  <c r="H439" i="1"/>
  <c r="H447" i="1"/>
  <c r="H455" i="1"/>
  <c r="H463" i="1"/>
  <c r="H479" i="1"/>
  <c r="H487" i="1"/>
  <c r="H495" i="1"/>
  <c r="H511" i="1"/>
  <c r="H519" i="1"/>
  <c r="H527" i="1"/>
  <c r="H543" i="1"/>
  <c r="H551" i="1"/>
  <c r="H567" i="1"/>
  <c r="H575" i="1"/>
  <c r="H583" i="1"/>
  <c r="H599" i="1"/>
  <c r="H607" i="1"/>
  <c r="H615" i="1"/>
  <c r="H631" i="1"/>
  <c r="H639" i="1"/>
  <c r="H647" i="1"/>
  <c r="H671" i="1"/>
  <c r="H679" i="1"/>
  <c r="H687" i="1"/>
  <c r="H695" i="1"/>
  <c r="H703" i="1"/>
  <c r="H711" i="1"/>
  <c r="H719" i="1"/>
  <c r="H727" i="1"/>
  <c r="H735" i="1"/>
  <c r="H743" i="1"/>
  <c r="H751" i="1"/>
  <c r="H759" i="1"/>
  <c r="H767" i="1"/>
  <c r="H775" i="1"/>
  <c r="H783" i="1"/>
  <c r="H791" i="1"/>
  <c r="H799" i="1"/>
  <c r="H807" i="1"/>
  <c r="H815" i="1"/>
  <c r="H823" i="1"/>
  <c r="H831" i="1"/>
  <c r="H839" i="1"/>
  <c r="H847" i="1"/>
  <c r="H855" i="1"/>
  <c r="H863" i="1"/>
  <c r="H871" i="1"/>
  <c r="H879" i="1"/>
  <c r="H887" i="1"/>
  <c r="H895" i="1"/>
  <c r="H903" i="1"/>
  <c r="H911" i="1"/>
  <c r="H919" i="1"/>
  <c r="H927" i="1"/>
  <c r="H935" i="1"/>
  <c r="H943" i="1"/>
  <c r="H951" i="1"/>
  <c r="H959" i="1"/>
  <c r="H967" i="1"/>
  <c r="H975" i="1"/>
  <c r="H983" i="1"/>
  <c r="H991" i="1"/>
  <c r="H999" i="1"/>
  <c r="H1007" i="1"/>
  <c r="H1015" i="1"/>
  <c r="H1023" i="1"/>
  <c r="H1031" i="1"/>
  <c r="H1039" i="1"/>
  <c r="H1047" i="1"/>
  <c r="H1055" i="1"/>
  <c r="H1063" i="1"/>
  <c r="H1071" i="1"/>
  <c r="H1079" i="1"/>
  <c r="H1087" i="1"/>
  <c r="H1095" i="1"/>
  <c r="H1103" i="1"/>
  <c r="H1111" i="1"/>
  <c r="H1119" i="1"/>
  <c r="H1127" i="1"/>
  <c r="H1135" i="1"/>
  <c r="H1143" i="1"/>
  <c r="H1151" i="1"/>
  <c r="H1159" i="1"/>
  <c r="H1167" i="1"/>
  <c r="H1175" i="1"/>
  <c r="H1183" i="1"/>
  <c r="H1191" i="1"/>
  <c r="H1199" i="1"/>
  <c r="H1207" i="1"/>
  <c r="H1215" i="1"/>
  <c r="H1223" i="1"/>
  <c r="H1231" i="1"/>
  <c r="H1239" i="1"/>
  <c r="H1247" i="1"/>
  <c r="H1255" i="1"/>
  <c r="G751" i="1"/>
  <c r="G759" i="1"/>
  <c r="G767" i="1"/>
  <c r="G775" i="1"/>
  <c r="G783" i="1"/>
  <c r="G799" i="1"/>
  <c r="G807" i="1"/>
  <c r="G815" i="1"/>
  <c r="G823" i="1"/>
  <c r="G831" i="1"/>
  <c r="G839" i="1"/>
  <c r="G847" i="1"/>
  <c r="G863" i="1"/>
  <c r="G871" i="1"/>
  <c r="G879" i="1"/>
  <c r="G887" i="1"/>
  <c r="G895" i="1"/>
  <c r="G903" i="1"/>
  <c r="G911" i="1"/>
  <c r="G927" i="1"/>
  <c r="G935" i="1"/>
  <c r="G943" i="1"/>
  <c r="G951" i="1"/>
  <c r="G959" i="1"/>
  <c r="G967" i="1"/>
  <c r="G975" i="1"/>
  <c r="G991" i="1"/>
  <c r="G999" i="1"/>
  <c r="G1007" i="1"/>
  <c r="G1015" i="1"/>
  <c r="G1023" i="1"/>
  <c r="G1031" i="1"/>
  <c r="G1039" i="1"/>
  <c r="G1055" i="1"/>
  <c r="G1063" i="1"/>
  <c r="G1071" i="1"/>
  <c r="G1079" i="1"/>
  <c r="G1087" i="1"/>
  <c r="G1095" i="1"/>
  <c r="G1103" i="1"/>
  <c r="G1119" i="1"/>
  <c r="G1127" i="1"/>
  <c r="G1135" i="1"/>
  <c r="G1143" i="1"/>
  <c r="G1151" i="1"/>
  <c r="G1159" i="1"/>
  <c r="G1167" i="1"/>
  <c r="G1183" i="1"/>
  <c r="G1191" i="1"/>
  <c r="G1199" i="1"/>
  <c r="G1207" i="1"/>
  <c r="G1215" i="1"/>
  <c r="G1223" i="1"/>
  <c r="G1231" i="1"/>
  <c r="G1247" i="1"/>
  <c r="G1255" i="1"/>
  <c r="H18" i="1"/>
  <c r="H34" i="1"/>
  <c r="H58" i="1"/>
  <c r="H82" i="1"/>
  <c r="H98" i="1"/>
  <c r="H122" i="1"/>
  <c r="H146" i="1"/>
  <c r="H162" i="1"/>
  <c r="H186" i="1"/>
  <c r="H210" i="1"/>
  <c r="H226" i="1"/>
  <c r="H250" i="1"/>
  <c r="H274" i="1"/>
  <c r="H290" i="1"/>
  <c r="H314" i="1"/>
  <c r="H338" i="1"/>
  <c r="H354" i="1"/>
  <c r="H378" i="1"/>
  <c r="H402" i="1"/>
  <c r="H418" i="1"/>
  <c r="H442" i="1"/>
  <c r="H466" i="1"/>
  <c r="H498" i="1"/>
  <c r="H530" i="1"/>
  <c r="H562" i="1"/>
  <c r="H594" i="1"/>
  <c r="H626" i="1"/>
  <c r="H658" i="1"/>
  <c r="H851" i="1"/>
  <c r="G616" i="1"/>
  <c r="H19" i="1"/>
  <c r="H43" i="1"/>
  <c r="H59" i="1"/>
  <c r="H83" i="1"/>
  <c r="H107" i="1"/>
  <c r="H123" i="1"/>
  <c r="H147" i="1"/>
  <c r="H171" i="1"/>
  <c r="H187" i="1"/>
  <c r="H211" i="1"/>
  <c r="H235" i="1"/>
  <c r="H251" i="1"/>
  <c r="H275" i="1"/>
  <c r="H299" i="1"/>
  <c r="H315" i="1"/>
  <c r="H339" i="1"/>
  <c r="H363" i="1"/>
  <c r="H379" i="1"/>
  <c r="H403" i="1"/>
  <c r="H427" i="1"/>
  <c r="H443" i="1"/>
  <c r="H467" i="1"/>
  <c r="H475" i="1"/>
  <c r="H499" i="1"/>
  <c r="H507" i="1"/>
  <c r="H531" i="1"/>
  <c r="H539" i="1"/>
  <c r="H563" i="1"/>
  <c r="H571" i="1"/>
  <c r="H595" i="1"/>
  <c r="H603" i="1"/>
  <c r="H627" i="1"/>
  <c r="H635" i="1"/>
  <c r="H659" i="1"/>
  <c r="H667" i="1"/>
  <c r="H1051" i="1"/>
  <c r="H1019" i="1"/>
  <c r="H987" i="1"/>
  <c r="H955" i="1"/>
  <c r="H923" i="1"/>
  <c r="H875" i="1"/>
  <c r="G1192" i="1"/>
  <c r="G105" i="1"/>
  <c r="G937" i="1"/>
  <c r="G371" i="1"/>
  <c r="G729" i="1"/>
  <c r="G897" i="1"/>
  <c r="G1073" i="1"/>
  <c r="G4" i="1"/>
  <c r="G12" i="1"/>
  <c r="G20" i="1"/>
  <c r="G28" i="1"/>
  <c r="G36" i="1"/>
  <c r="G44" i="1"/>
  <c r="G52" i="1"/>
  <c r="G60" i="1"/>
  <c r="G68" i="1"/>
  <c r="G76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538" i="1"/>
  <c r="G537" i="1"/>
  <c r="G857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308" i="1"/>
  <c r="G316" i="1"/>
  <c r="G324" i="1"/>
  <c r="G332" i="1"/>
  <c r="G340" i="1"/>
  <c r="G348" i="1"/>
  <c r="G356" i="1"/>
  <c r="G364" i="1"/>
  <c r="G372" i="1"/>
  <c r="G380" i="1"/>
  <c r="G388" i="1"/>
  <c r="G396" i="1"/>
  <c r="G404" i="1"/>
  <c r="G412" i="1"/>
  <c r="G420" i="1"/>
  <c r="G428" i="1"/>
  <c r="G436" i="1"/>
  <c r="G444" i="1"/>
  <c r="G452" i="1"/>
  <c r="G460" i="1"/>
  <c r="G468" i="1"/>
  <c r="G476" i="1"/>
  <c r="G484" i="1"/>
  <c r="G492" i="1"/>
  <c r="G500" i="1"/>
  <c r="G508" i="1"/>
  <c r="G516" i="1"/>
  <c r="G524" i="1"/>
  <c r="G532" i="1"/>
  <c r="G540" i="1"/>
  <c r="G548" i="1"/>
  <c r="G556" i="1"/>
  <c r="G564" i="1"/>
  <c r="G572" i="1"/>
  <c r="G580" i="1"/>
  <c r="G588" i="1"/>
  <c r="G596" i="1"/>
  <c r="G604" i="1"/>
  <c r="G612" i="1"/>
  <c r="G620" i="1"/>
  <c r="G628" i="1"/>
  <c r="G636" i="1"/>
  <c r="G644" i="1"/>
  <c r="G652" i="1"/>
  <c r="G660" i="1"/>
  <c r="G668" i="1"/>
  <c r="G676" i="1"/>
  <c r="G684" i="1"/>
  <c r="G692" i="1"/>
  <c r="G700" i="1"/>
  <c r="G708" i="1"/>
  <c r="G716" i="1"/>
  <c r="G724" i="1"/>
  <c r="G732" i="1"/>
  <c r="G740" i="1"/>
  <c r="G748" i="1"/>
  <c r="G756" i="1"/>
  <c r="G764" i="1"/>
  <c r="G772" i="1"/>
  <c r="G780" i="1"/>
  <c r="G788" i="1"/>
  <c r="G796" i="1"/>
  <c r="G804" i="1"/>
  <c r="G812" i="1"/>
  <c r="G820" i="1"/>
  <c r="G828" i="1"/>
  <c r="G836" i="1"/>
  <c r="G694" i="1"/>
  <c r="G8" i="1"/>
  <c r="G16" i="1"/>
  <c r="G24" i="1"/>
  <c r="G32" i="1"/>
  <c r="G40" i="1"/>
  <c r="G48" i="1"/>
  <c r="G56" i="1"/>
  <c r="G64" i="1"/>
  <c r="G72" i="1"/>
  <c r="G80" i="1"/>
  <c r="G88" i="1"/>
  <c r="G96" i="1"/>
  <c r="G104" i="1"/>
  <c r="G112" i="1"/>
  <c r="G120" i="1"/>
  <c r="G128" i="1"/>
  <c r="G136" i="1"/>
  <c r="G144" i="1"/>
  <c r="G152" i="1"/>
  <c r="G160" i="1"/>
  <c r="G168" i="1"/>
  <c r="G176" i="1"/>
  <c r="G184" i="1"/>
  <c r="G192" i="1"/>
  <c r="G200" i="1"/>
  <c r="G208" i="1"/>
  <c r="G216" i="1"/>
  <c r="G224" i="1"/>
  <c r="G232" i="1"/>
  <c r="G240" i="1"/>
  <c r="G248" i="1"/>
  <c r="G256" i="1"/>
  <c r="G264" i="1"/>
  <c r="G272" i="1"/>
  <c r="G280" i="1"/>
  <c r="G288" i="1"/>
  <c r="G296" i="1"/>
  <c r="G304" i="1"/>
  <c r="G312" i="1"/>
  <c r="G320" i="1"/>
  <c r="G328" i="1"/>
  <c r="G336" i="1"/>
  <c r="G344" i="1"/>
  <c r="G352" i="1"/>
  <c r="G360" i="1"/>
  <c r="G368" i="1"/>
  <c r="G376" i="1"/>
  <c r="G384" i="1"/>
  <c r="G392" i="1"/>
  <c r="G400" i="1"/>
  <c r="G408" i="1"/>
  <c r="G416" i="1"/>
  <c r="G424" i="1"/>
  <c r="G432" i="1"/>
  <c r="G440" i="1"/>
  <c r="G448" i="1"/>
  <c r="G456" i="1"/>
  <c r="G464" i="1"/>
  <c r="G472" i="1"/>
  <c r="G480" i="1"/>
  <c r="G488" i="1"/>
  <c r="G496" i="1"/>
  <c r="G728" i="1"/>
  <c r="G976" i="1"/>
  <c r="G1072" i="1"/>
  <c r="G1112" i="1"/>
  <c r="G720" i="1"/>
  <c r="G512" i="1"/>
  <c r="G528" i="1"/>
  <c r="G536" i="1"/>
  <c r="G560" i="1"/>
  <c r="G576" i="1"/>
  <c r="G592" i="1"/>
  <c r="G608" i="1"/>
  <c r="G624" i="1"/>
  <c r="G640" i="1"/>
  <c r="G664" i="1"/>
  <c r="G680" i="1"/>
  <c r="G696" i="1"/>
  <c r="G712" i="1"/>
  <c r="G744" i="1"/>
  <c r="G760" i="1"/>
  <c r="G776" i="1"/>
  <c r="G792" i="1"/>
  <c r="G816" i="1"/>
  <c r="G920" i="1"/>
  <c r="G936" i="1"/>
  <c r="G952" i="1"/>
  <c r="G968" i="1"/>
  <c r="G984" i="1"/>
  <c r="G1008" i="1"/>
  <c r="G1016" i="1"/>
  <c r="G1032" i="1"/>
  <c r="G1064" i="1"/>
  <c r="G1080" i="1"/>
  <c r="G1096" i="1"/>
  <c r="G1120" i="1"/>
  <c r="G1136" i="1"/>
  <c r="G1152" i="1"/>
  <c r="G1168" i="1"/>
  <c r="G1184" i="1"/>
  <c r="G1200" i="1"/>
  <c r="G1224" i="1"/>
  <c r="G1240" i="1"/>
  <c r="G1256" i="1"/>
  <c r="G1153" i="1"/>
  <c r="G65" i="1"/>
  <c r="G305" i="1"/>
  <c r="G497" i="1"/>
  <c r="G1113" i="1"/>
  <c r="G106" i="1"/>
  <c r="F801" i="1"/>
  <c r="F1141" i="1"/>
  <c r="F1157" i="1"/>
  <c r="F1189" i="1"/>
  <c r="F1205" i="1"/>
  <c r="F1213" i="1"/>
  <c r="F1221" i="1"/>
  <c r="F1245" i="1"/>
  <c r="G18" i="1"/>
  <c r="G42" i="1"/>
  <c r="G58" i="1"/>
  <c r="G82" i="1"/>
  <c r="G122" i="1"/>
  <c r="G146" i="1"/>
  <c r="G170" i="1"/>
  <c r="G186" i="1"/>
  <c r="G210" i="1"/>
  <c r="G234" i="1"/>
  <c r="G250" i="1"/>
  <c r="G274" i="1"/>
  <c r="G290" i="1"/>
  <c r="G298" i="1"/>
  <c r="G354" i="1"/>
  <c r="G362" i="1"/>
  <c r="G370" i="1"/>
  <c r="G378" i="1"/>
  <c r="G410" i="1"/>
  <c r="G426" i="1"/>
  <c r="G618" i="1"/>
  <c r="G922" i="1"/>
  <c r="G1026" i="1"/>
  <c r="G1050" i="1"/>
  <c r="G1178" i="1"/>
  <c r="G458" i="1"/>
  <c r="G504" i="1"/>
  <c r="G520" i="1"/>
  <c r="G544" i="1"/>
  <c r="G552" i="1"/>
  <c r="G568" i="1"/>
  <c r="G584" i="1"/>
  <c r="G600" i="1"/>
  <c r="G632" i="1"/>
  <c r="G648" i="1"/>
  <c r="G656" i="1"/>
  <c r="G672" i="1"/>
  <c r="G688" i="1"/>
  <c r="G704" i="1"/>
  <c r="G736" i="1"/>
  <c r="G752" i="1"/>
  <c r="G768" i="1"/>
  <c r="G784" i="1"/>
  <c r="G800" i="1"/>
  <c r="G808" i="1"/>
  <c r="G824" i="1"/>
  <c r="G832" i="1"/>
  <c r="G840" i="1"/>
  <c r="G848" i="1"/>
  <c r="G856" i="1"/>
  <c r="G864" i="1"/>
  <c r="G872" i="1"/>
  <c r="G880" i="1"/>
  <c r="G888" i="1"/>
  <c r="G896" i="1"/>
  <c r="G904" i="1"/>
  <c r="G912" i="1"/>
  <c r="G928" i="1"/>
  <c r="G944" i="1"/>
  <c r="G960" i="1"/>
  <c r="G992" i="1"/>
  <c r="G1000" i="1"/>
  <c r="G1024" i="1"/>
  <c r="G1040" i="1"/>
  <c r="G1056" i="1"/>
  <c r="G1088" i="1"/>
  <c r="G1104" i="1"/>
  <c r="G1128" i="1"/>
  <c r="G1144" i="1"/>
  <c r="G1160" i="1"/>
  <c r="G1176" i="1"/>
  <c r="G1208" i="1"/>
  <c r="G1216" i="1"/>
  <c r="G1232" i="1"/>
  <c r="G1248" i="1"/>
  <c r="G777" i="1"/>
  <c r="G41" i="1"/>
  <c r="G489" i="1"/>
  <c r="G1033" i="1"/>
  <c r="G1129" i="1"/>
  <c r="G331" i="1"/>
  <c r="G394" i="1"/>
  <c r="G844" i="1"/>
  <c r="G852" i="1"/>
  <c r="G860" i="1"/>
  <c r="G868" i="1"/>
  <c r="G876" i="1"/>
  <c r="G884" i="1"/>
  <c r="G892" i="1"/>
  <c r="G900" i="1"/>
  <c r="G908" i="1"/>
  <c r="G916" i="1"/>
  <c r="G924" i="1"/>
  <c r="G932" i="1"/>
  <c r="G940" i="1"/>
  <c r="G948" i="1"/>
  <c r="G956" i="1"/>
  <c r="G964" i="1"/>
  <c r="G972" i="1"/>
  <c r="G980" i="1"/>
  <c r="G988" i="1"/>
  <c r="G996" i="1"/>
  <c r="G1004" i="1"/>
  <c r="G1012" i="1"/>
  <c r="G1020" i="1"/>
  <c r="G1028" i="1"/>
  <c r="G1036" i="1"/>
  <c r="G1044" i="1"/>
  <c r="G1052" i="1"/>
  <c r="G1060" i="1"/>
  <c r="G1068" i="1"/>
  <c r="G1076" i="1"/>
  <c r="G1084" i="1"/>
  <c r="G1092" i="1"/>
  <c r="G1100" i="1"/>
  <c r="G1108" i="1"/>
  <c r="G1116" i="1"/>
  <c r="G1124" i="1"/>
  <c r="G1132" i="1"/>
  <c r="G1140" i="1"/>
  <c r="G1148" i="1"/>
  <c r="G1156" i="1"/>
  <c r="G1164" i="1"/>
  <c r="G1172" i="1"/>
  <c r="G1180" i="1"/>
  <c r="G1188" i="1"/>
  <c r="G1196" i="1"/>
  <c r="G1204" i="1"/>
  <c r="G1212" i="1"/>
  <c r="G1220" i="1"/>
  <c r="G1228" i="1"/>
  <c r="G1236" i="1"/>
  <c r="G1244" i="1"/>
  <c r="G1252" i="1"/>
  <c r="F656" i="1"/>
  <c r="F740" i="1"/>
  <c r="F964" i="1"/>
  <c r="F972" i="1"/>
  <c r="F1184" i="1"/>
  <c r="F1240" i="1"/>
  <c r="G27" i="1"/>
  <c r="G26" i="1"/>
  <c r="G67" i="1"/>
  <c r="G66" i="1"/>
  <c r="F10" i="1"/>
  <c r="F18" i="1"/>
  <c r="F26" i="1"/>
  <c r="F34" i="1"/>
  <c r="F42" i="1"/>
  <c r="F50" i="1"/>
  <c r="F58" i="1"/>
  <c r="F62" i="1"/>
  <c r="F70" i="1"/>
  <c r="F78" i="1"/>
  <c r="F86" i="1"/>
  <c r="F98" i="1"/>
  <c r="F102" i="1"/>
  <c r="F110" i="1"/>
  <c r="F118" i="1"/>
  <c r="F126" i="1"/>
  <c r="F134" i="1"/>
  <c r="F142" i="1"/>
  <c r="F146" i="1"/>
  <c r="F154" i="1"/>
  <c r="F162" i="1"/>
  <c r="F170" i="1"/>
  <c r="F178" i="1"/>
  <c r="F186" i="1"/>
  <c r="F194" i="1"/>
  <c r="F202" i="1"/>
  <c r="F210" i="1"/>
  <c r="F218" i="1"/>
  <c r="F226" i="1"/>
  <c r="F234" i="1"/>
  <c r="F238" i="1"/>
  <c r="F246" i="1"/>
  <c r="F254" i="1"/>
  <c r="F262" i="1"/>
  <c r="F270" i="1"/>
  <c r="F274" i="1"/>
  <c r="F282" i="1"/>
  <c r="F294" i="1"/>
  <c r="F302" i="1"/>
  <c r="F310" i="1"/>
  <c r="F318" i="1"/>
  <c r="F326" i="1"/>
  <c r="F334" i="1"/>
  <c r="F342" i="1"/>
  <c r="F5" i="1"/>
  <c r="F14" i="1"/>
  <c r="F22" i="1"/>
  <c r="F30" i="1"/>
  <c r="F38" i="1"/>
  <c r="F46" i="1"/>
  <c r="F54" i="1"/>
  <c r="F66" i="1"/>
  <c r="F74" i="1"/>
  <c r="F82" i="1"/>
  <c r="F90" i="1"/>
  <c r="F94" i="1"/>
  <c r="F106" i="1"/>
  <c r="F114" i="1"/>
  <c r="F122" i="1"/>
  <c r="F130" i="1"/>
  <c r="F138" i="1"/>
  <c r="F150" i="1"/>
  <c r="F158" i="1"/>
  <c r="F166" i="1"/>
  <c r="F174" i="1"/>
  <c r="F182" i="1"/>
  <c r="F190" i="1"/>
  <c r="F198" i="1"/>
  <c r="F206" i="1"/>
  <c r="F214" i="1"/>
  <c r="F222" i="1"/>
  <c r="F230" i="1"/>
  <c r="F242" i="1"/>
  <c r="F250" i="1"/>
  <c r="F258" i="1"/>
  <c r="F266" i="1"/>
  <c r="F278" i="1"/>
  <c r="F286" i="1"/>
  <c r="F290" i="1"/>
  <c r="F298" i="1"/>
  <c r="F306" i="1"/>
  <c r="F314" i="1"/>
  <c r="F322" i="1"/>
  <c r="F330" i="1"/>
  <c r="F338" i="1"/>
  <c r="F346" i="1"/>
  <c r="G61" i="1"/>
  <c r="G69" i="1"/>
  <c r="G77" i="1"/>
  <c r="G85" i="1"/>
  <c r="G93" i="1"/>
  <c r="G101" i="1"/>
  <c r="G109" i="1"/>
  <c r="G181" i="1"/>
  <c r="G189" i="1"/>
  <c r="G197" i="1"/>
  <c r="G205" i="1"/>
  <c r="G213" i="1"/>
  <c r="G229" i="1"/>
  <c r="G245" i="1"/>
  <c r="G341" i="1"/>
  <c r="G365" i="1"/>
  <c r="G389" i="1"/>
  <c r="G413" i="1"/>
  <c r="G437" i="1"/>
  <c r="G453" i="1"/>
  <c r="G477" i="1"/>
  <c r="G637" i="1"/>
  <c r="G661" i="1"/>
  <c r="G685" i="1"/>
  <c r="G717" i="1"/>
  <c r="G741" i="1"/>
  <c r="G773" i="1"/>
  <c r="G797" i="1"/>
  <c r="G821" i="1"/>
  <c r="G853" i="1"/>
  <c r="G877" i="1"/>
  <c r="G901" i="1"/>
  <c r="G925" i="1"/>
  <c r="G949" i="1"/>
  <c r="G973" i="1"/>
  <c r="G974" i="1"/>
  <c r="G989" i="1"/>
  <c r="G1013" i="1"/>
  <c r="G1037" i="1"/>
  <c r="G1053" i="1"/>
  <c r="G1054" i="1"/>
  <c r="G1077" i="1"/>
  <c r="G1109" i="1"/>
  <c r="G1133" i="1"/>
  <c r="G1165" i="1"/>
  <c r="G1181" i="1"/>
  <c r="G1182" i="1"/>
  <c r="G1213" i="1"/>
  <c r="G1237" i="1"/>
  <c r="F1143" i="1"/>
  <c r="F1175" i="1"/>
  <c r="G6" i="1"/>
  <c r="G14" i="1"/>
  <c r="G22" i="1"/>
  <c r="G30" i="1"/>
  <c r="G38" i="1"/>
  <c r="G46" i="1"/>
  <c r="G54" i="1"/>
  <c r="G62" i="1"/>
  <c r="G70" i="1"/>
  <c r="G78" i="1"/>
  <c r="G94" i="1"/>
  <c r="G102" i="1"/>
  <c r="G110" i="1"/>
  <c r="G118" i="1"/>
  <c r="G126" i="1"/>
  <c r="G134" i="1"/>
  <c r="G150" i="1"/>
  <c r="G158" i="1"/>
  <c r="G166" i="1"/>
  <c r="G174" i="1"/>
  <c r="G182" i="1"/>
  <c r="G190" i="1"/>
  <c r="G198" i="1"/>
  <c r="G206" i="1"/>
  <c r="G214" i="1"/>
  <c r="G222" i="1"/>
  <c r="G230" i="1"/>
  <c r="G238" i="1"/>
  <c r="G246" i="1"/>
  <c r="G254" i="1"/>
  <c r="G262" i="1"/>
  <c r="G270" i="1"/>
  <c r="G278" i="1"/>
  <c r="G286" i="1"/>
  <c r="G294" i="1"/>
  <c r="G302" i="1"/>
  <c r="G310" i="1"/>
  <c r="G318" i="1"/>
  <c r="G326" i="1"/>
  <c r="G334" i="1"/>
  <c r="G342" i="1"/>
  <c r="G350" i="1"/>
  <c r="G358" i="1"/>
  <c r="G366" i="1"/>
  <c r="G374" i="1"/>
  <c r="G382" i="1"/>
  <c r="G390" i="1"/>
  <c r="G398" i="1"/>
  <c r="G406" i="1"/>
  <c r="G414" i="1"/>
  <c r="G422" i="1"/>
  <c r="G430" i="1"/>
  <c r="G438" i="1"/>
  <c r="G446" i="1"/>
  <c r="G454" i="1"/>
  <c r="G462" i="1"/>
  <c r="G470" i="1"/>
  <c r="G478" i="1"/>
  <c r="G486" i="1"/>
  <c r="G494" i="1"/>
  <c r="G502" i="1"/>
  <c r="G510" i="1"/>
  <c r="G518" i="1"/>
  <c r="G526" i="1"/>
  <c r="G534" i="1"/>
  <c r="G542" i="1"/>
  <c r="G550" i="1"/>
  <c r="G558" i="1"/>
  <c r="G566" i="1"/>
  <c r="G574" i="1"/>
  <c r="G718" i="1"/>
  <c r="G798" i="1"/>
  <c r="G822" i="1"/>
  <c r="G910" i="1"/>
  <c r="G926" i="1"/>
  <c r="G934" i="1"/>
  <c r="G990" i="1"/>
  <c r="G1014" i="1"/>
  <c r="G1038" i="1"/>
  <c r="G1118" i="1"/>
  <c r="G1126" i="1"/>
  <c r="G1230" i="1"/>
  <c r="G311" i="1"/>
  <c r="G15" i="1"/>
  <c r="G31" i="1"/>
  <c r="G55" i="1"/>
  <c r="G95" i="1"/>
  <c r="G103" i="1"/>
  <c r="G127" i="1"/>
  <c r="G183" i="1"/>
  <c r="G223" i="1"/>
  <c r="G231" i="1"/>
  <c r="G247" i="1"/>
  <c r="G287" i="1"/>
  <c r="G295" i="1"/>
  <c r="G319" i="1"/>
  <c r="G335" i="1"/>
  <c r="G351" i="1"/>
  <c r="G359" i="1"/>
  <c r="G383" i="1"/>
  <c r="G399" i="1"/>
  <c r="G415" i="1"/>
  <c r="G423" i="1"/>
  <c r="G439" i="1"/>
  <c r="G447" i="1"/>
  <c r="G463" i="1"/>
  <c r="G479" i="1"/>
  <c r="G487" i="1"/>
  <c r="G503" i="1"/>
  <c r="G527" i="1"/>
  <c r="G543" i="1"/>
  <c r="G567" i="1"/>
  <c r="G575" i="1"/>
  <c r="G1241" i="1"/>
  <c r="G1166" i="1"/>
  <c r="G950" i="1"/>
  <c r="G221" i="1"/>
  <c r="G253" i="1"/>
  <c r="G317" i="1"/>
  <c r="G333" i="1"/>
  <c r="G357" i="1"/>
  <c r="G381" i="1"/>
  <c r="G405" i="1"/>
  <c r="G429" i="1"/>
  <c r="G461" i="1"/>
  <c r="G485" i="1"/>
  <c r="G645" i="1"/>
  <c r="G669" i="1"/>
  <c r="G693" i="1"/>
  <c r="G709" i="1"/>
  <c r="G733" i="1"/>
  <c r="G765" i="1"/>
  <c r="G789" i="1"/>
  <c r="G813" i="1"/>
  <c r="G837" i="1"/>
  <c r="G869" i="1"/>
  <c r="G893" i="1"/>
  <c r="G917" i="1"/>
  <c r="G941" i="1"/>
  <c r="G965" i="1"/>
  <c r="G997" i="1"/>
  <c r="G1021" i="1"/>
  <c r="G1045" i="1"/>
  <c r="G1069" i="1"/>
  <c r="G1093" i="1"/>
  <c r="G1117" i="1"/>
  <c r="G1141" i="1"/>
  <c r="G1142" i="1"/>
  <c r="G1157" i="1"/>
  <c r="G1197" i="1"/>
  <c r="G1221" i="1"/>
  <c r="G1245" i="1"/>
  <c r="G86" i="1"/>
  <c r="G1246" i="1"/>
  <c r="F764" i="1"/>
  <c r="F1148" i="1"/>
  <c r="G1161" i="1"/>
  <c r="G1025" i="1"/>
  <c r="G945" i="1"/>
  <c r="G809" i="1"/>
  <c r="G742" i="1"/>
  <c r="G553" i="1"/>
  <c r="G449" i="1"/>
  <c r="G237" i="1"/>
  <c r="G325" i="1"/>
  <c r="G349" i="1"/>
  <c r="G373" i="1"/>
  <c r="G397" i="1"/>
  <c r="G421" i="1"/>
  <c r="G445" i="1"/>
  <c r="G469" i="1"/>
  <c r="G493" i="1"/>
  <c r="G629" i="1"/>
  <c r="G653" i="1"/>
  <c r="G677" i="1"/>
  <c r="G701" i="1"/>
  <c r="G725" i="1"/>
  <c r="G749" i="1"/>
  <c r="G757" i="1"/>
  <c r="G758" i="1"/>
  <c r="G781" i="1"/>
  <c r="G805" i="1"/>
  <c r="G806" i="1"/>
  <c r="G829" i="1"/>
  <c r="G845" i="1"/>
  <c r="G861" i="1"/>
  <c r="G885" i="1"/>
  <c r="G886" i="1"/>
  <c r="G909" i="1"/>
  <c r="G933" i="1"/>
  <c r="G957" i="1"/>
  <c r="G981" i="1"/>
  <c r="G1005" i="1"/>
  <c r="G1029" i="1"/>
  <c r="G1061" i="1"/>
  <c r="G1085" i="1"/>
  <c r="G1101" i="1"/>
  <c r="G1102" i="1"/>
  <c r="G1125" i="1"/>
  <c r="G1149" i="1"/>
  <c r="G1173" i="1"/>
  <c r="G1189" i="1"/>
  <c r="G1190" i="1"/>
  <c r="G1205" i="1"/>
  <c r="G1229" i="1"/>
  <c r="G1253" i="1"/>
  <c r="G1254" i="1"/>
  <c r="G846" i="1"/>
  <c r="G142" i="1"/>
  <c r="G17" i="1"/>
  <c r="G25" i="1"/>
  <c r="G49" i="1"/>
  <c r="G81" i="1"/>
  <c r="G89" i="1"/>
  <c r="G113" i="1"/>
  <c r="G129" i="1"/>
  <c r="G145" i="1"/>
  <c r="G153" i="1"/>
  <c r="G169" i="1"/>
  <c r="G177" i="1"/>
  <c r="G193" i="1"/>
  <c r="G209" i="1"/>
  <c r="G217" i="1"/>
  <c r="G233" i="1"/>
  <c r="G241" i="1"/>
  <c r="G257" i="1"/>
  <c r="G273" i="1"/>
  <c r="G281" i="1"/>
  <c r="G297" i="1"/>
  <c r="G433" i="1"/>
  <c r="G577" i="1"/>
  <c r="G657" i="1"/>
  <c r="G705" i="1"/>
  <c r="G753" i="1"/>
  <c r="G833" i="1"/>
  <c r="G841" i="1"/>
  <c r="G921" i="1"/>
  <c r="G961" i="1"/>
  <c r="G969" i="1"/>
  <c r="G1001" i="1"/>
  <c r="G1049" i="1"/>
  <c r="G1137" i="1"/>
  <c r="G1217" i="1"/>
  <c r="G1078" i="1"/>
  <c r="G734" i="1"/>
  <c r="G321" i="1"/>
  <c r="G337" i="1"/>
  <c r="G345" i="1"/>
  <c r="G361" i="1"/>
  <c r="G369" i="1"/>
  <c r="G401" i="1"/>
  <c r="G409" i="1"/>
  <c r="G425" i="1"/>
  <c r="G465" i="1"/>
  <c r="G473" i="1"/>
  <c r="G513" i="1"/>
  <c r="G529" i="1"/>
  <c r="G561" i="1"/>
  <c r="G601" i="1"/>
  <c r="G625" i="1"/>
  <c r="G641" i="1"/>
  <c r="G665" i="1"/>
  <c r="G681" i="1"/>
  <c r="G689" i="1"/>
  <c r="G697" i="1"/>
  <c r="G713" i="1"/>
  <c r="G721" i="1"/>
  <c r="G737" i="1"/>
  <c r="G745" i="1"/>
  <c r="G761" i="1"/>
  <c r="G769" i="1"/>
  <c r="G785" i="1"/>
  <c r="G793" i="1"/>
  <c r="G801" i="1"/>
  <c r="G817" i="1"/>
  <c r="G825" i="1"/>
  <c r="G849" i="1"/>
  <c r="G865" i="1"/>
  <c r="G873" i="1"/>
  <c r="G881" i="1"/>
  <c r="G889" i="1"/>
  <c r="G905" i="1"/>
  <c r="G913" i="1"/>
  <c r="G929" i="1"/>
  <c r="G953" i="1"/>
  <c r="G977" i="1"/>
  <c r="G985" i="1"/>
  <c r="G993" i="1"/>
  <c r="G1009" i="1"/>
  <c r="G1017" i="1"/>
  <c r="G1041" i="1"/>
  <c r="G1057" i="1"/>
  <c r="G1065" i="1"/>
  <c r="G1081" i="1"/>
  <c r="G1089" i="1"/>
  <c r="G1097" i="1"/>
  <c r="G1105" i="1"/>
  <c r="G1121" i="1"/>
  <c r="G1145" i="1"/>
  <c r="G1169" i="1"/>
  <c r="G1177" i="1"/>
  <c r="G1185" i="1"/>
  <c r="G1193" i="1"/>
  <c r="G1201" i="1"/>
  <c r="G1209" i="1"/>
  <c r="G1225" i="1"/>
  <c r="G1233" i="1"/>
  <c r="G1249" i="1"/>
  <c r="G314" i="1"/>
  <c r="G330" i="1"/>
  <c r="G338" i="1"/>
  <c r="G402" i="1"/>
  <c r="G442" i="1"/>
  <c r="G450" i="1"/>
  <c r="G466" i="1"/>
  <c r="G474" i="1"/>
  <c r="G490" i="1"/>
  <c r="G506" i="1"/>
  <c r="G514" i="1"/>
  <c r="G530" i="1"/>
  <c r="G554" i="1"/>
  <c r="G570" i="1"/>
  <c r="G594" i="1"/>
  <c r="G634" i="1"/>
  <c r="G658" i="1"/>
  <c r="G682" i="1"/>
  <c r="G690" i="1"/>
  <c r="G698" i="1"/>
  <c r="G706" i="1"/>
  <c r="G714" i="1"/>
  <c r="G722" i="1"/>
  <c r="G730" i="1"/>
  <c r="G738" i="1"/>
  <c r="G746" i="1"/>
  <c r="G754" i="1"/>
  <c r="G762" i="1"/>
  <c r="G770" i="1"/>
  <c r="G778" i="1"/>
  <c r="G786" i="1"/>
  <c r="G794" i="1"/>
  <c r="G802" i="1"/>
  <c r="G810" i="1"/>
  <c r="G818" i="1"/>
  <c r="G826" i="1"/>
  <c r="G834" i="1"/>
  <c r="G842" i="1"/>
  <c r="G850" i="1"/>
  <c r="G858" i="1"/>
  <c r="G866" i="1"/>
  <c r="G874" i="1"/>
  <c r="G882" i="1"/>
  <c r="G890" i="1"/>
  <c r="G898" i="1"/>
  <c r="G906" i="1"/>
  <c r="G914" i="1"/>
  <c r="G930" i="1"/>
  <c r="G938" i="1"/>
  <c r="G946" i="1"/>
  <c r="G954" i="1"/>
  <c r="G962" i="1"/>
  <c r="G970" i="1"/>
  <c r="G978" i="1"/>
  <c r="G986" i="1"/>
  <c r="G994" i="1"/>
  <c r="G1002" i="1"/>
  <c r="G1010" i="1"/>
  <c r="G1018" i="1"/>
  <c r="G1034" i="1"/>
  <c r="G1042" i="1"/>
  <c r="G1058" i="1"/>
  <c r="G1066" i="1"/>
  <c r="G1074" i="1"/>
  <c r="G1082" i="1"/>
  <c r="G1090" i="1"/>
  <c r="G1098" i="1"/>
  <c r="G1106" i="1"/>
  <c r="G1114" i="1"/>
  <c r="G1122" i="1"/>
  <c r="G1130" i="1"/>
  <c r="G1138" i="1"/>
  <c r="G1146" i="1"/>
  <c r="G1162" i="1"/>
  <c r="G1170" i="1"/>
  <c r="G1186" i="1"/>
  <c r="G1194" i="1"/>
  <c r="G1202" i="1"/>
  <c r="G1210" i="1"/>
  <c r="G1218" i="1"/>
  <c r="G1226" i="1"/>
  <c r="G1234" i="1"/>
  <c r="G1242" i="1"/>
  <c r="G1250" i="1"/>
  <c r="G578" i="1"/>
  <c r="G434" i="1"/>
  <c r="G498" i="1"/>
  <c r="G582" i="1"/>
  <c r="G590" i="1"/>
  <c r="G598" i="1"/>
  <c r="G606" i="1"/>
  <c r="G614" i="1"/>
  <c r="G622" i="1"/>
  <c r="G630" i="1"/>
  <c r="G638" i="1"/>
  <c r="G646" i="1"/>
  <c r="G654" i="1"/>
  <c r="G662" i="1"/>
  <c r="G670" i="1"/>
  <c r="G678" i="1"/>
  <c r="G686" i="1"/>
  <c r="G702" i="1"/>
  <c r="G710" i="1"/>
  <c r="G726" i="1"/>
  <c r="G750" i="1"/>
  <c r="G766" i="1"/>
  <c r="G774" i="1"/>
  <c r="G791" i="1"/>
  <c r="G814" i="1"/>
  <c r="G830" i="1"/>
  <c r="G838" i="1"/>
  <c r="G855" i="1"/>
  <c r="G878" i="1"/>
  <c r="G894" i="1"/>
  <c r="G902" i="1"/>
  <c r="G918" i="1"/>
  <c r="G942" i="1"/>
  <c r="G958" i="1"/>
  <c r="G966" i="1"/>
  <c r="G982" i="1"/>
  <c r="G1006" i="1"/>
  <c r="G1022" i="1"/>
  <c r="G1030" i="1"/>
  <c r="G1046" i="1"/>
  <c r="G1070" i="1"/>
  <c r="G1086" i="1"/>
  <c r="G1094" i="1"/>
  <c r="G1110" i="1"/>
  <c r="G1134" i="1"/>
  <c r="G1150" i="1"/>
  <c r="G1158" i="1"/>
  <c r="G1175" i="1"/>
  <c r="G1198" i="1"/>
  <c r="G1214" i="1"/>
  <c r="G1222" i="1"/>
  <c r="G1238" i="1"/>
  <c r="G451" i="1"/>
  <c r="G411" i="1"/>
  <c r="G355" i="1"/>
  <c r="G34" i="1"/>
  <c r="G35" i="1"/>
  <c r="G50" i="1"/>
  <c r="G51" i="1"/>
  <c r="G74" i="1"/>
  <c r="G75" i="1"/>
  <c r="G90" i="1"/>
  <c r="G91" i="1"/>
  <c r="G114" i="1"/>
  <c r="G115" i="1"/>
  <c r="G130" i="1"/>
  <c r="G131" i="1"/>
  <c r="G138" i="1"/>
  <c r="G139" i="1"/>
  <c r="G154" i="1"/>
  <c r="G155" i="1"/>
  <c r="G162" i="1"/>
  <c r="G163" i="1"/>
  <c r="G203" i="1"/>
  <c r="G202" i="1"/>
  <c r="G219" i="1"/>
  <c r="G218" i="1"/>
  <c r="G243" i="1"/>
  <c r="G242" i="1"/>
  <c r="G259" i="1"/>
  <c r="G258" i="1"/>
  <c r="G267" i="1"/>
  <c r="G266" i="1"/>
  <c r="G283" i="1"/>
  <c r="G282" i="1"/>
  <c r="G347" i="1"/>
  <c r="G346" i="1"/>
  <c r="G386" i="1"/>
  <c r="G387" i="1"/>
  <c r="G482" i="1"/>
  <c r="G483" i="1"/>
  <c r="G546" i="1"/>
  <c r="G547" i="1"/>
  <c r="G562" i="1"/>
  <c r="G563" i="1"/>
  <c r="G610" i="1"/>
  <c r="G611" i="1"/>
  <c r="G674" i="1"/>
  <c r="G675" i="1"/>
  <c r="G515" i="1"/>
  <c r="G475" i="1"/>
  <c r="G291" i="1"/>
  <c r="G10" i="1"/>
  <c r="G11" i="1"/>
  <c r="G98" i="1"/>
  <c r="G99" i="1"/>
  <c r="G179" i="1"/>
  <c r="G178" i="1"/>
  <c r="G194" i="1"/>
  <c r="G195" i="1"/>
  <c r="G226" i="1"/>
  <c r="G227" i="1"/>
  <c r="G307" i="1"/>
  <c r="G306" i="1"/>
  <c r="G323" i="1"/>
  <c r="G322" i="1"/>
  <c r="G418" i="1"/>
  <c r="G419" i="1"/>
  <c r="G522" i="1"/>
  <c r="G523" i="1"/>
  <c r="G586" i="1"/>
  <c r="G587" i="1"/>
  <c r="G602" i="1"/>
  <c r="G603" i="1"/>
  <c r="G626" i="1"/>
  <c r="G627" i="1"/>
  <c r="G642" i="1"/>
  <c r="G643" i="1"/>
  <c r="G650" i="1"/>
  <c r="G651" i="1"/>
  <c r="G666" i="1"/>
  <c r="G667" i="1"/>
  <c r="G19" i="1"/>
  <c r="G43" i="1"/>
  <c r="G59" i="1"/>
  <c r="G83" i="1"/>
  <c r="G107" i="1"/>
  <c r="G123" i="1"/>
  <c r="G147" i="1"/>
  <c r="G171" i="1"/>
  <c r="G187" i="1"/>
  <c r="G211" i="1"/>
  <c r="G235" i="1"/>
  <c r="G251" i="1"/>
  <c r="G275" i="1"/>
  <c r="G299" i="1"/>
  <c r="G315" i="1"/>
  <c r="G339" i="1"/>
  <c r="G363" i="1"/>
  <c r="G379" i="1"/>
  <c r="G403" i="1"/>
  <c r="G427" i="1"/>
  <c r="G443" i="1"/>
  <c r="G467" i="1"/>
  <c r="G491" i="1"/>
  <c r="G507" i="1"/>
  <c r="G531" i="1"/>
  <c r="G555" i="1"/>
  <c r="G571" i="1"/>
  <c r="G595" i="1"/>
  <c r="G619" i="1"/>
  <c r="G635" i="1"/>
  <c r="G659" i="1"/>
  <c r="G683" i="1"/>
  <c r="G691" i="1"/>
  <c r="G699" i="1"/>
  <c r="G707" i="1"/>
  <c r="G715" i="1"/>
  <c r="G723" i="1"/>
  <c r="G731" i="1"/>
  <c r="G739" i="1"/>
  <c r="G747" i="1"/>
  <c r="G755" i="1"/>
  <c r="G763" i="1"/>
  <c r="G771" i="1"/>
  <c r="G779" i="1"/>
  <c r="G787" i="1"/>
  <c r="G795" i="1"/>
  <c r="G803" i="1"/>
  <c r="G811" i="1"/>
  <c r="G819" i="1"/>
  <c r="G827" i="1"/>
  <c r="G835" i="1"/>
  <c r="G843" i="1"/>
  <c r="G851" i="1"/>
  <c r="G859" i="1"/>
  <c r="G867" i="1"/>
  <c r="G875" i="1"/>
  <c r="G883" i="1"/>
  <c r="G891" i="1"/>
  <c r="G899" i="1"/>
  <c r="G907" i="1"/>
  <c r="G915" i="1"/>
  <c r="G923" i="1"/>
  <c r="G931" i="1"/>
  <c r="G939" i="1"/>
  <c r="G947" i="1"/>
  <c r="G955" i="1"/>
  <c r="G963" i="1"/>
  <c r="G971" i="1"/>
  <c r="G979" i="1"/>
  <c r="G987" i="1"/>
  <c r="G995" i="1"/>
  <c r="G1003" i="1"/>
  <c r="G1011" i="1"/>
  <c r="G1019" i="1"/>
  <c r="G1027" i="1"/>
  <c r="G1035" i="1"/>
  <c r="G1043" i="1"/>
  <c r="G1051" i="1"/>
  <c r="G1059" i="1"/>
  <c r="G1067" i="1"/>
  <c r="G1075" i="1"/>
  <c r="G1083" i="1"/>
  <c r="G1091" i="1"/>
  <c r="G1099" i="1"/>
  <c r="G1107" i="1"/>
  <c r="G1115" i="1"/>
  <c r="G1123" i="1"/>
  <c r="G1131" i="1"/>
  <c r="G1139" i="1"/>
  <c r="G1147" i="1"/>
  <c r="G1155" i="1"/>
  <c r="G1163" i="1"/>
  <c r="G1171" i="1"/>
  <c r="G1179" i="1"/>
  <c r="G1187" i="1"/>
  <c r="G1195" i="1"/>
  <c r="G1203" i="1"/>
  <c r="G1211" i="1"/>
  <c r="G1219" i="1"/>
  <c r="G1227" i="1"/>
  <c r="G1235" i="1"/>
  <c r="G1243" i="1"/>
  <c r="G1251" i="1"/>
  <c r="F354" i="1"/>
  <c r="F366" i="1"/>
  <c r="F374" i="1"/>
  <c r="F386" i="1"/>
  <c r="F398" i="1"/>
  <c r="F410" i="1"/>
  <c r="F422" i="1"/>
  <c r="F438" i="1"/>
  <c r="F446" i="1"/>
  <c r="F458" i="1"/>
  <c r="F478" i="1"/>
  <c r="F490" i="1"/>
  <c r="F502" i="1"/>
  <c r="F510" i="1"/>
  <c r="F522" i="1"/>
  <c r="F542" i="1"/>
  <c r="F562" i="1"/>
  <c r="F570" i="1"/>
  <c r="F582" i="1"/>
  <c r="F594" i="1"/>
  <c r="F610" i="1"/>
  <c r="F622" i="1"/>
  <c r="F638" i="1"/>
  <c r="F650" i="1"/>
  <c r="F662" i="1"/>
  <c r="F670" i="1"/>
  <c r="F686" i="1"/>
  <c r="F1054" i="1"/>
  <c r="G1239" i="1"/>
  <c r="G1111" i="1"/>
  <c r="G1047" i="1"/>
  <c r="G983" i="1"/>
  <c r="G919" i="1"/>
  <c r="G727" i="1"/>
  <c r="G39" i="1"/>
  <c r="G7" i="1"/>
  <c r="G23" i="1"/>
  <c r="G47" i="1"/>
  <c r="G71" i="1"/>
  <c r="G87" i="1"/>
  <c r="G111" i="1"/>
  <c r="G135" i="1"/>
  <c r="G151" i="1"/>
  <c r="G175" i="1"/>
  <c r="G199" i="1"/>
  <c r="G215" i="1"/>
  <c r="G239" i="1"/>
  <c r="G263" i="1"/>
  <c r="G279" i="1"/>
  <c r="G303" i="1"/>
  <c r="G327" i="1"/>
  <c r="G343" i="1"/>
  <c r="G367" i="1"/>
  <c r="G391" i="1"/>
  <c r="G407" i="1"/>
  <c r="G431" i="1"/>
  <c r="G455" i="1"/>
  <c r="G471" i="1"/>
  <c r="G495" i="1"/>
  <c r="G519" i="1"/>
  <c r="G535" i="1"/>
  <c r="G559" i="1"/>
  <c r="G583" i="1"/>
  <c r="G599" i="1"/>
  <c r="G623" i="1"/>
  <c r="G647" i="1"/>
  <c r="G663" i="1"/>
  <c r="G1174" i="1"/>
  <c r="G854" i="1"/>
  <c r="G790" i="1"/>
  <c r="F358" i="1"/>
  <c r="F370" i="1"/>
  <c r="F390" i="1"/>
  <c r="F402" i="1"/>
  <c r="F414" i="1"/>
  <c r="F426" i="1"/>
  <c r="F434" i="1"/>
  <c r="F450" i="1"/>
  <c r="F466" i="1"/>
  <c r="F474" i="1"/>
  <c r="F486" i="1"/>
  <c r="F498" i="1"/>
  <c r="F514" i="1"/>
  <c r="F530" i="1"/>
  <c r="F546" i="1"/>
  <c r="F558" i="1"/>
  <c r="F574" i="1"/>
  <c r="F586" i="1"/>
  <c r="F598" i="1"/>
  <c r="F618" i="1"/>
  <c r="F630" i="1"/>
  <c r="F642" i="1"/>
  <c r="F658" i="1"/>
  <c r="F674" i="1"/>
  <c r="F682" i="1"/>
  <c r="F990" i="1"/>
  <c r="G671" i="1"/>
  <c r="G631" i="1"/>
  <c r="G591" i="1"/>
  <c r="G551" i="1"/>
  <c r="G511" i="1"/>
  <c r="G159" i="1"/>
  <c r="G119" i="1"/>
  <c r="G79" i="1"/>
  <c r="F532" i="1"/>
  <c r="F620" i="1"/>
  <c r="F624" i="1"/>
  <c r="F804" i="1"/>
  <c r="F812" i="1"/>
  <c r="F900" i="1"/>
  <c r="F948" i="1"/>
  <c r="F1076" i="1"/>
  <c r="F1092" i="1"/>
  <c r="F1100" i="1"/>
  <c r="F1109" i="1"/>
  <c r="F1160" i="1"/>
  <c r="F1176" i="1"/>
  <c r="F1216" i="1"/>
  <c r="F1248" i="1"/>
  <c r="F350" i="1"/>
  <c r="F362" i="1"/>
  <c r="F378" i="1"/>
  <c r="F382" i="1"/>
  <c r="F394" i="1"/>
  <c r="F406" i="1"/>
  <c r="F418" i="1"/>
  <c r="F430" i="1"/>
  <c r="F442" i="1"/>
  <c r="F454" i="1"/>
  <c r="F462" i="1"/>
  <c r="F470" i="1"/>
  <c r="F482" i="1"/>
  <c r="F494" i="1"/>
  <c r="F506" i="1"/>
  <c r="F518" i="1"/>
  <c r="F526" i="1"/>
  <c r="F538" i="1"/>
  <c r="F550" i="1"/>
  <c r="F554" i="1"/>
  <c r="F566" i="1"/>
  <c r="F578" i="1"/>
  <c r="F590" i="1"/>
  <c r="F602" i="1"/>
  <c r="F614" i="1"/>
  <c r="F626" i="1"/>
  <c r="F634" i="1"/>
  <c r="F646" i="1"/>
  <c r="F654" i="1"/>
  <c r="F666" i="1"/>
  <c r="F678" i="1"/>
  <c r="G9" i="1"/>
  <c r="G33" i="1"/>
  <c r="G57" i="1"/>
  <c r="G73" i="1"/>
  <c r="G97" i="1"/>
  <c r="G121" i="1"/>
  <c r="G137" i="1"/>
  <c r="G161" i="1"/>
  <c r="G185" i="1"/>
  <c r="G201" i="1"/>
  <c r="G225" i="1"/>
  <c r="G249" i="1"/>
  <c r="G265" i="1"/>
  <c r="G289" i="1"/>
  <c r="G313" i="1"/>
  <c r="G329" i="1"/>
  <c r="G353" i="1"/>
  <c r="G377" i="1"/>
  <c r="G393" i="1"/>
  <c r="G417" i="1"/>
  <c r="G441" i="1"/>
  <c r="G457" i="1"/>
  <c r="G481" i="1"/>
  <c r="G505" i="1"/>
  <c r="G521" i="1"/>
  <c r="G545" i="1"/>
  <c r="G569" i="1"/>
  <c r="G585" i="1"/>
  <c r="G609" i="1"/>
  <c r="G633" i="1"/>
  <c r="G649" i="1"/>
  <c r="G673" i="1"/>
  <c r="F690" i="1"/>
  <c r="F694" i="1"/>
  <c r="F698" i="1"/>
  <c r="F706" i="1"/>
  <c r="F714" i="1"/>
  <c r="F718" i="1"/>
  <c r="F722" i="1"/>
  <c r="F726" i="1"/>
  <c r="F730" i="1"/>
  <c r="F734" i="1"/>
  <c r="F742" i="1"/>
  <c r="F746" i="1"/>
  <c r="F750" i="1"/>
  <c r="F754" i="1"/>
  <c r="F758" i="1"/>
  <c r="F762" i="1"/>
  <c r="F766" i="1"/>
  <c r="F770" i="1"/>
  <c r="F774" i="1"/>
  <c r="F778" i="1"/>
  <c r="F782" i="1"/>
  <c r="F786" i="1"/>
  <c r="F790" i="1"/>
  <c r="F794" i="1"/>
  <c r="F798" i="1"/>
  <c r="F802" i="1"/>
  <c r="F806" i="1"/>
  <c r="F810" i="1"/>
  <c r="F814" i="1"/>
  <c r="F818" i="1"/>
  <c r="F822" i="1"/>
  <c r="F826" i="1"/>
  <c r="F834" i="1"/>
  <c r="F838" i="1"/>
  <c r="F846" i="1"/>
  <c r="F850" i="1"/>
  <c r="F854" i="1"/>
  <c r="F858" i="1"/>
  <c r="F862" i="1"/>
  <c r="F866" i="1"/>
  <c r="F870" i="1"/>
  <c r="F874" i="1"/>
  <c r="F878" i="1"/>
  <c r="G5" i="1"/>
  <c r="G13" i="1"/>
  <c r="G21" i="1"/>
  <c r="G29" i="1"/>
  <c r="G37" i="1"/>
  <c r="G45" i="1"/>
  <c r="G53" i="1"/>
  <c r="G117" i="1"/>
  <c r="G125" i="1"/>
  <c r="G133" i="1"/>
  <c r="G141" i="1"/>
  <c r="G149" i="1"/>
  <c r="G157" i="1"/>
  <c r="G165" i="1"/>
  <c r="G173" i="1"/>
  <c r="G261" i="1"/>
  <c r="G269" i="1"/>
  <c r="G277" i="1"/>
  <c r="G285" i="1"/>
  <c r="G293" i="1"/>
  <c r="G301" i="1"/>
  <c r="G309" i="1"/>
  <c r="G501" i="1"/>
  <c r="G509" i="1"/>
  <c r="G517" i="1"/>
  <c r="G525" i="1"/>
  <c r="G533" i="1"/>
  <c r="G541" i="1"/>
  <c r="G549" i="1"/>
  <c r="G557" i="1"/>
  <c r="G565" i="1"/>
  <c r="G573" i="1"/>
  <c r="G581" i="1"/>
  <c r="G589" i="1"/>
  <c r="G597" i="1"/>
  <c r="G605" i="1"/>
  <c r="G613" i="1"/>
  <c r="G621" i="1"/>
  <c r="F1239" i="1"/>
  <c r="F224" i="1"/>
  <c r="F388" i="1"/>
  <c r="F428" i="1"/>
  <c r="F520" i="1"/>
  <c r="F544" i="1"/>
  <c r="F556" i="1"/>
  <c r="F568" i="1"/>
  <c r="F580" i="1"/>
  <c r="F592" i="1"/>
  <c r="F604" i="1"/>
  <c r="F612" i="1"/>
  <c r="F628" i="1"/>
  <c r="F640" i="1"/>
  <c r="F652" i="1"/>
  <c r="F664" i="1"/>
  <c r="F676" i="1"/>
  <c r="F688" i="1"/>
  <c r="F700" i="1"/>
  <c r="F712" i="1"/>
  <c r="F724" i="1"/>
  <c r="F736" i="1"/>
  <c r="F748" i="1"/>
  <c r="F756" i="1"/>
  <c r="F768" i="1"/>
  <c r="F780" i="1"/>
  <c r="F792" i="1"/>
  <c r="F808" i="1"/>
  <c r="F820" i="1"/>
  <c r="F832" i="1"/>
  <c r="F844" i="1"/>
  <c r="F856" i="1"/>
  <c r="F868" i="1"/>
  <c r="F880" i="1"/>
  <c r="F892" i="1"/>
  <c r="F908" i="1"/>
  <c r="F920" i="1"/>
  <c r="F932" i="1"/>
  <c r="F944" i="1"/>
  <c r="F956" i="1"/>
  <c r="F976" i="1"/>
  <c r="F988" i="1"/>
  <c r="F1000" i="1"/>
  <c r="F1012" i="1"/>
  <c r="F1024" i="1"/>
  <c r="F1036" i="1"/>
  <c r="F1048" i="1"/>
  <c r="F1060" i="1"/>
  <c r="F1072" i="1"/>
  <c r="F1084" i="1"/>
  <c r="F1112" i="1"/>
  <c r="F1124" i="1"/>
  <c r="F1136" i="1"/>
  <c r="F1152" i="1"/>
  <c r="F1168" i="1"/>
  <c r="F1180" i="1"/>
  <c r="F1192" i="1"/>
  <c r="F1204" i="1"/>
  <c r="F1228" i="1"/>
  <c r="F1244" i="1"/>
  <c r="F7" i="1"/>
  <c r="F875" i="1"/>
  <c r="F436" i="1"/>
  <c r="F512" i="1"/>
  <c r="F524" i="1"/>
  <c r="F536" i="1"/>
  <c r="F548" i="1"/>
  <c r="F560" i="1"/>
  <c r="F572" i="1"/>
  <c r="F584" i="1"/>
  <c r="F596" i="1"/>
  <c r="F616" i="1"/>
  <c r="F636" i="1"/>
  <c r="F648" i="1"/>
  <c r="F672" i="1"/>
  <c r="F684" i="1"/>
  <c r="F692" i="1"/>
  <c r="F704" i="1"/>
  <c r="F720" i="1"/>
  <c r="F732" i="1"/>
  <c r="F752" i="1"/>
  <c r="F772" i="1"/>
  <c r="F784" i="1"/>
  <c r="F796" i="1"/>
  <c r="F824" i="1"/>
  <c r="F836" i="1"/>
  <c r="F848" i="1"/>
  <c r="F860" i="1"/>
  <c r="F872" i="1"/>
  <c r="F884" i="1"/>
  <c r="F896" i="1"/>
  <c r="F916" i="1"/>
  <c r="F928" i="1"/>
  <c r="F940" i="1"/>
  <c r="F952" i="1"/>
  <c r="F968" i="1"/>
  <c r="F980" i="1"/>
  <c r="F992" i="1"/>
  <c r="F1008" i="1"/>
  <c r="F1020" i="1"/>
  <c r="F1032" i="1"/>
  <c r="F1044" i="1"/>
  <c r="F1056" i="1"/>
  <c r="F1068" i="1"/>
  <c r="F1088" i="1"/>
  <c r="F1104" i="1"/>
  <c r="F1116" i="1"/>
  <c r="F1128" i="1"/>
  <c r="F1140" i="1"/>
  <c r="F1156" i="1"/>
  <c r="F1164" i="1"/>
  <c r="F1188" i="1"/>
  <c r="F1200" i="1"/>
  <c r="F1220" i="1"/>
  <c r="F1232" i="1"/>
  <c r="F1256" i="1"/>
  <c r="F1181" i="1"/>
  <c r="F9" i="1"/>
  <c r="F13" i="1"/>
  <c r="F21" i="1"/>
  <c r="F29" i="1"/>
  <c r="F37" i="1"/>
  <c r="F45" i="1"/>
  <c r="F53" i="1"/>
  <c r="F61" i="1"/>
  <c r="F69" i="1"/>
  <c r="F77" i="1"/>
  <c r="F85" i="1"/>
  <c r="F93" i="1"/>
  <c r="F101" i="1"/>
  <c r="F689" i="1"/>
  <c r="F729" i="1"/>
  <c r="F737" i="1"/>
  <c r="F753" i="1"/>
  <c r="F793" i="1"/>
  <c r="F817" i="1"/>
  <c r="F857" i="1"/>
  <c r="F865" i="1"/>
  <c r="F889" i="1"/>
  <c r="F897" i="1"/>
  <c r="F909" i="1"/>
  <c r="F1101" i="1"/>
  <c r="F1117" i="1"/>
  <c r="F1125" i="1"/>
  <c r="F1133" i="1"/>
  <c r="F1149" i="1"/>
  <c r="F1161" i="1"/>
  <c r="F1165" i="1"/>
  <c r="F1169" i="1"/>
  <c r="F1173" i="1"/>
  <c r="F1177" i="1"/>
  <c r="F1185" i="1"/>
  <c r="F1193" i="1"/>
  <c r="F1197" i="1"/>
  <c r="F1201" i="1"/>
  <c r="F1209" i="1"/>
  <c r="F1217" i="1"/>
  <c r="F1225" i="1"/>
  <c r="F1229" i="1"/>
  <c r="F1233" i="1"/>
  <c r="F1241" i="1"/>
  <c r="F1249" i="1"/>
  <c r="F1253" i="1"/>
  <c r="F447" i="1"/>
  <c r="F867" i="1"/>
  <c r="F232" i="1"/>
  <c r="F336" i="1"/>
  <c r="F488" i="1"/>
  <c r="F516" i="1"/>
  <c r="F528" i="1"/>
  <c r="F540" i="1"/>
  <c r="F552" i="1"/>
  <c r="F564" i="1"/>
  <c r="F576" i="1"/>
  <c r="F588" i="1"/>
  <c r="F600" i="1"/>
  <c r="F608" i="1"/>
  <c r="F632" i="1"/>
  <c r="F644" i="1"/>
  <c r="F660" i="1"/>
  <c r="F668" i="1"/>
  <c r="F680" i="1"/>
  <c r="F696" i="1"/>
  <c r="F708" i="1"/>
  <c r="F716" i="1"/>
  <c r="F728" i="1"/>
  <c r="F744" i="1"/>
  <c r="F760" i="1"/>
  <c r="F776" i="1"/>
  <c r="F788" i="1"/>
  <c r="F800" i="1"/>
  <c r="F816" i="1"/>
  <c r="F828" i="1"/>
  <c r="F840" i="1"/>
  <c r="F852" i="1"/>
  <c r="F864" i="1"/>
  <c r="F876" i="1"/>
  <c r="F888" i="1"/>
  <c r="F904" i="1"/>
  <c r="F912" i="1"/>
  <c r="F924" i="1"/>
  <c r="F936" i="1"/>
  <c r="F960" i="1"/>
  <c r="F984" i="1"/>
  <c r="F996" i="1"/>
  <c r="F1004" i="1"/>
  <c r="F1016" i="1"/>
  <c r="F1028" i="1"/>
  <c r="F1040" i="1"/>
  <c r="F1052" i="1"/>
  <c r="F1064" i="1"/>
  <c r="F1080" i="1"/>
  <c r="F1096" i="1"/>
  <c r="F1108" i="1"/>
  <c r="F1120" i="1"/>
  <c r="F1132" i="1"/>
  <c r="F1144" i="1"/>
  <c r="F1172" i="1"/>
  <c r="F1196" i="1"/>
  <c r="F1212" i="1"/>
  <c r="F1224" i="1"/>
  <c r="F1236" i="1"/>
  <c r="F1252" i="1"/>
  <c r="F1237" i="1"/>
  <c r="F4" i="1"/>
  <c r="F17" i="1"/>
  <c r="F25" i="1"/>
  <c r="F33" i="1"/>
  <c r="F41" i="1"/>
  <c r="F49" i="1"/>
  <c r="F57" i="1"/>
  <c r="F65" i="1"/>
  <c r="F73" i="1"/>
  <c r="F81" i="1"/>
  <c r="F89" i="1"/>
  <c r="F97" i="1"/>
  <c r="F882" i="1"/>
  <c r="F886" i="1"/>
  <c r="F890" i="1"/>
  <c r="F894" i="1"/>
  <c r="F898" i="1"/>
  <c r="F902" i="1"/>
  <c r="F910" i="1"/>
  <c r="F914" i="1"/>
  <c r="F922" i="1"/>
  <c r="F926" i="1"/>
  <c r="F930" i="1"/>
  <c r="F934" i="1"/>
  <c r="F938" i="1"/>
  <c r="F942" i="1"/>
  <c r="F946" i="1"/>
  <c r="F950" i="1"/>
  <c r="F954" i="1"/>
  <c r="F958" i="1"/>
  <c r="F962" i="1"/>
  <c r="F970" i="1"/>
  <c r="F974" i="1"/>
  <c r="F978" i="1"/>
  <c r="F986" i="1"/>
  <c r="F991" i="1"/>
  <c r="F994" i="1"/>
  <c r="F998" i="1"/>
  <c r="F1006" i="1"/>
  <c r="F1010" i="1"/>
  <c r="F1014" i="1"/>
  <c r="F1018" i="1"/>
  <c r="F1022" i="1"/>
  <c r="F1026" i="1"/>
  <c r="F1034" i="1"/>
  <c r="F1038" i="1"/>
  <c r="F1042" i="1"/>
  <c r="F1046" i="1"/>
  <c r="F1050" i="1"/>
  <c r="F1055" i="1"/>
  <c r="F1058" i="1"/>
  <c r="F1062" i="1"/>
  <c r="F1066" i="1"/>
  <c r="F1070" i="1"/>
  <c r="F1074" i="1"/>
  <c r="F1078" i="1"/>
  <c r="F1082" i="1"/>
  <c r="F1086" i="1"/>
  <c r="F1090" i="1"/>
  <c r="F1098" i="1"/>
  <c r="F1102" i="1"/>
  <c r="F1106" i="1"/>
  <c r="F1114" i="1"/>
  <c r="F1118" i="1"/>
  <c r="F1122" i="1"/>
  <c r="F1130" i="1"/>
  <c r="F1134" i="1"/>
  <c r="F1138" i="1"/>
  <c r="F1142" i="1"/>
  <c r="F1146" i="1"/>
  <c r="F1150" i="1"/>
  <c r="F1154" i="1"/>
  <c r="F1162" i="1"/>
  <c r="F1170" i="1"/>
  <c r="F1174" i="1"/>
  <c r="F1178" i="1"/>
  <c r="F1186" i="1"/>
  <c r="F1194" i="1"/>
  <c r="F1202" i="1"/>
  <c r="F1210" i="1"/>
  <c r="F1214" i="1"/>
  <c r="F1218" i="1"/>
  <c r="F1226" i="1"/>
  <c r="F1234" i="1"/>
  <c r="F1238" i="1"/>
  <c r="F1242" i="1"/>
  <c r="F1250" i="1"/>
  <c r="F702" i="1"/>
  <c r="F703" i="1"/>
  <c r="F738" i="1"/>
  <c r="F739" i="1"/>
  <c r="F906" i="1"/>
  <c r="F907" i="1"/>
  <c r="F918" i="1"/>
  <c r="F919" i="1"/>
  <c r="F1030" i="1"/>
  <c r="F1031" i="1"/>
  <c r="F1094" i="1"/>
  <c r="F1095" i="1"/>
  <c r="F1126" i="1"/>
  <c r="F1127" i="1"/>
  <c r="F1158" i="1"/>
  <c r="F1159" i="1"/>
  <c r="F1166" i="1"/>
  <c r="F1167" i="1"/>
  <c r="F1190" i="1"/>
  <c r="F1191" i="1"/>
  <c r="F1222" i="1"/>
  <c r="F1223" i="1"/>
  <c r="F1246" i="1"/>
  <c r="F1247" i="1"/>
  <c r="F1254" i="1"/>
  <c r="F1255" i="1"/>
  <c r="F1047" i="1"/>
  <c r="F710" i="1"/>
  <c r="F711" i="1"/>
  <c r="F982" i="1"/>
  <c r="F983" i="1"/>
  <c r="F1110" i="1"/>
  <c r="F1111" i="1"/>
  <c r="F1182" i="1"/>
  <c r="F1183" i="1"/>
  <c r="F1198" i="1"/>
  <c r="F1199" i="1"/>
  <c r="F1206" i="1"/>
  <c r="F1207" i="1"/>
  <c r="F1230" i="1"/>
  <c r="F1231" i="1"/>
  <c r="F534" i="1"/>
  <c r="F535" i="1"/>
  <c r="F830" i="1"/>
  <c r="F831" i="1"/>
  <c r="F842" i="1"/>
  <c r="F843" i="1"/>
  <c r="F11" i="1"/>
  <c r="F15" i="1"/>
  <c r="F19" i="1"/>
  <c r="F23" i="1"/>
  <c r="F27" i="1"/>
  <c r="F31" i="1"/>
  <c r="F35" i="1"/>
  <c r="F39" i="1"/>
  <c r="F43" i="1"/>
  <c r="F47" i="1"/>
  <c r="F51" i="1"/>
  <c r="F55" i="1"/>
  <c r="F59" i="1"/>
  <c r="F63" i="1"/>
  <c r="F67" i="1"/>
  <c r="F71" i="1"/>
  <c r="F75" i="1"/>
  <c r="F79" i="1"/>
  <c r="F83" i="1"/>
  <c r="F87" i="1"/>
  <c r="F91" i="1"/>
  <c r="F95" i="1"/>
  <c r="F99" i="1"/>
  <c r="F103" i="1"/>
  <c r="F107" i="1"/>
  <c r="F108" i="1"/>
  <c r="F115" i="1"/>
  <c r="F119" i="1"/>
  <c r="F123" i="1"/>
  <c r="F127" i="1"/>
  <c r="F131" i="1"/>
  <c r="F135" i="1"/>
  <c r="F139" i="1"/>
  <c r="F143" i="1"/>
  <c r="F147" i="1"/>
  <c r="F151" i="1"/>
  <c r="F155" i="1"/>
  <c r="F159" i="1"/>
  <c r="F163" i="1"/>
  <c r="F167" i="1"/>
  <c r="F171" i="1"/>
  <c r="F175" i="1"/>
  <c r="F179" i="1"/>
  <c r="F183" i="1"/>
  <c r="F187" i="1"/>
  <c r="F191" i="1"/>
  <c r="F195" i="1"/>
  <c r="F199" i="1"/>
  <c r="F203" i="1"/>
  <c r="F207" i="1"/>
  <c r="F211" i="1"/>
  <c r="F215" i="1"/>
  <c r="F267" i="1"/>
  <c r="F395" i="1"/>
  <c r="F927" i="1"/>
  <c r="F606" i="1"/>
  <c r="F607" i="1"/>
  <c r="F111" i="1"/>
  <c r="F775" i="1"/>
  <c r="F966" i="1"/>
  <c r="F967" i="1"/>
  <c r="F44" i="1"/>
  <c r="F104" i="1"/>
  <c r="F1215" i="1"/>
  <c r="F152" i="1"/>
  <c r="F6" i="1"/>
  <c r="F231" i="1"/>
  <c r="F247" i="1"/>
  <c r="F263" i="1"/>
  <c r="F275" i="1"/>
  <c r="F291" i="1"/>
  <c r="F307" i="1"/>
  <c r="F319" i="1"/>
  <c r="F331" i="1"/>
  <c r="F347" i="1"/>
  <c r="F363" i="1"/>
  <c r="F379" i="1"/>
  <c r="F399" i="1"/>
  <c r="F411" i="1"/>
  <c r="F427" i="1"/>
  <c r="F443" i="1"/>
  <c r="F463" i="1"/>
  <c r="F479" i="1"/>
  <c r="F503" i="1"/>
  <c r="F571" i="1"/>
  <c r="F635" i="1"/>
  <c r="F715" i="1"/>
  <c r="F803" i="1"/>
  <c r="F839" i="1"/>
  <c r="F943" i="1"/>
  <c r="F975" i="1"/>
  <c r="F1015" i="1"/>
  <c r="F1211" i="1"/>
  <c r="F223" i="1"/>
  <c r="F243" i="1"/>
  <c r="F259" i="1"/>
  <c r="F279" i="1"/>
  <c r="F295" i="1"/>
  <c r="F311" i="1"/>
  <c r="F327" i="1"/>
  <c r="F339" i="1"/>
  <c r="F355" i="1"/>
  <c r="F371" i="1"/>
  <c r="F391" i="1"/>
  <c r="F403" i="1"/>
  <c r="F419" i="1"/>
  <c r="F435" i="1"/>
  <c r="F451" i="1"/>
  <c r="F475" i="1"/>
  <c r="F491" i="1"/>
  <c r="F507" i="1"/>
  <c r="F555" i="1"/>
  <c r="F659" i="1"/>
  <c r="F727" i="1"/>
  <c r="F767" i="1"/>
  <c r="F791" i="1"/>
  <c r="F851" i="1"/>
  <c r="F879" i="1"/>
  <c r="F951" i="1"/>
  <c r="F999" i="1"/>
  <c r="F1071" i="1"/>
  <c r="F1087" i="1"/>
  <c r="F1119" i="1"/>
  <c r="F1151" i="1"/>
  <c r="F1171" i="1"/>
  <c r="F1195" i="1"/>
  <c r="F1219" i="1"/>
  <c r="F1235" i="1"/>
  <c r="F1251" i="1"/>
  <c r="F3" i="1"/>
  <c r="F8" i="1"/>
  <c r="F12" i="1"/>
  <c r="F16" i="1"/>
  <c r="F20" i="1"/>
  <c r="F24" i="1"/>
  <c r="F28" i="1"/>
  <c r="F32" i="1"/>
  <c r="F36" i="1"/>
  <c r="F40" i="1"/>
  <c r="F48" i="1"/>
  <c r="F52" i="1"/>
  <c r="F56" i="1"/>
  <c r="F60" i="1"/>
  <c r="F64" i="1"/>
  <c r="F68" i="1"/>
  <c r="F72" i="1"/>
  <c r="F76" i="1"/>
  <c r="F80" i="1"/>
  <c r="F84" i="1"/>
  <c r="F88" i="1"/>
  <c r="F92" i="1"/>
  <c r="F96" i="1"/>
  <c r="F100" i="1"/>
  <c r="F112" i="1"/>
  <c r="F116" i="1"/>
  <c r="F120" i="1"/>
  <c r="F124" i="1"/>
  <c r="F128" i="1"/>
  <c r="F132" i="1"/>
  <c r="F136" i="1"/>
  <c r="F140" i="1"/>
  <c r="F144" i="1"/>
  <c r="F148" i="1"/>
  <c r="F156" i="1"/>
  <c r="F160" i="1"/>
  <c r="F164" i="1"/>
  <c r="F168" i="1"/>
  <c r="F172" i="1"/>
  <c r="F176" i="1"/>
  <c r="F180" i="1"/>
  <c r="F184" i="1"/>
  <c r="F188" i="1"/>
  <c r="F192" i="1"/>
  <c r="F196" i="1"/>
  <c r="F200" i="1"/>
  <c r="F204" i="1"/>
  <c r="F208" i="1"/>
  <c r="F212" i="1"/>
  <c r="F216" i="1"/>
  <c r="F220" i="1"/>
  <c r="F228" i="1"/>
  <c r="F236" i="1"/>
  <c r="F240" i="1"/>
  <c r="F244" i="1"/>
  <c r="F248" i="1"/>
  <c r="F252" i="1"/>
  <c r="F256" i="1"/>
  <c r="F260" i="1"/>
  <c r="F264" i="1"/>
  <c r="F268" i="1"/>
  <c r="F272" i="1"/>
  <c r="F276" i="1"/>
  <c r="F280" i="1"/>
  <c r="F284" i="1"/>
  <c r="F288" i="1"/>
  <c r="F292" i="1"/>
  <c r="F296" i="1"/>
  <c r="F300" i="1"/>
  <c r="F304" i="1"/>
  <c r="F308" i="1"/>
  <c r="F312" i="1"/>
  <c r="F316" i="1"/>
  <c r="F320" i="1"/>
  <c r="F324" i="1"/>
  <c r="F328" i="1"/>
  <c r="F332" i="1"/>
  <c r="F340" i="1"/>
  <c r="F344" i="1"/>
  <c r="F348" i="1"/>
  <c r="F352" i="1"/>
  <c r="F356" i="1"/>
  <c r="F360" i="1"/>
  <c r="F364" i="1"/>
  <c r="F368" i="1"/>
  <c r="F372" i="1"/>
  <c r="F376" i="1"/>
  <c r="F380" i="1"/>
  <c r="F384" i="1"/>
  <c r="F392" i="1"/>
  <c r="F396" i="1"/>
  <c r="F400" i="1"/>
  <c r="F404" i="1"/>
  <c r="F408" i="1"/>
  <c r="F412" i="1"/>
  <c r="F416" i="1"/>
  <c r="F420" i="1"/>
  <c r="F424" i="1"/>
  <c r="F432" i="1"/>
  <c r="F440" i="1"/>
  <c r="F444" i="1"/>
  <c r="F448" i="1"/>
  <c r="F452" i="1"/>
  <c r="F456" i="1"/>
  <c r="F460" i="1"/>
  <c r="F464" i="1"/>
  <c r="F468" i="1"/>
  <c r="F472" i="1"/>
  <c r="F476" i="1"/>
  <c r="F480" i="1"/>
  <c r="F484" i="1"/>
  <c r="F492" i="1"/>
  <c r="F496" i="1"/>
  <c r="F500" i="1"/>
  <c r="F504" i="1"/>
  <c r="F508" i="1"/>
  <c r="F219" i="1"/>
  <c r="F235" i="1"/>
  <c r="F251" i="1"/>
  <c r="F283" i="1"/>
  <c r="F299" i="1"/>
  <c r="F315" i="1"/>
  <c r="F335" i="1"/>
  <c r="F351" i="1"/>
  <c r="F367" i="1"/>
  <c r="F383" i="1"/>
  <c r="F415" i="1"/>
  <c r="F431" i="1"/>
  <c r="F455" i="1"/>
  <c r="F471" i="1"/>
  <c r="F487" i="1"/>
  <c r="F499" i="1"/>
  <c r="F587" i="1"/>
  <c r="F651" i="1"/>
  <c r="F779" i="1"/>
  <c r="F899" i="1"/>
  <c r="F1007" i="1"/>
  <c r="F1039" i="1"/>
  <c r="F1079" i="1"/>
  <c r="F1187" i="1"/>
  <c r="F227" i="1"/>
  <c r="F239" i="1"/>
  <c r="F255" i="1"/>
  <c r="F271" i="1"/>
  <c r="F287" i="1"/>
  <c r="F303" i="1"/>
  <c r="F323" i="1"/>
  <c r="F343" i="1"/>
  <c r="F359" i="1"/>
  <c r="F375" i="1"/>
  <c r="F387" i="1"/>
  <c r="F407" i="1"/>
  <c r="F423" i="1"/>
  <c r="F439" i="1"/>
  <c r="F459" i="1"/>
  <c r="F467" i="1"/>
  <c r="F483" i="1"/>
  <c r="F495" i="1"/>
  <c r="F511" i="1"/>
  <c r="F539" i="1"/>
  <c r="F599" i="1"/>
  <c r="F639" i="1"/>
  <c r="F723" i="1"/>
  <c r="F787" i="1"/>
  <c r="F855" i="1"/>
  <c r="F935" i="1"/>
  <c r="F959" i="1"/>
  <c r="F1023" i="1"/>
  <c r="F1063" i="1"/>
  <c r="F1103" i="1"/>
  <c r="F1135" i="1"/>
  <c r="F1163" i="1"/>
  <c r="F1179" i="1"/>
  <c r="F1203" i="1"/>
  <c r="F1227" i="1"/>
  <c r="F1243" i="1"/>
  <c r="F105" i="1"/>
  <c r="F109" i="1"/>
  <c r="F113" i="1"/>
  <c r="F117" i="1"/>
  <c r="F121" i="1"/>
  <c r="F125" i="1"/>
  <c r="F129" i="1"/>
  <c r="F133" i="1"/>
  <c r="F137" i="1"/>
  <c r="F141" i="1"/>
  <c r="F145" i="1"/>
  <c r="F149" i="1"/>
  <c r="F153" i="1"/>
  <c r="F157" i="1"/>
  <c r="F161" i="1"/>
  <c r="F165" i="1"/>
  <c r="F169" i="1"/>
  <c r="F173" i="1"/>
  <c r="F177" i="1"/>
  <c r="F181" i="1"/>
  <c r="F185" i="1"/>
  <c r="F189" i="1"/>
  <c r="F193" i="1"/>
  <c r="F197" i="1"/>
  <c r="F201" i="1"/>
  <c r="F205" i="1"/>
  <c r="F209" i="1"/>
  <c r="F213" i="1"/>
  <c r="F217" i="1"/>
  <c r="F221" i="1"/>
  <c r="F225" i="1"/>
  <c r="F229" i="1"/>
  <c r="F233" i="1"/>
  <c r="F237" i="1"/>
  <c r="F241" i="1"/>
  <c r="F245" i="1"/>
  <c r="F249" i="1"/>
  <c r="F253" i="1"/>
  <c r="F257" i="1"/>
  <c r="F261" i="1"/>
  <c r="F265" i="1"/>
  <c r="F269" i="1"/>
  <c r="F273" i="1"/>
  <c r="F277" i="1"/>
  <c r="F281" i="1"/>
  <c r="F285" i="1"/>
  <c r="F289" i="1"/>
  <c r="F293" i="1"/>
  <c r="F297" i="1"/>
  <c r="F301" i="1"/>
  <c r="F305" i="1"/>
  <c r="F309" i="1"/>
  <c r="F313" i="1"/>
  <c r="F317" i="1"/>
  <c r="F321" i="1"/>
  <c r="F325" i="1"/>
  <c r="F329" i="1"/>
  <c r="F333" i="1"/>
  <c r="F337" i="1"/>
  <c r="F341" i="1"/>
  <c r="F345" i="1"/>
  <c r="F349" i="1"/>
  <c r="F353" i="1"/>
  <c r="F357" i="1"/>
  <c r="F361" i="1"/>
  <c r="F365" i="1"/>
  <c r="F369" i="1"/>
  <c r="F373" i="1"/>
  <c r="F377" i="1"/>
  <c r="F381" i="1"/>
  <c r="F385" i="1"/>
  <c r="F389" i="1"/>
  <c r="F393" i="1"/>
  <c r="F397" i="1"/>
  <c r="F401" i="1"/>
  <c r="F405" i="1"/>
  <c r="F409" i="1"/>
  <c r="F413" i="1"/>
  <c r="F417" i="1"/>
  <c r="F421" i="1"/>
  <c r="F425" i="1"/>
  <c r="F429" i="1"/>
  <c r="F433" i="1"/>
  <c r="F437" i="1"/>
  <c r="F441" i="1"/>
  <c r="F445" i="1"/>
  <c r="F449" i="1"/>
  <c r="F453" i="1"/>
  <c r="F457" i="1"/>
  <c r="F461" i="1"/>
  <c r="F465" i="1"/>
  <c r="F469" i="1"/>
  <c r="F473" i="1"/>
  <c r="F477" i="1"/>
  <c r="F481" i="1"/>
  <c r="F485" i="1"/>
  <c r="F489" i="1"/>
  <c r="F493" i="1"/>
  <c r="F497" i="1"/>
  <c r="F501" i="1"/>
  <c r="F505" i="1"/>
  <c r="F509" i="1"/>
  <c r="F513" i="1"/>
  <c r="F517" i="1"/>
  <c r="F521" i="1"/>
  <c r="F525" i="1"/>
  <c r="F529" i="1"/>
  <c r="F533" i="1"/>
  <c r="F537" i="1"/>
  <c r="F541" i="1"/>
  <c r="F545" i="1"/>
  <c r="F549" i="1"/>
  <c r="F553" i="1"/>
  <c r="F557" i="1"/>
  <c r="F561" i="1"/>
  <c r="F565" i="1"/>
  <c r="F569" i="1"/>
  <c r="F573" i="1"/>
  <c r="F577" i="1"/>
  <c r="F515" i="1"/>
  <c r="F519" i="1"/>
  <c r="F523" i="1"/>
  <c r="F527" i="1"/>
  <c r="F531" i="1"/>
  <c r="F543" i="1"/>
  <c r="F547" i="1"/>
  <c r="F551" i="1"/>
  <c r="F559" i="1"/>
  <c r="F563" i="1"/>
  <c r="F567" i="1"/>
  <c r="F575" i="1"/>
  <c r="F579" i="1"/>
  <c r="F583" i="1"/>
  <c r="F591" i="1"/>
  <c r="F595" i="1"/>
  <c r="F603" i="1"/>
  <c r="F611" i="1"/>
  <c r="F615" i="1"/>
  <c r="F619" i="1"/>
  <c r="F623" i="1"/>
  <c r="F627" i="1"/>
  <c r="F631" i="1"/>
  <c r="F643" i="1"/>
  <c r="F647" i="1"/>
  <c r="F655" i="1"/>
  <c r="F663" i="1"/>
  <c r="F667" i="1"/>
  <c r="F671" i="1"/>
  <c r="F675" i="1"/>
  <c r="F679" i="1"/>
  <c r="F683" i="1"/>
  <c r="F687" i="1"/>
  <c r="F691" i="1"/>
  <c r="F695" i="1"/>
  <c r="F699" i="1"/>
  <c r="F707" i="1"/>
  <c r="F719" i="1"/>
  <c r="F731" i="1"/>
  <c r="F735" i="1"/>
  <c r="F743" i="1"/>
  <c r="F747" i="1"/>
  <c r="F751" i="1"/>
  <c r="F755" i="1"/>
  <c r="F759" i="1"/>
  <c r="F763" i="1"/>
  <c r="F771" i="1"/>
  <c r="F783" i="1"/>
  <c r="F795" i="1"/>
  <c r="F799" i="1"/>
  <c r="F807" i="1"/>
  <c r="F811" i="1"/>
  <c r="F815" i="1"/>
  <c r="F819" i="1"/>
  <c r="F823" i="1"/>
  <c r="F827" i="1"/>
  <c r="F835" i="1"/>
  <c r="F847" i="1"/>
  <c r="F859" i="1"/>
  <c r="F863" i="1"/>
  <c r="F871" i="1"/>
  <c r="F883" i="1"/>
  <c r="F887" i="1"/>
  <c r="F891" i="1"/>
  <c r="F895" i="1"/>
  <c r="F903" i="1"/>
  <c r="F911" i="1"/>
  <c r="F915" i="1"/>
  <c r="F923" i="1"/>
  <c r="F931" i="1"/>
  <c r="F939" i="1"/>
  <c r="F947" i="1"/>
  <c r="F955" i="1"/>
  <c r="F963" i="1"/>
  <c r="F971" i="1"/>
  <c r="F979" i="1"/>
  <c r="F987" i="1"/>
  <c r="F995" i="1"/>
  <c r="F1003" i="1"/>
  <c r="F1011" i="1"/>
  <c r="F1019" i="1"/>
  <c r="F1027" i="1"/>
  <c r="F1035" i="1"/>
  <c r="F1043" i="1"/>
  <c r="F1051" i="1"/>
  <c r="F1059" i="1"/>
  <c r="F1067" i="1"/>
  <c r="F1075" i="1"/>
  <c r="F1083" i="1"/>
  <c r="F1091" i="1"/>
  <c r="F1099" i="1"/>
  <c r="F1107" i="1"/>
  <c r="F1115" i="1"/>
  <c r="F1123" i="1"/>
  <c r="F1131" i="1"/>
  <c r="F1139" i="1"/>
  <c r="F1147" i="1"/>
  <c r="F1155" i="1"/>
  <c r="F581" i="1"/>
  <c r="F585" i="1"/>
  <c r="F589" i="1"/>
  <c r="F593" i="1"/>
  <c r="F597" i="1"/>
  <c r="F601" i="1"/>
  <c r="F605" i="1"/>
  <c r="F609" i="1"/>
  <c r="F613" i="1"/>
  <c r="F617" i="1"/>
  <c r="F621" i="1"/>
  <c r="F625" i="1"/>
  <c r="F629" i="1"/>
  <c r="F633" i="1"/>
  <c r="F637" i="1"/>
  <c r="F641" i="1"/>
  <c r="F645" i="1"/>
  <c r="F649" i="1"/>
  <c r="F653" i="1"/>
  <c r="F657" i="1"/>
  <c r="F661" i="1"/>
  <c r="F665" i="1"/>
  <c r="F669" i="1"/>
  <c r="F673" i="1"/>
  <c r="F677" i="1"/>
  <c r="F681" i="1"/>
  <c r="F685" i="1"/>
  <c r="F693" i="1"/>
  <c r="F697" i="1"/>
  <c r="F701" i="1"/>
  <c r="F705" i="1"/>
  <c r="F709" i="1"/>
  <c r="F713" i="1"/>
  <c r="F717" i="1"/>
  <c r="F721" i="1"/>
  <c r="F725" i="1"/>
  <c r="F733" i="1"/>
  <c r="F741" i="1"/>
  <c r="F745" i="1"/>
  <c r="F749" i="1"/>
  <c r="F757" i="1"/>
  <c r="F761" i="1"/>
  <c r="F765" i="1"/>
  <c r="F769" i="1"/>
  <c r="F773" i="1"/>
  <c r="F777" i="1"/>
  <c r="F781" i="1"/>
  <c r="F785" i="1"/>
  <c r="F789" i="1"/>
  <c r="F797" i="1"/>
  <c r="F805" i="1"/>
  <c r="F809" i="1"/>
  <c r="F813" i="1"/>
  <c r="F821" i="1"/>
  <c r="F825" i="1"/>
  <c r="F829" i="1"/>
  <c r="F833" i="1"/>
  <c r="F837" i="1"/>
  <c r="F841" i="1"/>
  <c r="F845" i="1"/>
  <c r="F849" i="1"/>
  <c r="F853" i="1"/>
  <c r="F861" i="1"/>
  <c r="F869" i="1"/>
  <c r="F873" i="1"/>
  <c r="F877" i="1"/>
  <c r="F881" i="1"/>
  <c r="F885" i="1"/>
  <c r="F893" i="1"/>
  <c r="F901" i="1"/>
  <c r="F905" i="1"/>
  <c r="F913" i="1"/>
  <c r="F917" i="1"/>
  <c r="F921" i="1"/>
  <c r="F925" i="1"/>
  <c r="F929" i="1"/>
  <c r="F933" i="1"/>
  <c r="F937" i="1"/>
  <c r="F941" i="1"/>
  <c r="F945" i="1"/>
  <c r="F949" i="1"/>
  <c r="F953" i="1"/>
  <c r="F957" i="1"/>
  <c r="F961" i="1"/>
  <c r="F965" i="1"/>
  <c r="F969" i="1"/>
  <c r="F973" i="1"/>
  <c r="F977" i="1"/>
  <c r="F981" i="1"/>
  <c r="F985" i="1"/>
  <c r="F989" i="1"/>
  <c r="F993" i="1"/>
  <c r="F997" i="1"/>
  <c r="F1001" i="1"/>
  <c r="F1005" i="1"/>
  <c r="F1009" i="1"/>
  <c r="F1013" i="1"/>
  <c r="F1017" i="1"/>
  <c r="F1021" i="1"/>
  <c r="F1025" i="1"/>
  <c r="F1029" i="1"/>
  <c r="F1033" i="1"/>
  <c r="F1037" i="1"/>
  <c r="F1041" i="1"/>
  <c r="F1045" i="1"/>
  <c r="F1049" i="1"/>
  <c r="F1053" i="1"/>
  <c r="F1057" i="1"/>
  <c r="F1061" i="1"/>
  <c r="F1065" i="1"/>
  <c r="F1069" i="1"/>
  <c r="F1073" i="1"/>
  <c r="F1077" i="1"/>
  <c r="F1081" i="1"/>
  <c r="F1085" i="1"/>
  <c r="F1089" i="1"/>
  <c r="F1093" i="1"/>
  <c r="F1097" i="1"/>
  <c r="F1105" i="1"/>
  <c r="F1113" i="1"/>
  <c r="F1121" i="1"/>
  <c r="F1129" i="1"/>
  <c r="F1137" i="1"/>
  <c r="F1145" i="1"/>
  <c r="F1153" i="1"/>
  <c r="W4" i="1" l="1"/>
  <c r="W5" i="1"/>
  <c r="R4" i="1"/>
  <c r="R5" i="1" s="1"/>
  <c r="X5" i="1"/>
  <c r="V6" i="1"/>
  <c r="U6" i="1"/>
  <c r="P4" i="1"/>
  <c r="P5" i="1" s="1"/>
  <c r="V5" i="1"/>
  <c r="X6" i="1"/>
  <c r="W6" i="1"/>
  <c r="U5" i="1"/>
  <c r="V4" i="1"/>
  <c r="X4" i="1"/>
  <c r="O3" i="1"/>
  <c r="U4" i="1"/>
  <c r="Q4" i="1"/>
  <c r="M5" i="1"/>
  <c r="L5" i="1"/>
  <c r="K5" i="1"/>
  <c r="J5" i="1"/>
  <c r="K2" i="1"/>
  <c r="M2" i="1"/>
  <c r="L2" i="1"/>
  <c r="J2" i="1"/>
  <c r="T25" i="1" l="1"/>
  <c r="T28" i="1"/>
  <c r="T27" i="1"/>
  <c r="T26" i="1"/>
  <c r="O4" i="1"/>
  <c r="Q5" i="1"/>
  <c r="R6" i="1"/>
  <c r="P6" i="1"/>
  <c r="O5" i="1" l="1"/>
  <c r="O6" i="1" s="1"/>
  <c r="Q6" i="1"/>
  <c r="R7" i="1"/>
  <c r="P7" i="1"/>
  <c r="Q7" i="1" l="1"/>
  <c r="R8" i="1"/>
  <c r="P8" i="1"/>
  <c r="O7" i="1"/>
  <c r="Q8" i="1" l="1"/>
  <c r="R9" i="1"/>
  <c r="P9" i="1"/>
  <c r="O8" i="1"/>
  <c r="Q9" i="1" l="1"/>
  <c r="R10" i="1"/>
  <c r="P10" i="1"/>
  <c r="O9" i="1"/>
  <c r="Q10" i="1" l="1"/>
  <c r="R11" i="1"/>
  <c r="P11" i="1"/>
  <c r="O10" i="1"/>
  <c r="Q11" i="1" l="1"/>
  <c r="R12" i="1"/>
  <c r="P12" i="1"/>
  <c r="O11" i="1"/>
  <c r="Q12" i="1" l="1"/>
  <c r="R13" i="1"/>
  <c r="P13" i="1"/>
  <c r="O12" i="1"/>
  <c r="Q13" i="1" l="1"/>
  <c r="R14" i="1"/>
  <c r="P14" i="1"/>
  <c r="O13" i="1"/>
  <c r="Q14" i="1" l="1"/>
  <c r="R15" i="1"/>
  <c r="P15" i="1"/>
  <c r="O14" i="1"/>
  <c r="Q15" i="1" l="1"/>
  <c r="R16" i="1"/>
  <c r="P16" i="1"/>
  <c r="O15" i="1"/>
  <c r="Q16" i="1" l="1"/>
  <c r="R17" i="1"/>
  <c r="P17" i="1"/>
  <c r="O16" i="1"/>
  <c r="Q17" i="1" l="1"/>
  <c r="R18" i="1"/>
  <c r="P18" i="1"/>
  <c r="O17" i="1"/>
  <c r="Q18" i="1" l="1"/>
  <c r="R19" i="1"/>
  <c r="P19" i="1"/>
  <c r="O18" i="1"/>
  <c r="Q19" i="1" l="1"/>
  <c r="R20" i="1"/>
  <c r="P20" i="1"/>
  <c r="O19" i="1"/>
  <c r="Q20" i="1" l="1"/>
  <c r="R21" i="1"/>
  <c r="P21" i="1"/>
  <c r="O20" i="1"/>
  <c r="Q21" i="1" l="1"/>
  <c r="R22" i="1"/>
  <c r="P22" i="1"/>
  <c r="O21" i="1"/>
  <c r="Q22" i="1" l="1"/>
  <c r="R23" i="1"/>
  <c r="P23" i="1"/>
  <c r="O22" i="1"/>
  <c r="Q23" i="1" l="1"/>
  <c r="R24" i="1"/>
  <c r="P24" i="1"/>
  <c r="O23" i="1"/>
  <c r="Q24" i="1" l="1"/>
  <c r="R25" i="1"/>
  <c r="P25" i="1"/>
  <c r="O24" i="1"/>
  <c r="Q25" i="1" l="1"/>
  <c r="R26" i="1"/>
  <c r="P26" i="1"/>
  <c r="O25" i="1"/>
  <c r="Q26" i="1" l="1"/>
  <c r="R27" i="1"/>
  <c r="P27" i="1"/>
  <c r="O26" i="1"/>
  <c r="Q27" i="1" l="1"/>
  <c r="R28" i="1"/>
  <c r="P28" i="1"/>
  <c r="O27" i="1"/>
  <c r="Q28" i="1" l="1"/>
  <c r="R29" i="1"/>
  <c r="P29" i="1"/>
  <c r="O28" i="1"/>
  <c r="Q29" i="1" l="1"/>
  <c r="R30" i="1"/>
  <c r="P30" i="1"/>
  <c r="O29" i="1"/>
  <c r="Q30" i="1" l="1"/>
  <c r="R31" i="1"/>
  <c r="P31" i="1"/>
  <c r="O30" i="1"/>
  <c r="Q31" i="1" l="1"/>
  <c r="R32" i="1"/>
  <c r="P32" i="1"/>
  <c r="O31" i="1"/>
  <c r="Q32" i="1" l="1"/>
  <c r="R33" i="1"/>
  <c r="P33" i="1"/>
  <c r="O32" i="1"/>
  <c r="Q33" i="1" l="1"/>
  <c r="R34" i="1"/>
  <c r="P34" i="1"/>
  <c r="O33" i="1"/>
  <c r="Q34" i="1" l="1"/>
  <c r="R35" i="1"/>
  <c r="P35" i="1"/>
  <c r="O34" i="1"/>
  <c r="Q35" i="1" l="1"/>
  <c r="R36" i="1"/>
  <c r="P36" i="1"/>
  <c r="O35" i="1"/>
  <c r="Q36" i="1" l="1"/>
  <c r="R37" i="1"/>
  <c r="P37" i="1"/>
  <c r="O36" i="1"/>
  <c r="Q37" i="1" l="1"/>
  <c r="R38" i="1"/>
  <c r="P38" i="1"/>
  <c r="O37" i="1"/>
  <c r="Q38" i="1" l="1"/>
  <c r="R39" i="1"/>
  <c r="P39" i="1"/>
  <c r="O38" i="1"/>
  <c r="Q39" i="1" l="1"/>
  <c r="R40" i="1"/>
  <c r="P40" i="1"/>
  <c r="O39" i="1"/>
  <c r="Q40" i="1" l="1"/>
  <c r="R41" i="1"/>
  <c r="P41" i="1"/>
  <c r="O40" i="1"/>
  <c r="Q41" i="1" l="1"/>
  <c r="R42" i="1"/>
  <c r="P42" i="1"/>
  <c r="O41" i="1"/>
  <c r="Q42" i="1" l="1"/>
  <c r="Q43" i="1" s="1"/>
  <c r="R43" i="1"/>
  <c r="P43" i="1"/>
  <c r="O42" i="1"/>
  <c r="R44" i="1" l="1"/>
  <c r="Q44" i="1"/>
  <c r="P44" i="1"/>
  <c r="O43" i="1"/>
  <c r="R45" i="1" l="1"/>
  <c r="Q45" i="1"/>
  <c r="P45" i="1"/>
  <c r="O44" i="1"/>
  <c r="R46" i="1" l="1"/>
  <c r="Q46" i="1"/>
  <c r="P46" i="1"/>
  <c r="O45" i="1"/>
  <c r="R47" i="1" l="1"/>
  <c r="Q47" i="1"/>
  <c r="P47" i="1"/>
  <c r="O46" i="1"/>
  <c r="R48" i="1" l="1"/>
  <c r="Q48" i="1"/>
  <c r="P48" i="1"/>
  <c r="O47" i="1"/>
  <c r="R49" i="1" l="1"/>
  <c r="Q49" i="1"/>
  <c r="P49" i="1"/>
  <c r="O48" i="1"/>
  <c r="R50" i="1" l="1"/>
  <c r="Q50" i="1"/>
  <c r="P50" i="1"/>
  <c r="O49" i="1"/>
  <c r="R51" i="1" l="1"/>
  <c r="Q51" i="1"/>
  <c r="P51" i="1"/>
  <c r="O50" i="1"/>
  <c r="R52" i="1" l="1"/>
  <c r="Q52" i="1"/>
  <c r="P52" i="1"/>
  <c r="O51" i="1"/>
  <c r="R53" i="1" l="1"/>
  <c r="Q53" i="1"/>
  <c r="P53" i="1"/>
  <c r="O52" i="1"/>
  <c r="R54" i="1" l="1"/>
  <c r="Q54" i="1"/>
  <c r="P54" i="1"/>
  <c r="O53" i="1"/>
  <c r="R55" i="1" l="1"/>
  <c r="Q55" i="1"/>
  <c r="P55" i="1"/>
  <c r="O54" i="1"/>
  <c r="R56" i="1" l="1"/>
  <c r="Q56" i="1"/>
  <c r="P56" i="1"/>
  <c r="O55" i="1"/>
  <c r="R57" i="1" l="1"/>
  <c r="Q57" i="1"/>
  <c r="P57" i="1"/>
  <c r="O56" i="1"/>
  <c r="R58" i="1" l="1"/>
  <c r="Q58" i="1"/>
  <c r="P58" i="1"/>
  <c r="O57" i="1"/>
  <c r="R59" i="1" l="1"/>
  <c r="Q59" i="1"/>
  <c r="P59" i="1"/>
  <c r="O58" i="1"/>
  <c r="R60" i="1" l="1"/>
  <c r="Q60" i="1"/>
  <c r="P60" i="1"/>
  <c r="O59" i="1"/>
  <c r="R61" i="1" l="1"/>
  <c r="Q61" i="1"/>
  <c r="P61" i="1"/>
  <c r="O60" i="1"/>
  <c r="R62" i="1" l="1"/>
  <c r="Q62" i="1"/>
  <c r="P62" i="1"/>
  <c r="O61" i="1"/>
  <c r="R63" i="1" l="1"/>
  <c r="Q63" i="1"/>
  <c r="P63" i="1"/>
  <c r="O62" i="1"/>
  <c r="R64" i="1" l="1"/>
  <c r="Q64" i="1"/>
  <c r="P64" i="1"/>
  <c r="O63" i="1"/>
  <c r="R65" i="1" l="1"/>
  <c r="Q65" i="1"/>
  <c r="P65" i="1"/>
  <c r="O64" i="1"/>
  <c r="R66" i="1" l="1"/>
  <c r="Q66" i="1"/>
  <c r="P66" i="1"/>
  <c r="O65" i="1"/>
  <c r="R67" i="1" l="1"/>
  <c r="Q67" i="1"/>
  <c r="P67" i="1"/>
  <c r="O66" i="1"/>
  <c r="R68" i="1" l="1"/>
  <c r="Q68" i="1"/>
  <c r="P68" i="1"/>
  <c r="O67" i="1"/>
  <c r="R69" i="1" l="1"/>
  <c r="Q69" i="1"/>
  <c r="P69" i="1"/>
  <c r="O68" i="1"/>
  <c r="R70" i="1" l="1"/>
  <c r="Q70" i="1"/>
  <c r="P70" i="1"/>
  <c r="O69" i="1"/>
  <c r="R71" i="1" l="1"/>
  <c r="Q71" i="1"/>
  <c r="P71" i="1"/>
  <c r="O70" i="1"/>
  <c r="R72" i="1" l="1"/>
  <c r="Q72" i="1"/>
  <c r="P72" i="1"/>
  <c r="O71" i="1"/>
  <c r="R73" i="1" l="1"/>
  <c r="Q73" i="1"/>
  <c r="P73" i="1"/>
  <c r="O72" i="1"/>
  <c r="R74" i="1" l="1"/>
  <c r="Q74" i="1"/>
  <c r="P74" i="1"/>
  <c r="O73" i="1"/>
  <c r="R75" i="1" l="1"/>
  <c r="Q75" i="1"/>
  <c r="P75" i="1"/>
  <c r="O74" i="1"/>
  <c r="R76" i="1" l="1"/>
  <c r="Q76" i="1"/>
  <c r="P76" i="1"/>
  <c r="O75" i="1"/>
  <c r="R77" i="1" l="1"/>
  <c r="Q77" i="1"/>
  <c r="P77" i="1"/>
  <c r="O76" i="1"/>
  <c r="R78" i="1" l="1"/>
  <c r="Q78" i="1"/>
  <c r="P78" i="1"/>
  <c r="O77" i="1"/>
  <c r="R79" i="1" l="1"/>
  <c r="Q79" i="1"/>
  <c r="P79" i="1"/>
  <c r="O78" i="1"/>
  <c r="R80" i="1" l="1"/>
  <c r="Q80" i="1"/>
  <c r="P80" i="1"/>
  <c r="O79" i="1"/>
  <c r="R81" i="1" l="1"/>
  <c r="Q81" i="1"/>
  <c r="P81" i="1"/>
  <c r="O80" i="1"/>
  <c r="R82" i="1" l="1"/>
  <c r="Q82" i="1"/>
  <c r="P82" i="1"/>
  <c r="O81" i="1"/>
  <c r="R83" i="1" l="1"/>
  <c r="Q83" i="1"/>
  <c r="P83" i="1"/>
  <c r="O82" i="1"/>
  <c r="R84" i="1" l="1"/>
  <c r="Q84" i="1"/>
  <c r="P84" i="1"/>
  <c r="O83" i="1"/>
  <c r="R85" i="1" l="1"/>
  <c r="Q85" i="1"/>
  <c r="P85" i="1"/>
  <c r="O84" i="1"/>
  <c r="R86" i="1" l="1"/>
  <c r="Q86" i="1"/>
  <c r="P86" i="1"/>
  <c r="O85" i="1"/>
  <c r="R87" i="1" l="1"/>
  <c r="Q87" i="1"/>
  <c r="P87" i="1"/>
  <c r="O86" i="1"/>
  <c r="R88" i="1" l="1"/>
  <c r="Q88" i="1"/>
  <c r="P88" i="1"/>
  <c r="O87" i="1"/>
  <c r="R89" i="1" l="1"/>
  <c r="Q89" i="1"/>
  <c r="P89" i="1"/>
  <c r="O88" i="1"/>
  <c r="R90" i="1" l="1"/>
  <c r="Q90" i="1"/>
  <c r="P90" i="1"/>
  <c r="O89" i="1"/>
  <c r="R91" i="1" l="1"/>
  <c r="Q91" i="1"/>
  <c r="P91" i="1"/>
  <c r="O90" i="1"/>
  <c r="R92" i="1" l="1"/>
  <c r="Q92" i="1"/>
  <c r="P92" i="1"/>
  <c r="O91" i="1"/>
  <c r="R93" i="1" l="1"/>
  <c r="Q93" i="1"/>
  <c r="P93" i="1"/>
  <c r="O92" i="1"/>
  <c r="R94" i="1" l="1"/>
  <c r="Q94" i="1"/>
  <c r="P94" i="1"/>
  <c r="O93" i="1"/>
  <c r="R95" i="1" l="1"/>
  <c r="Q95" i="1"/>
  <c r="P95" i="1"/>
  <c r="O94" i="1"/>
  <c r="R96" i="1" l="1"/>
  <c r="Q96" i="1"/>
  <c r="P96" i="1"/>
  <c r="O95" i="1"/>
  <c r="R97" i="1" l="1"/>
  <c r="Q97" i="1"/>
  <c r="P97" i="1"/>
  <c r="O96" i="1"/>
  <c r="R98" i="1" l="1"/>
  <c r="Q98" i="1"/>
  <c r="P98" i="1"/>
  <c r="O97" i="1"/>
  <c r="R99" i="1" l="1"/>
  <c r="Q99" i="1"/>
  <c r="P99" i="1"/>
  <c r="O98" i="1"/>
  <c r="R100" i="1" l="1"/>
  <c r="Q100" i="1"/>
  <c r="P100" i="1"/>
  <c r="O99" i="1"/>
  <c r="R101" i="1" l="1"/>
  <c r="Q101" i="1"/>
  <c r="P101" i="1"/>
  <c r="O100" i="1"/>
  <c r="R102" i="1" l="1"/>
  <c r="Q102" i="1"/>
  <c r="P102" i="1"/>
  <c r="O101" i="1"/>
  <c r="R103" i="1" l="1"/>
  <c r="Q103" i="1"/>
  <c r="P103" i="1"/>
  <c r="O102" i="1"/>
  <c r="R104" i="1" l="1"/>
  <c r="Q104" i="1"/>
  <c r="P104" i="1"/>
  <c r="O103" i="1"/>
  <c r="R105" i="1" l="1"/>
  <c r="Q105" i="1"/>
  <c r="P105" i="1"/>
  <c r="O104" i="1"/>
  <c r="R106" i="1" l="1"/>
  <c r="Q106" i="1"/>
  <c r="P106" i="1"/>
  <c r="O105" i="1"/>
  <c r="R107" i="1" l="1"/>
  <c r="Q107" i="1"/>
  <c r="P107" i="1"/>
  <c r="O106" i="1"/>
  <c r="R108" i="1" l="1"/>
  <c r="Q108" i="1"/>
  <c r="P108" i="1"/>
  <c r="O107" i="1"/>
  <c r="R109" i="1" l="1"/>
  <c r="Q109" i="1"/>
  <c r="P109" i="1"/>
  <c r="O108" i="1"/>
  <c r="R110" i="1" l="1"/>
  <c r="Q110" i="1"/>
  <c r="P110" i="1"/>
  <c r="O109" i="1"/>
  <c r="R111" i="1" l="1"/>
  <c r="Q111" i="1"/>
  <c r="P111" i="1"/>
  <c r="O110" i="1"/>
  <c r="R112" i="1" l="1"/>
  <c r="Q112" i="1"/>
  <c r="P112" i="1"/>
  <c r="O111" i="1"/>
  <c r="R113" i="1" l="1"/>
  <c r="Q113" i="1"/>
  <c r="P113" i="1"/>
  <c r="O112" i="1"/>
  <c r="R114" i="1" l="1"/>
  <c r="Q114" i="1"/>
  <c r="P114" i="1"/>
  <c r="O113" i="1"/>
  <c r="R115" i="1" l="1"/>
  <c r="Q115" i="1"/>
  <c r="P115" i="1"/>
  <c r="O114" i="1"/>
  <c r="R116" i="1" l="1"/>
  <c r="Q116" i="1"/>
  <c r="P116" i="1"/>
  <c r="O115" i="1"/>
  <c r="R117" i="1" l="1"/>
  <c r="Q117" i="1"/>
  <c r="P117" i="1"/>
  <c r="O116" i="1"/>
  <c r="R118" i="1" l="1"/>
  <c r="Q118" i="1"/>
  <c r="P118" i="1"/>
  <c r="O117" i="1"/>
  <c r="R119" i="1" l="1"/>
  <c r="Q119" i="1"/>
  <c r="P119" i="1"/>
  <c r="O118" i="1"/>
  <c r="R120" i="1" l="1"/>
  <c r="Q120" i="1"/>
  <c r="P120" i="1"/>
  <c r="O119" i="1"/>
  <c r="R121" i="1" l="1"/>
  <c r="Q121" i="1"/>
  <c r="P121" i="1"/>
  <c r="O120" i="1"/>
  <c r="R122" i="1" l="1"/>
  <c r="Q122" i="1"/>
  <c r="P122" i="1"/>
  <c r="O121" i="1"/>
  <c r="R123" i="1" l="1"/>
  <c r="Q123" i="1"/>
  <c r="P123" i="1"/>
  <c r="O122" i="1"/>
  <c r="R124" i="1" l="1"/>
  <c r="Q124" i="1"/>
  <c r="P124" i="1"/>
  <c r="O123" i="1"/>
  <c r="R125" i="1" l="1"/>
  <c r="Q125" i="1"/>
  <c r="P125" i="1"/>
  <c r="O124" i="1"/>
  <c r="R126" i="1" l="1"/>
  <c r="Q126" i="1"/>
  <c r="P126" i="1"/>
  <c r="O125" i="1"/>
  <c r="R127" i="1" l="1"/>
  <c r="Q127" i="1"/>
  <c r="P127" i="1"/>
  <c r="O126" i="1"/>
  <c r="R128" i="1" l="1"/>
  <c r="Q128" i="1"/>
  <c r="P128" i="1"/>
  <c r="O127" i="1"/>
  <c r="R129" i="1" l="1"/>
  <c r="Q129" i="1"/>
  <c r="P129" i="1"/>
  <c r="O128" i="1"/>
  <c r="R130" i="1" l="1"/>
  <c r="Q130" i="1"/>
  <c r="P130" i="1"/>
  <c r="O129" i="1"/>
  <c r="R131" i="1" l="1"/>
  <c r="Q131" i="1"/>
  <c r="P131" i="1"/>
  <c r="O130" i="1"/>
  <c r="R132" i="1" l="1"/>
  <c r="Q132" i="1"/>
  <c r="P132" i="1"/>
  <c r="O131" i="1"/>
  <c r="R133" i="1" l="1"/>
  <c r="Q133" i="1"/>
  <c r="P133" i="1"/>
  <c r="O132" i="1"/>
  <c r="R134" i="1" l="1"/>
  <c r="Q134" i="1"/>
  <c r="P134" i="1"/>
  <c r="O133" i="1"/>
  <c r="R135" i="1" l="1"/>
  <c r="Q135" i="1"/>
  <c r="P135" i="1"/>
  <c r="O134" i="1"/>
  <c r="R136" i="1" l="1"/>
  <c r="Q136" i="1"/>
  <c r="P136" i="1"/>
  <c r="O135" i="1"/>
  <c r="R137" i="1" l="1"/>
  <c r="Q137" i="1"/>
  <c r="P137" i="1"/>
  <c r="O136" i="1"/>
  <c r="R138" i="1" l="1"/>
  <c r="Q138" i="1"/>
  <c r="P138" i="1"/>
  <c r="O137" i="1"/>
  <c r="R139" i="1" l="1"/>
  <c r="Q139" i="1"/>
  <c r="P139" i="1"/>
  <c r="O138" i="1"/>
  <c r="R140" i="1" l="1"/>
  <c r="Q140" i="1"/>
  <c r="P140" i="1"/>
  <c r="O139" i="1"/>
  <c r="R141" i="1" l="1"/>
  <c r="Q141" i="1"/>
  <c r="P141" i="1"/>
  <c r="O140" i="1"/>
  <c r="R142" i="1" l="1"/>
  <c r="Q142" i="1"/>
  <c r="P142" i="1"/>
  <c r="O141" i="1"/>
  <c r="R143" i="1" l="1"/>
  <c r="Q143" i="1"/>
  <c r="P143" i="1"/>
  <c r="O142" i="1"/>
  <c r="R144" i="1" l="1"/>
  <c r="Q144" i="1"/>
  <c r="P144" i="1"/>
  <c r="O143" i="1"/>
  <c r="R145" i="1" l="1"/>
  <c r="Q145" i="1"/>
  <c r="P145" i="1"/>
  <c r="O144" i="1"/>
  <c r="R146" i="1" l="1"/>
  <c r="Q146" i="1"/>
  <c r="P146" i="1"/>
  <c r="O145" i="1"/>
  <c r="R147" i="1" l="1"/>
  <c r="Q147" i="1"/>
  <c r="P147" i="1"/>
  <c r="O146" i="1"/>
  <c r="R148" i="1" l="1"/>
  <c r="Q148" i="1"/>
  <c r="P148" i="1"/>
  <c r="O147" i="1"/>
  <c r="R149" i="1" l="1"/>
  <c r="Q149" i="1"/>
  <c r="P149" i="1"/>
  <c r="O148" i="1"/>
  <c r="R150" i="1" l="1"/>
  <c r="Q150" i="1"/>
  <c r="P150" i="1"/>
  <c r="O149" i="1"/>
  <c r="R151" i="1" l="1"/>
  <c r="Q151" i="1"/>
  <c r="P151" i="1"/>
  <c r="O150" i="1"/>
  <c r="R152" i="1" l="1"/>
  <c r="Q152" i="1"/>
  <c r="P152" i="1"/>
  <c r="O151" i="1"/>
  <c r="R153" i="1" l="1"/>
  <c r="Q153" i="1"/>
  <c r="P153" i="1"/>
  <c r="O152" i="1"/>
  <c r="R154" i="1" l="1"/>
  <c r="Q154" i="1"/>
  <c r="P154" i="1"/>
  <c r="O153" i="1"/>
  <c r="R155" i="1" l="1"/>
  <c r="Q155" i="1"/>
  <c r="P155" i="1"/>
  <c r="O154" i="1"/>
  <c r="R156" i="1" l="1"/>
  <c r="Q156" i="1"/>
  <c r="P156" i="1"/>
  <c r="O155" i="1"/>
  <c r="R157" i="1" l="1"/>
  <c r="Q157" i="1"/>
  <c r="P157" i="1"/>
  <c r="O156" i="1"/>
  <c r="R158" i="1" l="1"/>
  <c r="Q158" i="1"/>
  <c r="P158" i="1"/>
  <c r="O157" i="1"/>
  <c r="R159" i="1" l="1"/>
  <c r="Q159" i="1"/>
  <c r="P159" i="1"/>
  <c r="O158" i="1"/>
  <c r="R160" i="1" l="1"/>
  <c r="Q160" i="1"/>
  <c r="P160" i="1"/>
  <c r="O159" i="1"/>
  <c r="R161" i="1" l="1"/>
  <c r="Q161" i="1"/>
  <c r="P161" i="1"/>
  <c r="O160" i="1"/>
  <c r="R162" i="1" l="1"/>
  <c r="Q162" i="1"/>
  <c r="P162" i="1"/>
  <c r="O161" i="1"/>
  <c r="R163" i="1" l="1"/>
  <c r="Q163" i="1"/>
  <c r="P163" i="1"/>
  <c r="O162" i="1"/>
  <c r="R164" i="1" l="1"/>
  <c r="Q164" i="1"/>
  <c r="P164" i="1"/>
  <c r="O163" i="1"/>
  <c r="R165" i="1" l="1"/>
  <c r="Q165" i="1"/>
  <c r="P165" i="1"/>
  <c r="O164" i="1"/>
  <c r="R166" i="1" l="1"/>
  <c r="Q166" i="1"/>
  <c r="P166" i="1"/>
  <c r="O165" i="1"/>
  <c r="R167" i="1" l="1"/>
  <c r="Q167" i="1"/>
  <c r="P167" i="1"/>
  <c r="O166" i="1"/>
  <c r="R168" i="1" l="1"/>
  <c r="Q168" i="1"/>
  <c r="P168" i="1"/>
  <c r="O167" i="1"/>
  <c r="R169" i="1" l="1"/>
  <c r="Q169" i="1"/>
  <c r="P169" i="1"/>
  <c r="O168" i="1"/>
  <c r="R170" i="1" l="1"/>
  <c r="Q170" i="1"/>
  <c r="P170" i="1"/>
  <c r="O169" i="1"/>
  <c r="R171" i="1" l="1"/>
  <c r="Q171" i="1"/>
  <c r="P171" i="1"/>
  <c r="O170" i="1"/>
  <c r="R172" i="1" l="1"/>
  <c r="Q172" i="1"/>
  <c r="P172" i="1"/>
  <c r="O171" i="1"/>
  <c r="R173" i="1" l="1"/>
  <c r="Q173" i="1"/>
  <c r="P173" i="1"/>
  <c r="O172" i="1"/>
  <c r="R174" i="1" l="1"/>
  <c r="Q174" i="1"/>
  <c r="P174" i="1"/>
  <c r="O173" i="1"/>
  <c r="R175" i="1" l="1"/>
  <c r="Q175" i="1"/>
  <c r="P175" i="1"/>
  <c r="O174" i="1"/>
  <c r="R176" i="1" l="1"/>
  <c r="Q176" i="1"/>
  <c r="P176" i="1"/>
  <c r="O175" i="1"/>
  <c r="R177" i="1" l="1"/>
  <c r="Q177" i="1"/>
  <c r="P177" i="1"/>
  <c r="O176" i="1"/>
  <c r="R178" i="1" l="1"/>
  <c r="Q178" i="1"/>
  <c r="P178" i="1"/>
  <c r="O177" i="1"/>
  <c r="R179" i="1" l="1"/>
  <c r="Q179" i="1"/>
  <c r="P179" i="1"/>
  <c r="O178" i="1"/>
  <c r="R180" i="1" l="1"/>
  <c r="Q180" i="1"/>
  <c r="P180" i="1"/>
  <c r="O179" i="1"/>
  <c r="R181" i="1" l="1"/>
  <c r="Q181" i="1"/>
  <c r="P181" i="1"/>
  <c r="O180" i="1"/>
  <c r="R182" i="1" l="1"/>
  <c r="Q182" i="1"/>
  <c r="P182" i="1"/>
  <c r="O181" i="1"/>
  <c r="R183" i="1" l="1"/>
  <c r="Q183" i="1"/>
  <c r="P183" i="1"/>
  <c r="O182" i="1"/>
  <c r="R184" i="1" l="1"/>
  <c r="Q184" i="1"/>
  <c r="P184" i="1"/>
  <c r="O183" i="1"/>
  <c r="R185" i="1" l="1"/>
  <c r="Q185" i="1"/>
  <c r="P185" i="1"/>
  <c r="O184" i="1"/>
  <c r="R186" i="1" l="1"/>
  <c r="Q186" i="1"/>
  <c r="P186" i="1"/>
  <c r="O185" i="1"/>
  <c r="R187" i="1" l="1"/>
  <c r="Q187" i="1"/>
  <c r="P187" i="1"/>
  <c r="O186" i="1"/>
  <c r="R188" i="1" l="1"/>
  <c r="Q188" i="1"/>
  <c r="P188" i="1"/>
  <c r="O187" i="1"/>
  <c r="R189" i="1" l="1"/>
  <c r="Q189" i="1"/>
  <c r="P189" i="1"/>
  <c r="O188" i="1"/>
  <c r="R190" i="1" l="1"/>
  <c r="Q190" i="1"/>
  <c r="P190" i="1"/>
  <c r="O189" i="1"/>
  <c r="R191" i="1" l="1"/>
  <c r="Q191" i="1"/>
  <c r="P191" i="1"/>
  <c r="O190" i="1"/>
  <c r="R192" i="1" l="1"/>
  <c r="Q192" i="1"/>
  <c r="P192" i="1"/>
  <c r="O191" i="1"/>
  <c r="R193" i="1" l="1"/>
  <c r="Q193" i="1"/>
  <c r="P193" i="1"/>
  <c r="O192" i="1"/>
  <c r="R194" i="1" l="1"/>
  <c r="Q194" i="1"/>
  <c r="P194" i="1"/>
  <c r="O193" i="1"/>
  <c r="R195" i="1" l="1"/>
  <c r="Q195" i="1"/>
  <c r="P195" i="1"/>
  <c r="O194" i="1"/>
  <c r="R196" i="1" l="1"/>
  <c r="Q196" i="1"/>
  <c r="P196" i="1"/>
  <c r="O195" i="1"/>
  <c r="R197" i="1" l="1"/>
  <c r="Q197" i="1"/>
  <c r="P197" i="1"/>
  <c r="O196" i="1"/>
  <c r="R198" i="1" l="1"/>
  <c r="Q198" i="1"/>
  <c r="P198" i="1"/>
  <c r="O197" i="1"/>
  <c r="R199" i="1" l="1"/>
  <c r="Q199" i="1"/>
  <c r="P199" i="1"/>
  <c r="O198" i="1"/>
  <c r="R200" i="1" l="1"/>
  <c r="Q200" i="1"/>
  <c r="P200" i="1"/>
  <c r="O199" i="1"/>
  <c r="R201" i="1" l="1"/>
  <c r="Q201" i="1"/>
  <c r="P201" i="1"/>
  <c r="O200" i="1"/>
  <c r="R202" i="1" l="1"/>
  <c r="Q202" i="1"/>
  <c r="P202" i="1"/>
  <c r="O201" i="1"/>
  <c r="R203" i="1" l="1"/>
  <c r="Q203" i="1"/>
  <c r="P203" i="1"/>
  <c r="O202" i="1"/>
  <c r="R204" i="1" l="1"/>
  <c r="Q204" i="1"/>
  <c r="P204" i="1"/>
  <c r="O203" i="1"/>
  <c r="R205" i="1" l="1"/>
  <c r="Q205" i="1"/>
  <c r="P205" i="1"/>
  <c r="O204" i="1"/>
  <c r="R206" i="1" l="1"/>
  <c r="Q206" i="1"/>
  <c r="P206" i="1"/>
  <c r="O205" i="1"/>
  <c r="R207" i="1" l="1"/>
  <c r="Q207" i="1"/>
  <c r="P207" i="1"/>
  <c r="O206" i="1"/>
  <c r="R208" i="1" l="1"/>
  <c r="Q208" i="1"/>
  <c r="P208" i="1"/>
  <c r="O207" i="1"/>
  <c r="R209" i="1" l="1"/>
  <c r="Q209" i="1"/>
  <c r="P209" i="1"/>
  <c r="O208" i="1"/>
  <c r="R210" i="1" l="1"/>
  <c r="Q210" i="1"/>
  <c r="P210" i="1"/>
  <c r="O209" i="1"/>
  <c r="R211" i="1" l="1"/>
  <c r="Q211" i="1"/>
  <c r="P211" i="1"/>
  <c r="O210" i="1"/>
  <c r="R212" i="1" l="1"/>
  <c r="Q212" i="1"/>
  <c r="P212" i="1"/>
  <c r="O211" i="1"/>
  <c r="R213" i="1" l="1"/>
  <c r="Q213" i="1"/>
  <c r="P213" i="1"/>
  <c r="O212" i="1"/>
  <c r="R214" i="1" l="1"/>
  <c r="Q214" i="1"/>
  <c r="P214" i="1"/>
  <c r="O213" i="1"/>
  <c r="R215" i="1" l="1"/>
  <c r="Q215" i="1"/>
  <c r="P215" i="1"/>
  <c r="O214" i="1"/>
  <c r="R216" i="1" l="1"/>
  <c r="Q216" i="1"/>
  <c r="P216" i="1"/>
  <c r="O215" i="1"/>
  <c r="R217" i="1" l="1"/>
  <c r="Q217" i="1"/>
  <c r="P217" i="1"/>
  <c r="O216" i="1"/>
  <c r="R218" i="1" l="1"/>
  <c r="Q218" i="1"/>
  <c r="P218" i="1"/>
  <c r="O217" i="1"/>
  <c r="R219" i="1" l="1"/>
  <c r="Q219" i="1"/>
  <c r="P219" i="1"/>
  <c r="O218" i="1"/>
  <c r="R220" i="1" l="1"/>
  <c r="Q220" i="1"/>
  <c r="P220" i="1"/>
  <c r="O219" i="1"/>
  <c r="R221" i="1" l="1"/>
  <c r="Q221" i="1"/>
  <c r="P221" i="1"/>
  <c r="O220" i="1"/>
  <c r="R222" i="1" l="1"/>
  <c r="Q222" i="1"/>
  <c r="P222" i="1"/>
  <c r="O221" i="1"/>
  <c r="R223" i="1" l="1"/>
  <c r="Q223" i="1"/>
  <c r="P223" i="1"/>
  <c r="O222" i="1"/>
  <c r="R224" i="1" l="1"/>
  <c r="Q224" i="1"/>
  <c r="P224" i="1"/>
  <c r="O223" i="1"/>
  <c r="R225" i="1" l="1"/>
  <c r="Q225" i="1"/>
  <c r="P225" i="1"/>
  <c r="O224" i="1"/>
  <c r="R226" i="1" l="1"/>
  <c r="Q226" i="1"/>
  <c r="P226" i="1"/>
  <c r="O225" i="1"/>
  <c r="R227" i="1" l="1"/>
  <c r="Q227" i="1"/>
  <c r="P227" i="1"/>
  <c r="O226" i="1"/>
  <c r="R228" i="1" l="1"/>
  <c r="Q228" i="1"/>
  <c r="P228" i="1"/>
  <c r="O227" i="1"/>
  <c r="R229" i="1" l="1"/>
  <c r="Q229" i="1"/>
  <c r="P229" i="1"/>
  <c r="O228" i="1"/>
  <c r="R230" i="1" l="1"/>
  <c r="Q230" i="1"/>
  <c r="P230" i="1"/>
  <c r="O229" i="1"/>
  <c r="R231" i="1" l="1"/>
  <c r="Q231" i="1"/>
  <c r="P231" i="1"/>
  <c r="O230" i="1"/>
  <c r="R232" i="1" l="1"/>
  <c r="Q232" i="1"/>
  <c r="P232" i="1"/>
  <c r="O231" i="1"/>
  <c r="R233" i="1" l="1"/>
  <c r="Q233" i="1"/>
  <c r="P233" i="1"/>
  <c r="O232" i="1"/>
  <c r="R234" i="1" l="1"/>
  <c r="Q234" i="1"/>
  <c r="P234" i="1"/>
  <c r="O233" i="1"/>
  <c r="R235" i="1" l="1"/>
  <c r="Q235" i="1"/>
  <c r="P235" i="1"/>
  <c r="O234" i="1"/>
  <c r="R236" i="1" l="1"/>
  <c r="Q236" i="1"/>
  <c r="P236" i="1"/>
  <c r="O235" i="1"/>
  <c r="R237" i="1" l="1"/>
  <c r="Q237" i="1"/>
  <c r="P237" i="1"/>
  <c r="O236" i="1"/>
  <c r="R238" i="1" l="1"/>
  <c r="Q238" i="1"/>
  <c r="P238" i="1"/>
  <c r="O237" i="1"/>
  <c r="R239" i="1" l="1"/>
  <c r="Q239" i="1"/>
  <c r="P239" i="1"/>
  <c r="O238" i="1"/>
  <c r="R240" i="1" l="1"/>
  <c r="Q240" i="1"/>
  <c r="P240" i="1"/>
  <c r="O239" i="1"/>
  <c r="R241" i="1" l="1"/>
  <c r="Q241" i="1"/>
  <c r="P241" i="1"/>
  <c r="O240" i="1"/>
  <c r="R242" i="1" l="1"/>
  <c r="Q242" i="1"/>
  <c r="P242" i="1"/>
  <c r="O241" i="1"/>
  <c r="R243" i="1" l="1"/>
  <c r="Q243" i="1"/>
  <c r="P243" i="1"/>
  <c r="O242" i="1"/>
  <c r="R244" i="1" l="1"/>
  <c r="Q244" i="1"/>
  <c r="P244" i="1"/>
  <c r="O243" i="1"/>
  <c r="R245" i="1" l="1"/>
  <c r="Q245" i="1"/>
  <c r="P245" i="1"/>
  <c r="O244" i="1"/>
  <c r="R246" i="1" l="1"/>
  <c r="Q246" i="1"/>
  <c r="P246" i="1"/>
  <c r="O245" i="1"/>
  <c r="R247" i="1" l="1"/>
  <c r="Q247" i="1"/>
  <c r="P247" i="1"/>
  <c r="O246" i="1"/>
  <c r="R248" i="1" l="1"/>
  <c r="Q248" i="1"/>
  <c r="P248" i="1"/>
  <c r="O247" i="1"/>
  <c r="R249" i="1" l="1"/>
  <c r="Q249" i="1"/>
  <c r="P249" i="1"/>
  <c r="O248" i="1"/>
  <c r="R250" i="1" l="1"/>
  <c r="Q250" i="1"/>
  <c r="P250" i="1"/>
  <c r="O249" i="1"/>
  <c r="R251" i="1" l="1"/>
  <c r="Q251" i="1"/>
  <c r="P251" i="1"/>
  <c r="O250" i="1"/>
  <c r="R252" i="1" l="1"/>
  <c r="Q252" i="1"/>
  <c r="P252" i="1"/>
  <c r="O251" i="1"/>
  <c r="R253" i="1" l="1"/>
  <c r="Q253" i="1"/>
  <c r="P253" i="1"/>
  <c r="O252" i="1"/>
  <c r="R254" i="1" l="1"/>
  <c r="Q254" i="1"/>
  <c r="P254" i="1"/>
  <c r="O253" i="1"/>
  <c r="R255" i="1" l="1"/>
  <c r="Q255" i="1"/>
  <c r="P255" i="1"/>
  <c r="O254" i="1"/>
  <c r="R256" i="1" l="1"/>
  <c r="Q256" i="1"/>
  <c r="P256" i="1"/>
  <c r="O255" i="1"/>
  <c r="R257" i="1" l="1"/>
  <c r="Q257" i="1"/>
  <c r="P257" i="1"/>
  <c r="O256" i="1"/>
  <c r="R258" i="1" l="1"/>
  <c r="Q258" i="1"/>
  <c r="P258" i="1"/>
  <c r="O257" i="1"/>
  <c r="R259" i="1" l="1"/>
  <c r="Q259" i="1"/>
  <c r="P259" i="1"/>
  <c r="O258" i="1"/>
  <c r="R260" i="1" l="1"/>
  <c r="Q260" i="1"/>
  <c r="P260" i="1"/>
  <c r="O259" i="1"/>
  <c r="R261" i="1" l="1"/>
  <c r="Q261" i="1"/>
  <c r="P261" i="1"/>
  <c r="O260" i="1"/>
  <c r="R262" i="1" l="1"/>
  <c r="Q262" i="1"/>
  <c r="P262" i="1"/>
  <c r="O261" i="1"/>
  <c r="R263" i="1" l="1"/>
  <c r="Q263" i="1"/>
  <c r="P263" i="1"/>
  <c r="O262" i="1"/>
  <c r="R264" i="1" l="1"/>
  <c r="Q264" i="1"/>
  <c r="P264" i="1"/>
  <c r="O263" i="1"/>
  <c r="R265" i="1" l="1"/>
  <c r="Q265" i="1"/>
  <c r="P265" i="1"/>
  <c r="O264" i="1"/>
  <c r="R266" i="1" l="1"/>
  <c r="Q266" i="1"/>
  <c r="P266" i="1"/>
  <c r="O265" i="1"/>
  <c r="R267" i="1" l="1"/>
  <c r="Q267" i="1"/>
  <c r="P267" i="1"/>
  <c r="O266" i="1"/>
  <c r="R268" i="1" l="1"/>
  <c r="Q268" i="1"/>
  <c r="P268" i="1"/>
  <c r="O267" i="1"/>
  <c r="R269" i="1" l="1"/>
  <c r="Q269" i="1"/>
  <c r="P269" i="1"/>
  <c r="O268" i="1"/>
  <c r="R270" i="1" l="1"/>
  <c r="Q270" i="1"/>
  <c r="P270" i="1"/>
  <c r="O269" i="1"/>
  <c r="R271" i="1" l="1"/>
  <c r="Q271" i="1"/>
  <c r="P271" i="1"/>
  <c r="O270" i="1"/>
  <c r="R272" i="1" l="1"/>
  <c r="Q272" i="1"/>
  <c r="P272" i="1"/>
  <c r="O271" i="1"/>
  <c r="R273" i="1" l="1"/>
  <c r="Q273" i="1"/>
  <c r="P273" i="1"/>
  <c r="O272" i="1"/>
  <c r="R274" i="1" l="1"/>
  <c r="Q274" i="1"/>
  <c r="P274" i="1"/>
  <c r="O273" i="1"/>
  <c r="R275" i="1" l="1"/>
  <c r="Q275" i="1"/>
  <c r="P275" i="1"/>
  <c r="O274" i="1"/>
  <c r="R276" i="1" l="1"/>
  <c r="Q276" i="1"/>
  <c r="P276" i="1"/>
  <c r="O275" i="1"/>
  <c r="R277" i="1" l="1"/>
  <c r="Q277" i="1"/>
  <c r="P277" i="1"/>
  <c r="O276" i="1"/>
  <c r="R278" i="1" l="1"/>
  <c r="Q278" i="1"/>
  <c r="P278" i="1"/>
  <c r="O277" i="1"/>
  <c r="R279" i="1" l="1"/>
  <c r="Q279" i="1"/>
  <c r="P279" i="1"/>
  <c r="O278" i="1"/>
  <c r="R280" i="1" l="1"/>
  <c r="Q280" i="1"/>
  <c r="P280" i="1"/>
  <c r="O279" i="1"/>
  <c r="R281" i="1" l="1"/>
  <c r="Q281" i="1"/>
  <c r="P281" i="1"/>
  <c r="O280" i="1"/>
  <c r="R282" i="1" l="1"/>
  <c r="Q282" i="1"/>
  <c r="P282" i="1"/>
  <c r="O281" i="1"/>
  <c r="R283" i="1" l="1"/>
  <c r="Q283" i="1"/>
  <c r="P283" i="1"/>
  <c r="O282" i="1"/>
  <c r="R284" i="1" l="1"/>
  <c r="Q284" i="1"/>
  <c r="P284" i="1"/>
  <c r="O283" i="1"/>
  <c r="R285" i="1" l="1"/>
  <c r="Q285" i="1"/>
  <c r="P285" i="1"/>
  <c r="O284" i="1"/>
  <c r="R286" i="1" l="1"/>
  <c r="Q286" i="1"/>
  <c r="P286" i="1"/>
  <c r="O285" i="1"/>
  <c r="R287" i="1" l="1"/>
  <c r="Q287" i="1"/>
  <c r="P287" i="1"/>
  <c r="O286" i="1"/>
  <c r="R288" i="1" l="1"/>
  <c r="Q288" i="1"/>
  <c r="P288" i="1"/>
  <c r="O287" i="1"/>
  <c r="R289" i="1" l="1"/>
  <c r="Q289" i="1"/>
  <c r="P289" i="1"/>
  <c r="O288" i="1"/>
  <c r="R290" i="1" l="1"/>
  <c r="Q290" i="1"/>
  <c r="P290" i="1"/>
  <c r="O289" i="1"/>
  <c r="R291" i="1" l="1"/>
  <c r="Q291" i="1"/>
  <c r="P291" i="1"/>
  <c r="O290" i="1"/>
  <c r="R292" i="1" l="1"/>
  <c r="Q292" i="1"/>
  <c r="P292" i="1"/>
  <c r="O291" i="1"/>
  <c r="R293" i="1" l="1"/>
  <c r="Q293" i="1"/>
  <c r="P293" i="1"/>
  <c r="O292" i="1"/>
  <c r="R294" i="1" l="1"/>
  <c r="Q294" i="1"/>
  <c r="P294" i="1"/>
  <c r="O293" i="1"/>
  <c r="R295" i="1" l="1"/>
  <c r="Q295" i="1"/>
  <c r="P295" i="1"/>
  <c r="O294" i="1"/>
  <c r="R296" i="1" l="1"/>
  <c r="Q296" i="1"/>
  <c r="P296" i="1"/>
  <c r="O295" i="1"/>
  <c r="R297" i="1" l="1"/>
  <c r="Q297" i="1"/>
  <c r="P297" i="1"/>
  <c r="O296" i="1"/>
  <c r="R298" i="1" l="1"/>
  <c r="Q298" i="1"/>
  <c r="P298" i="1"/>
  <c r="O297" i="1"/>
  <c r="R299" i="1" l="1"/>
  <c r="Q299" i="1"/>
  <c r="P299" i="1"/>
  <c r="O298" i="1"/>
  <c r="R300" i="1" l="1"/>
  <c r="Q300" i="1"/>
  <c r="P300" i="1"/>
  <c r="O299" i="1"/>
  <c r="R301" i="1" l="1"/>
  <c r="Q301" i="1"/>
  <c r="P301" i="1"/>
  <c r="O300" i="1"/>
  <c r="R302" i="1" l="1"/>
  <c r="Q302" i="1"/>
  <c r="P302" i="1"/>
  <c r="O301" i="1"/>
  <c r="R303" i="1" l="1"/>
  <c r="Q303" i="1"/>
  <c r="P303" i="1"/>
  <c r="O302" i="1"/>
  <c r="R304" i="1" l="1"/>
  <c r="Q304" i="1"/>
  <c r="P304" i="1"/>
  <c r="O303" i="1"/>
  <c r="R305" i="1" l="1"/>
  <c r="Q305" i="1"/>
  <c r="P305" i="1"/>
  <c r="O304" i="1"/>
  <c r="R306" i="1" l="1"/>
  <c r="Q306" i="1"/>
  <c r="P306" i="1"/>
  <c r="O305" i="1"/>
  <c r="R307" i="1" l="1"/>
  <c r="Q307" i="1"/>
  <c r="P307" i="1"/>
  <c r="O306" i="1"/>
  <c r="R308" i="1" l="1"/>
  <c r="Q308" i="1"/>
  <c r="P308" i="1"/>
  <c r="O307" i="1"/>
  <c r="R309" i="1" l="1"/>
  <c r="Q309" i="1"/>
  <c r="P309" i="1"/>
  <c r="O308" i="1"/>
  <c r="R310" i="1" l="1"/>
  <c r="Q310" i="1"/>
  <c r="P310" i="1"/>
  <c r="O309" i="1"/>
  <c r="R311" i="1" l="1"/>
  <c r="Q311" i="1"/>
  <c r="P311" i="1"/>
  <c r="O310" i="1"/>
  <c r="R312" i="1" l="1"/>
  <c r="Q312" i="1"/>
  <c r="P312" i="1"/>
  <c r="O311" i="1"/>
  <c r="R313" i="1" l="1"/>
  <c r="Q313" i="1"/>
  <c r="P313" i="1"/>
  <c r="O312" i="1"/>
  <c r="R314" i="1" l="1"/>
  <c r="Q314" i="1"/>
  <c r="P314" i="1"/>
  <c r="O313" i="1"/>
  <c r="R315" i="1" l="1"/>
  <c r="Q315" i="1"/>
  <c r="P315" i="1"/>
  <c r="O314" i="1"/>
  <c r="R316" i="1" l="1"/>
  <c r="Q316" i="1"/>
  <c r="P316" i="1"/>
  <c r="O315" i="1"/>
  <c r="R317" i="1" l="1"/>
  <c r="Q317" i="1"/>
  <c r="P317" i="1"/>
  <c r="O316" i="1"/>
  <c r="R318" i="1" l="1"/>
  <c r="Q318" i="1"/>
  <c r="P318" i="1"/>
  <c r="O317" i="1"/>
  <c r="R319" i="1" l="1"/>
  <c r="Q319" i="1"/>
  <c r="P319" i="1"/>
  <c r="O318" i="1"/>
  <c r="R320" i="1" l="1"/>
  <c r="Q320" i="1"/>
  <c r="P320" i="1"/>
  <c r="O319" i="1"/>
  <c r="R321" i="1" l="1"/>
  <c r="Q321" i="1"/>
  <c r="P321" i="1"/>
  <c r="O320" i="1"/>
  <c r="R322" i="1" l="1"/>
  <c r="Q322" i="1"/>
  <c r="P322" i="1"/>
  <c r="O321" i="1"/>
  <c r="R323" i="1" l="1"/>
  <c r="Q323" i="1"/>
  <c r="P323" i="1"/>
  <c r="O322" i="1"/>
  <c r="R324" i="1" l="1"/>
  <c r="Q324" i="1"/>
  <c r="P324" i="1"/>
  <c r="O323" i="1"/>
  <c r="R325" i="1" l="1"/>
  <c r="Q325" i="1"/>
  <c r="P325" i="1"/>
  <c r="O324" i="1"/>
  <c r="R326" i="1" l="1"/>
  <c r="Q326" i="1"/>
  <c r="P326" i="1"/>
  <c r="O325" i="1"/>
  <c r="R327" i="1" l="1"/>
  <c r="Q327" i="1"/>
  <c r="P327" i="1"/>
  <c r="O326" i="1"/>
  <c r="R328" i="1" l="1"/>
  <c r="Q328" i="1"/>
  <c r="P328" i="1"/>
  <c r="O327" i="1"/>
  <c r="R329" i="1" l="1"/>
  <c r="Q329" i="1"/>
  <c r="P329" i="1"/>
  <c r="O328" i="1"/>
  <c r="R330" i="1" l="1"/>
  <c r="Q330" i="1"/>
  <c r="P330" i="1"/>
  <c r="O329" i="1"/>
  <c r="R331" i="1" l="1"/>
  <c r="Q331" i="1"/>
  <c r="P331" i="1"/>
  <c r="O330" i="1"/>
  <c r="R332" i="1" l="1"/>
  <c r="Q332" i="1"/>
  <c r="P332" i="1"/>
  <c r="O331" i="1"/>
  <c r="R333" i="1" l="1"/>
  <c r="Q333" i="1"/>
  <c r="P333" i="1"/>
  <c r="O332" i="1"/>
  <c r="R334" i="1" l="1"/>
  <c r="Q334" i="1"/>
  <c r="P334" i="1"/>
  <c r="O333" i="1"/>
  <c r="R335" i="1" l="1"/>
  <c r="Q335" i="1"/>
  <c r="P335" i="1"/>
  <c r="O334" i="1"/>
  <c r="R336" i="1" l="1"/>
  <c r="Q336" i="1"/>
  <c r="P336" i="1"/>
  <c r="O335" i="1"/>
  <c r="R337" i="1" l="1"/>
  <c r="Q337" i="1"/>
  <c r="P337" i="1"/>
  <c r="O336" i="1"/>
  <c r="R338" i="1" l="1"/>
  <c r="Q338" i="1"/>
  <c r="P338" i="1"/>
  <c r="O337" i="1"/>
  <c r="R339" i="1" l="1"/>
  <c r="Q339" i="1"/>
  <c r="P339" i="1"/>
  <c r="O338" i="1"/>
  <c r="R340" i="1" l="1"/>
  <c r="Q340" i="1"/>
  <c r="P340" i="1"/>
  <c r="O339" i="1"/>
  <c r="R341" i="1" l="1"/>
  <c r="Q341" i="1"/>
  <c r="P341" i="1"/>
  <c r="O340" i="1"/>
  <c r="R342" i="1" l="1"/>
  <c r="Q342" i="1"/>
  <c r="P342" i="1"/>
  <c r="O341" i="1"/>
  <c r="R343" i="1" l="1"/>
  <c r="Q343" i="1"/>
  <c r="P343" i="1"/>
  <c r="O342" i="1"/>
  <c r="R344" i="1" l="1"/>
  <c r="Q344" i="1"/>
  <c r="P344" i="1"/>
  <c r="O343" i="1"/>
  <c r="R345" i="1" l="1"/>
  <c r="Q345" i="1"/>
  <c r="P345" i="1"/>
  <c r="O344" i="1"/>
  <c r="R346" i="1" l="1"/>
  <c r="Q346" i="1"/>
  <c r="P346" i="1"/>
  <c r="O345" i="1"/>
  <c r="R347" i="1" l="1"/>
  <c r="Q347" i="1"/>
  <c r="P347" i="1"/>
  <c r="O346" i="1"/>
  <c r="R348" i="1" l="1"/>
  <c r="Q348" i="1"/>
  <c r="P348" i="1"/>
  <c r="O347" i="1"/>
  <c r="R349" i="1" l="1"/>
  <c r="Q349" i="1"/>
  <c r="P349" i="1"/>
  <c r="O348" i="1"/>
  <c r="R350" i="1" l="1"/>
  <c r="Q350" i="1"/>
  <c r="P350" i="1"/>
  <c r="O349" i="1"/>
  <c r="R351" i="1" l="1"/>
  <c r="Q351" i="1"/>
  <c r="P351" i="1"/>
  <c r="O350" i="1"/>
  <c r="R352" i="1" l="1"/>
  <c r="Q352" i="1"/>
  <c r="P352" i="1"/>
  <c r="O351" i="1"/>
  <c r="R353" i="1" l="1"/>
  <c r="Q353" i="1"/>
  <c r="P353" i="1"/>
  <c r="O352" i="1"/>
  <c r="R354" i="1" l="1"/>
  <c r="Q354" i="1"/>
  <c r="P354" i="1"/>
  <c r="O353" i="1"/>
  <c r="R355" i="1" l="1"/>
  <c r="Q355" i="1"/>
  <c r="P355" i="1"/>
  <c r="O354" i="1"/>
  <c r="R356" i="1" l="1"/>
  <c r="Q356" i="1"/>
  <c r="P356" i="1"/>
  <c r="O355" i="1"/>
  <c r="R357" i="1" l="1"/>
  <c r="Q357" i="1"/>
  <c r="P357" i="1"/>
  <c r="O356" i="1"/>
  <c r="R358" i="1" l="1"/>
  <c r="Q358" i="1"/>
  <c r="P358" i="1"/>
  <c r="O357" i="1"/>
  <c r="R359" i="1" l="1"/>
  <c r="Q359" i="1"/>
  <c r="P359" i="1"/>
  <c r="O358" i="1"/>
  <c r="R360" i="1" l="1"/>
  <c r="Q360" i="1"/>
  <c r="P360" i="1"/>
  <c r="O359" i="1"/>
  <c r="R361" i="1" l="1"/>
  <c r="Q361" i="1"/>
  <c r="P361" i="1"/>
  <c r="O360" i="1"/>
  <c r="R362" i="1" l="1"/>
  <c r="Q362" i="1"/>
  <c r="P362" i="1"/>
  <c r="O361" i="1"/>
  <c r="R363" i="1" l="1"/>
  <c r="Q363" i="1"/>
  <c r="P363" i="1"/>
  <c r="O362" i="1"/>
  <c r="R364" i="1" l="1"/>
  <c r="Q364" i="1"/>
  <c r="P364" i="1"/>
  <c r="O363" i="1"/>
  <c r="R365" i="1" l="1"/>
  <c r="Q365" i="1"/>
  <c r="P365" i="1"/>
  <c r="O364" i="1"/>
  <c r="R366" i="1" l="1"/>
  <c r="Q366" i="1"/>
  <c r="P366" i="1"/>
  <c r="O365" i="1"/>
  <c r="R367" i="1" l="1"/>
  <c r="Q367" i="1"/>
  <c r="P367" i="1"/>
  <c r="O366" i="1"/>
  <c r="R368" i="1" l="1"/>
  <c r="Q368" i="1"/>
  <c r="P368" i="1"/>
  <c r="O367" i="1"/>
  <c r="R369" i="1" l="1"/>
  <c r="Q369" i="1"/>
  <c r="P369" i="1"/>
  <c r="O368" i="1"/>
  <c r="R370" i="1" l="1"/>
  <c r="Q370" i="1"/>
  <c r="P370" i="1"/>
  <c r="O369" i="1"/>
  <c r="R371" i="1" l="1"/>
  <c r="Q371" i="1"/>
  <c r="P371" i="1"/>
  <c r="O370" i="1"/>
  <c r="R372" i="1" l="1"/>
  <c r="Q372" i="1"/>
  <c r="P372" i="1"/>
  <c r="O371" i="1"/>
  <c r="R373" i="1" l="1"/>
  <c r="Q373" i="1"/>
  <c r="P373" i="1"/>
  <c r="O372" i="1"/>
  <c r="R374" i="1" l="1"/>
  <c r="Q374" i="1"/>
  <c r="P374" i="1"/>
  <c r="O373" i="1"/>
  <c r="R375" i="1" l="1"/>
  <c r="Q375" i="1"/>
  <c r="P375" i="1"/>
  <c r="O374" i="1"/>
  <c r="R376" i="1" l="1"/>
  <c r="Q376" i="1"/>
  <c r="P376" i="1"/>
  <c r="O375" i="1"/>
  <c r="R377" i="1" l="1"/>
  <c r="Q377" i="1"/>
  <c r="P377" i="1"/>
  <c r="O376" i="1"/>
  <c r="R378" i="1" l="1"/>
  <c r="Q378" i="1"/>
  <c r="P378" i="1"/>
  <c r="O377" i="1"/>
  <c r="R379" i="1" l="1"/>
  <c r="Q379" i="1"/>
  <c r="P379" i="1"/>
  <c r="O378" i="1"/>
  <c r="R380" i="1" l="1"/>
  <c r="Q380" i="1"/>
  <c r="P380" i="1"/>
  <c r="O379" i="1"/>
  <c r="R381" i="1" l="1"/>
  <c r="Q381" i="1"/>
  <c r="P381" i="1"/>
  <c r="O380" i="1"/>
  <c r="R382" i="1" l="1"/>
  <c r="Q382" i="1"/>
  <c r="P382" i="1"/>
  <c r="O381" i="1"/>
  <c r="R383" i="1" l="1"/>
  <c r="Q383" i="1"/>
  <c r="P383" i="1"/>
  <c r="O382" i="1"/>
  <c r="R384" i="1" l="1"/>
  <c r="Q384" i="1"/>
  <c r="P384" i="1"/>
  <c r="O383" i="1"/>
  <c r="R385" i="1" l="1"/>
  <c r="Q385" i="1"/>
  <c r="P385" i="1"/>
  <c r="O384" i="1"/>
  <c r="R386" i="1" l="1"/>
  <c r="Q386" i="1"/>
  <c r="P386" i="1"/>
  <c r="O385" i="1"/>
  <c r="R387" i="1" l="1"/>
  <c r="Q387" i="1"/>
  <c r="P387" i="1"/>
  <c r="O386" i="1"/>
  <c r="R388" i="1" l="1"/>
  <c r="Q388" i="1"/>
  <c r="P388" i="1"/>
  <c r="O387" i="1"/>
  <c r="R389" i="1" l="1"/>
  <c r="Q389" i="1"/>
  <c r="P389" i="1"/>
  <c r="O388" i="1"/>
  <c r="R390" i="1" l="1"/>
  <c r="Q390" i="1"/>
  <c r="P390" i="1"/>
  <c r="O389" i="1"/>
  <c r="R391" i="1" l="1"/>
  <c r="Q391" i="1"/>
  <c r="P391" i="1"/>
  <c r="O390" i="1"/>
  <c r="R392" i="1" l="1"/>
  <c r="Q392" i="1"/>
  <c r="P392" i="1"/>
  <c r="O391" i="1"/>
  <c r="R393" i="1" l="1"/>
  <c r="Q393" i="1"/>
  <c r="P393" i="1"/>
  <c r="O392" i="1"/>
  <c r="R394" i="1" l="1"/>
  <c r="Q394" i="1"/>
  <c r="P394" i="1"/>
  <c r="O393" i="1"/>
  <c r="R395" i="1" l="1"/>
  <c r="Q395" i="1"/>
  <c r="P395" i="1"/>
  <c r="O394" i="1"/>
  <c r="R396" i="1" l="1"/>
  <c r="Q396" i="1"/>
  <c r="P396" i="1"/>
  <c r="O395" i="1"/>
  <c r="R397" i="1" l="1"/>
  <c r="Q397" i="1"/>
  <c r="P397" i="1"/>
  <c r="O396" i="1"/>
  <c r="R398" i="1" l="1"/>
  <c r="Q398" i="1"/>
  <c r="P398" i="1"/>
  <c r="O397" i="1"/>
  <c r="R399" i="1" l="1"/>
  <c r="Q399" i="1"/>
  <c r="P399" i="1"/>
  <c r="O398" i="1"/>
  <c r="R400" i="1" l="1"/>
  <c r="Q400" i="1"/>
  <c r="P400" i="1"/>
  <c r="O399" i="1"/>
  <c r="R401" i="1" l="1"/>
  <c r="Q401" i="1"/>
  <c r="P401" i="1"/>
  <c r="O400" i="1"/>
  <c r="R402" i="1" l="1"/>
  <c r="Q402" i="1"/>
  <c r="P402" i="1"/>
  <c r="O401" i="1"/>
  <c r="R403" i="1" l="1"/>
  <c r="Q403" i="1"/>
  <c r="P403" i="1"/>
  <c r="O402" i="1"/>
  <c r="R404" i="1" l="1"/>
  <c r="Q404" i="1"/>
  <c r="P404" i="1"/>
  <c r="O403" i="1"/>
  <c r="R405" i="1" l="1"/>
  <c r="Q405" i="1"/>
  <c r="P405" i="1"/>
  <c r="O404" i="1"/>
  <c r="R406" i="1" l="1"/>
  <c r="Q406" i="1"/>
  <c r="P406" i="1"/>
  <c r="O405" i="1"/>
  <c r="R407" i="1" l="1"/>
  <c r="Q407" i="1"/>
  <c r="P407" i="1"/>
  <c r="O406" i="1"/>
  <c r="R408" i="1" l="1"/>
  <c r="Q408" i="1"/>
  <c r="P408" i="1"/>
  <c r="O407" i="1"/>
  <c r="R409" i="1" l="1"/>
  <c r="Q409" i="1"/>
  <c r="P409" i="1"/>
  <c r="O408" i="1"/>
  <c r="R410" i="1" l="1"/>
  <c r="Q410" i="1"/>
  <c r="P410" i="1"/>
  <c r="O409" i="1"/>
  <c r="R411" i="1" l="1"/>
  <c r="Q411" i="1"/>
  <c r="P411" i="1"/>
  <c r="O410" i="1"/>
  <c r="R412" i="1" l="1"/>
  <c r="Q412" i="1"/>
  <c r="P412" i="1"/>
  <c r="O411" i="1"/>
  <c r="R413" i="1" l="1"/>
  <c r="Q413" i="1"/>
  <c r="P413" i="1"/>
  <c r="O412" i="1"/>
  <c r="R414" i="1" l="1"/>
  <c r="Q414" i="1"/>
  <c r="P414" i="1"/>
  <c r="O413" i="1"/>
  <c r="R415" i="1" l="1"/>
  <c r="Q415" i="1"/>
  <c r="P415" i="1"/>
  <c r="O414" i="1"/>
  <c r="R416" i="1" l="1"/>
  <c r="Q416" i="1"/>
  <c r="P416" i="1"/>
  <c r="O415" i="1"/>
  <c r="R417" i="1" l="1"/>
  <c r="Q417" i="1"/>
  <c r="P417" i="1"/>
  <c r="O416" i="1"/>
  <c r="R418" i="1" l="1"/>
  <c r="Q418" i="1"/>
  <c r="P418" i="1"/>
  <c r="O417" i="1"/>
  <c r="R419" i="1" l="1"/>
  <c r="Q419" i="1"/>
  <c r="P419" i="1"/>
  <c r="O418" i="1"/>
  <c r="R420" i="1" l="1"/>
  <c r="Q420" i="1"/>
  <c r="P420" i="1"/>
  <c r="O419" i="1"/>
  <c r="R421" i="1" l="1"/>
  <c r="Q421" i="1"/>
  <c r="P421" i="1"/>
  <c r="O420" i="1"/>
  <c r="R422" i="1" l="1"/>
  <c r="Q422" i="1"/>
  <c r="P422" i="1"/>
  <c r="O421" i="1"/>
  <c r="R423" i="1" l="1"/>
  <c r="Q423" i="1"/>
  <c r="P423" i="1"/>
  <c r="O422" i="1"/>
  <c r="R424" i="1" l="1"/>
  <c r="Q424" i="1"/>
  <c r="P424" i="1"/>
  <c r="O423" i="1"/>
  <c r="R425" i="1" l="1"/>
  <c r="Q425" i="1"/>
  <c r="P425" i="1"/>
  <c r="O424" i="1"/>
  <c r="R426" i="1" l="1"/>
  <c r="Q426" i="1"/>
  <c r="P426" i="1"/>
  <c r="O425" i="1"/>
  <c r="R427" i="1" l="1"/>
  <c r="Q427" i="1"/>
  <c r="P427" i="1"/>
  <c r="O426" i="1"/>
  <c r="R428" i="1" l="1"/>
  <c r="Q428" i="1"/>
  <c r="P428" i="1"/>
  <c r="O427" i="1"/>
  <c r="R429" i="1" l="1"/>
  <c r="Q429" i="1"/>
  <c r="P429" i="1"/>
  <c r="O428" i="1"/>
  <c r="R430" i="1" l="1"/>
  <c r="Q430" i="1"/>
  <c r="P430" i="1"/>
  <c r="O429" i="1"/>
  <c r="R431" i="1" l="1"/>
  <c r="Q431" i="1"/>
  <c r="P431" i="1"/>
  <c r="O430" i="1"/>
  <c r="R432" i="1" l="1"/>
  <c r="Q432" i="1"/>
  <c r="P432" i="1"/>
  <c r="O431" i="1"/>
  <c r="R433" i="1" l="1"/>
  <c r="Q433" i="1"/>
  <c r="P433" i="1"/>
  <c r="O432" i="1"/>
  <c r="R434" i="1" l="1"/>
  <c r="Q434" i="1"/>
  <c r="P434" i="1"/>
  <c r="O433" i="1"/>
  <c r="R435" i="1" l="1"/>
  <c r="Q435" i="1"/>
  <c r="P435" i="1"/>
  <c r="O434" i="1"/>
  <c r="R436" i="1" l="1"/>
  <c r="Q436" i="1"/>
  <c r="P436" i="1"/>
  <c r="O435" i="1"/>
  <c r="R437" i="1" l="1"/>
  <c r="Q437" i="1"/>
  <c r="P437" i="1"/>
  <c r="O436" i="1"/>
  <c r="R438" i="1" l="1"/>
  <c r="Q438" i="1"/>
  <c r="P438" i="1"/>
  <c r="O437" i="1"/>
  <c r="R439" i="1" l="1"/>
  <c r="Q439" i="1"/>
  <c r="P439" i="1"/>
  <c r="O438" i="1"/>
  <c r="R440" i="1" l="1"/>
  <c r="Q440" i="1"/>
  <c r="P440" i="1"/>
  <c r="O439" i="1"/>
  <c r="R441" i="1" l="1"/>
  <c r="Q441" i="1"/>
  <c r="P441" i="1"/>
  <c r="O440" i="1"/>
  <c r="R442" i="1" l="1"/>
  <c r="Q442" i="1"/>
  <c r="P442" i="1"/>
  <c r="O441" i="1"/>
  <c r="R443" i="1" l="1"/>
  <c r="Q443" i="1"/>
  <c r="P443" i="1"/>
  <c r="O442" i="1"/>
  <c r="R444" i="1" l="1"/>
  <c r="Q444" i="1"/>
  <c r="P444" i="1"/>
  <c r="O443" i="1"/>
  <c r="R445" i="1" l="1"/>
  <c r="Q445" i="1"/>
  <c r="P445" i="1"/>
  <c r="O444" i="1"/>
  <c r="R446" i="1" l="1"/>
  <c r="Q446" i="1"/>
  <c r="P446" i="1"/>
  <c r="O445" i="1"/>
  <c r="R447" i="1" l="1"/>
  <c r="Q447" i="1"/>
  <c r="P447" i="1"/>
  <c r="O446" i="1"/>
  <c r="R448" i="1" l="1"/>
  <c r="Q448" i="1"/>
  <c r="P448" i="1"/>
  <c r="O447" i="1"/>
  <c r="R449" i="1" l="1"/>
  <c r="Q449" i="1"/>
  <c r="P449" i="1"/>
  <c r="O448" i="1"/>
  <c r="R450" i="1" l="1"/>
  <c r="Q450" i="1"/>
  <c r="P450" i="1"/>
  <c r="O449" i="1"/>
  <c r="R451" i="1" l="1"/>
  <c r="Q451" i="1"/>
  <c r="P451" i="1"/>
  <c r="O450" i="1"/>
  <c r="R452" i="1" l="1"/>
  <c r="Q452" i="1"/>
  <c r="P452" i="1"/>
  <c r="O451" i="1"/>
  <c r="R453" i="1" l="1"/>
  <c r="Q453" i="1"/>
  <c r="P453" i="1"/>
  <c r="O452" i="1"/>
  <c r="R454" i="1" l="1"/>
  <c r="Q454" i="1"/>
  <c r="P454" i="1"/>
  <c r="O453" i="1"/>
  <c r="R455" i="1" l="1"/>
  <c r="Q455" i="1"/>
  <c r="P455" i="1"/>
  <c r="O454" i="1"/>
  <c r="R456" i="1" l="1"/>
  <c r="Q456" i="1"/>
  <c r="P456" i="1"/>
  <c r="O455" i="1"/>
  <c r="R457" i="1" l="1"/>
  <c r="Q457" i="1"/>
  <c r="P457" i="1"/>
  <c r="O456" i="1"/>
  <c r="R458" i="1" l="1"/>
  <c r="Q458" i="1"/>
  <c r="P458" i="1"/>
  <c r="O457" i="1"/>
  <c r="R459" i="1" l="1"/>
  <c r="Q459" i="1"/>
  <c r="P459" i="1"/>
  <c r="O458" i="1"/>
  <c r="R460" i="1" l="1"/>
  <c r="Q460" i="1"/>
  <c r="P460" i="1"/>
  <c r="O459" i="1"/>
  <c r="R461" i="1" l="1"/>
  <c r="Q461" i="1"/>
  <c r="P461" i="1"/>
  <c r="O460" i="1"/>
  <c r="R462" i="1" l="1"/>
  <c r="Q462" i="1"/>
  <c r="P462" i="1"/>
  <c r="O461" i="1"/>
  <c r="R463" i="1" l="1"/>
  <c r="Q463" i="1"/>
  <c r="P463" i="1"/>
  <c r="O462" i="1"/>
  <c r="R464" i="1" l="1"/>
  <c r="Q464" i="1"/>
  <c r="P464" i="1"/>
  <c r="O463" i="1"/>
  <c r="R465" i="1" l="1"/>
  <c r="Q465" i="1"/>
  <c r="P465" i="1"/>
  <c r="O464" i="1"/>
  <c r="R466" i="1" l="1"/>
  <c r="Q466" i="1"/>
  <c r="P466" i="1"/>
  <c r="O465" i="1"/>
  <c r="R467" i="1" l="1"/>
  <c r="Q467" i="1"/>
  <c r="P467" i="1"/>
  <c r="O466" i="1"/>
  <c r="R468" i="1" l="1"/>
  <c r="Q468" i="1"/>
  <c r="P468" i="1"/>
  <c r="O467" i="1"/>
  <c r="R469" i="1" l="1"/>
  <c r="Q469" i="1"/>
  <c r="P469" i="1"/>
  <c r="O468" i="1"/>
  <c r="R470" i="1" l="1"/>
  <c r="Q470" i="1"/>
  <c r="P470" i="1"/>
  <c r="O469" i="1"/>
  <c r="R471" i="1" l="1"/>
  <c r="Q471" i="1"/>
  <c r="P471" i="1"/>
  <c r="O470" i="1"/>
  <c r="R472" i="1" l="1"/>
  <c r="Q472" i="1"/>
  <c r="P472" i="1"/>
  <c r="O471" i="1"/>
  <c r="R473" i="1" l="1"/>
  <c r="Q473" i="1"/>
  <c r="P473" i="1"/>
  <c r="O472" i="1"/>
  <c r="R474" i="1" l="1"/>
  <c r="Q474" i="1"/>
  <c r="P474" i="1"/>
  <c r="O473" i="1"/>
  <c r="R475" i="1" l="1"/>
  <c r="Q475" i="1"/>
  <c r="P475" i="1"/>
  <c r="O474" i="1"/>
  <c r="R476" i="1" l="1"/>
  <c r="Q476" i="1"/>
  <c r="P476" i="1"/>
  <c r="O475" i="1"/>
  <c r="R477" i="1" l="1"/>
  <c r="Q477" i="1"/>
  <c r="P477" i="1"/>
  <c r="O476" i="1"/>
  <c r="R478" i="1" l="1"/>
  <c r="Q478" i="1"/>
  <c r="P478" i="1"/>
  <c r="O477" i="1"/>
  <c r="R479" i="1" l="1"/>
  <c r="Q479" i="1"/>
  <c r="P479" i="1"/>
  <c r="O478" i="1"/>
  <c r="R480" i="1" l="1"/>
  <c r="Q480" i="1"/>
  <c r="P480" i="1"/>
  <c r="O479" i="1"/>
  <c r="R481" i="1" l="1"/>
  <c r="Q481" i="1"/>
  <c r="P481" i="1"/>
  <c r="O480" i="1"/>
  <c r="R482" i="1" l="1"/>
  <c r="Q482" i="1"/>
  <c r="P482" i="1"/>
  <c r="O481" i="1"/>
  <c r="R483" i="1" l="1"/>
  <c r="Q483" i="1"/>
  <c r="P483" i="1"/>
  <c r="O482" i="1"/>
  <c r="R484" i="1" l="1"/>
  <c r="Q484" i="1"/>
  <c r="P484" i="1"/>
  <c r="O483" i="1"/>
  <c r="R485" i="1" l="1"/>
  <c r="Q485" i="1"/>
  <c r="P485" i="1"/>
  <c r="O484" i="1"/>
  <c r="R486" i="1" l="1"/>
  <c r="Q486" i="1"/>
  <c r="P486" i="1"/>
  <c r="O485" i="1"/>
  <c r="R487" i="1" l="1"/>
  <c r="Q487" i="1"/>
  <c r="P487" i="1"/>
  <c r="O486" i="1"/>
  <c r="R488" i="1" l="1"/>
  <c r="Q488" i="1"/>
  <c r="P488" i="1"/>
  <c r="O487" i="1"/>
  <c r="R489" i="1" l="1"/>
  <c r="Q489" i="1"/>
  <c r="P489" i="1"/>
  <c r="O488" i="1"/>
  <c r="R490" i="1" l="1"/>
  <c r="Q490" i="1"/>
  <c r="P490" i="1"/>
  <c r="O489" i="1"/>
  <c r="R491" i="1" l="1"/>
  <c r="Q491" i="1"/>
  <c r="P491" i="1"/>
  <c r="O490" i="1"/>
  <c r="R492" i="1" l="1"/>
  <c r="Q492" i="1"/>
  <c r="P492" i="1"/>
  <c r="O491" i="1"/>
  <c r="R493" i="1" l="1"/>
  <c r="Q493" i="1"/>
  <c r="P493" i="1"/>
  <c r="O492" i="1"/>
  <c r="R494" i="1" l="1"/>
  <c r="Q494" i="1"/>
  <c r="P494" i="1"/>
  <c r="O493" i="1"/>
  <c r="R495" i="1" l="1"/>
  <c r="Q495" i="1"/>
  <c r="P495" i="1"/>
  <c r="O494" i="1"/>
  <c r="R496" i="1" l="1"/>
  <c r="Q496" i="1"/>
  <c r="P496" i="1"/>
  <c r="O495" i="1"/>
  <c r="R497" i="1" l="1"/>
  <c r="Q497" i="1"/>
  <c r="P497" i="1"/>
  <c r="O496" i="1"/>
  <c r="R498" i="1" l="1"/>
  <c r="Q498" i="1"/>
  <c r="P498" i="1"/>
  <c r="O497" i="1"/>
  <c r="R499" i="1" l="1"/>
  <c r="Q499" i="1"/>
  <c r="P499" i="1"/>
  <c r="O498" i="1"/>
  <c r="R500" i="1" l="1"/>
  <c r="Q500" i="1"/>
  <c r="P500" i="1"/>
  <c r="O499" i="1"/>
  <c r="R501" i="1" l="1"/>
  <c r="Q501" i="1"/>
  <c r="P501" i="1"/>
  <c r="O500" i="1"/>
  <c r="R502" i="1" l="1"/>
  <c r="Q502" i="1"/>
  <c r="P502" i="1"/>
  <c r="O501" i="1"/>
  <c r="R503" i="1" l="1"/>
  <c r="Q503" i="1"/>
  <c r="P503" i="1"/>
  <c r="O502" i="1"/>
  <c r="R504" i="1" l="1"/>
  <c r="Q504" i="1"/>
  <c r="P504" i="1"/>
  <c r="O503" i="1"/>
  <c r="R505" i="1" l="1"/>
  <c r="Q505" i="1"/>
  <c r="P505" i="1"/>
  <c r="O504" i="1"/>
  <c r="R506" i="1" l="1"/>
  <c r="Q506" i="1"/>
  <c r="P506" i="1"/>
  <c r="O505" i="1"/>
  <c r="R507" i="1" l="1"/>
  <c r="Q507" i="1"/>
  <c r="P507" i="1"/>
  <c r="O506" i="1"/>
  <c r="R508" i="1" l="1"/>
  <c r="Q508" i="1"/>
  <c r="P508" i="1"/>
  <c r="O507" i="1"/>
  <c r="R509" i="1" l="1"/>
  <c r="Q509" i="1"/>
  <c r="P509" i="1"/>
  <c r="O508" i="1"/>
  <c r="R510" i="1" l="1"/>
  <c r="Q510" i="1"/>
  <c r="P510" i="1"/>
  <c r="O509" i="1"/>
  <c r="R511" i="1" l="1"/>
  <c r="Q511" i="1"/>
  <c r="P511" i="1"/>
  <c r="O510" i="1"/>
  <c r="R512" i="1" l="1"/>
  <c r="Q512" i="1"/>
  <c r="P512" i="1"/>
  <c r="O511" i="1"/>
  <c r="R513" i="1" l="1"/>
  <c r="Q513" i="1"/>
  <c r="P513" i="1"/>
  <c r="O512" i="1"/>
  <c r="R514" i="1" l="1"/>
  <c r="Q514" i="1"/>
  <c r="P514" i="1"/>
  <c r="O513" i="1"/>
  <c r="R515" i="1" l="1"/>
  <c r="Q515" i="1"/>
  <c r="P515" i="1"/>
  <c r="O514" i="1"/>
  <c r="R516" i="1" l="1"/>
  <c r="Q516" i="1"/>
  <c r="P516" i="1"/>
  <c r="O515" i="1"/>
  <c r="R517" i="1" l="1"/>
  <c r="Q517" i="1"/>
  <c r="P517" i="1"/>
  <c r="O516" i="1"/>
  <c r="R518" i="1" l="1"/>
  <c r="Q518" i="1"/>
  <c r="P518" i="1"/>
  <c r="O517" i="1"/>
  <c r="R519" i="1" l="1"/>
  <c r="Q519" i="1"/>
  <c r="P519" i="1"/>
  <c r="O518" i="1"/>
  <c r="R520" i="1" l="1"/>
  <c r="Q520" i="1"/>
  <c r="P520" i="1"/>
  <c r="O519" i="1"/>
  <c r="R521" i="1" l="1"/>
  <c r="Q521" i="1"/>
  <c r="P521" i="1"/>
  <c r="O520" i="1"/>
  <c r="R522" i="1" l="1"/>
  <c r="Q522" i="1"/>
  <c r="P522" i="1"/>
  <c r="O521" i="1"/>
  <c r="R523" i="1" l="1"/>
  <c r="Q523" i="1"/>
  <c r="P523" i="1"/>
  <c r="O522" i="1"/>
  <c r="R524" i="1" l="1"/>
  <c r="Q524" i="1"/>
  <c r="P524" i="1"/>
  <c r="O523" i="1"/>
  <c r="R525" i="1" l="1"/>
  <c r="Q525" i="1"/>
  <c r="P525" i="1"/>
  <c r="O524" i="1"/>
  <c r="R526" i="1" l="1"/>
  <c r="Q526" i="1"/>
  <c r="P526" i="1"/>
  <c r="O525" i="1"/>
  <c r="R527" i="1" l="1"/>
  <c r="Q527" i="1"/>
  <c r="P527" i="1"/>
  <c r="O526" i="1"/>
  <c r="R528" i="1" l="1"/>
  <c r="Q528" i="1"/>
  <c r="P528" i="1"/>
  <c r="O527" i="1"/>
  <c r="R529" i="1" l="1"/>
  <c r="Q529" i="1"/>
  <c r="P529" i="1"/>
  <c r="O528" i="1"/>
  <c r="R530" i="1" l="1"/>
  <c r="Q530" i="1"/>
  <c r="P530" i="1"/>
  <c r="O529" i="1"/>
  <c r="R531" i="1" l="1"/>
  <c r="Q531" i="1"/>
  <c r="P531" i="1"/>
  <c r="O530" i="1"/>
  <c r="R532" i="1" l="1"/>
  <c r="Q532" i="1"/>
  <c r="P532" i="1"/>
  <c r="O531" i="1"/>
  <c r="R533" i="1" l="1"/>
  <c r="Q533" i="1"/>
  <c r="P533" i="1"/>
  <c r="O532" i="1"/>
  <c r="R534" i="1" l="1"/>
  <c r="Q534" i="1"/>
  <c r="P534" i="1"/>
  <c r="O533" i="1"/>
  <c r="R535" i="1" l="1"/>
  <c r="Q535" i="1"/>
  <c r="P535" i="1"/>
  <c r="O534" i="1"/>
  <c r="R536" i="1" l="1"/>
  <c r="Q536" i="1"/>
  <c r="P536" i="1"/>
  <c r="O535" i="1"/>
  <c r="R537" i="1" l="1"/>
  <c r="Q537" i="1"/>
  <c r="P537" i="1"/>
  <c r="O536" i="1"/>
  <c r="R538" i="1" l="1"/>
  <c r="Q538" i="1"/>
  <c r="P538" i="1"/>
  <c r="O537" i="1"/>
  <c r="R539" i="1" l="1"/>
  <c r="Q539" i="1"/>
  <c r="P539" i="1"/>
  <c r="O538" i="1"/>
  <c r="R540" i="1" l="1"/>
  <c r="Q540" i="1"/>
  <c r="P540" i="1"/>
  <c r="O539" i="1"/>
  <c r="R541" i="1" l="1"/>
  <c r="Q541" i="1"/>
  <c r="P541" i="1"/>
  <c r="O540" i="1"/>
  <c r="R542" i="1" l="1"/>
  <c r="Q542" i="1"/>
  <c r="P542" i="1"/>
  <c r="O541" i="1"/>
  <c r="R543" i="1" l="1"/>
  <c r="Q543" i="1"/>
  <c r="P543" i="1"/>
  <c r="O542" i="1"/>
  <c r="R544" i="1" l="1"/>
  <c r="Q544" i="1"/>
  <c r="P544" i="1"/>
  <c r="O543" i="1"/>
  <c r="R545" i="1" l="1"/>
  <c r="Q545" i="1"/>
  <c r="P545" i="1"/>
  <c r="O544" i="1"/>
  <c r="R546" i="1" l="1"/>
  <c r="Q546" i="1"/>
  <c r="P546" i="1"/>
  <c r="O545" i="1"/>
  <c r="R547" i="1" l="1"/>
  <c r="Q547" i="1"/>
  <c r="P547" i="1"/>
  <c r="O546" i="1"/>
  <c r="R548" i="1" l="1"/>
  <c r="Q548" i="1"/>
  <c r="P548" i="1"/>
  <c r="O547" i="1"/>
  <c r="R549" i="1" l="1"/>
  <c r="Q549" i="1"/>
  <c r="P549" i="1"/>
  <c r="O548" i="1"/>
  <c r="R550" i="1" l="1"/>
  <c r="Q550" i="1"/>
  <c r="P550" i="1"/>
  <c r="O549" i="1"/>
  <c r="R551" i="1" l="1"/>
  <c r="Q551" i="1"/>
  <c r="P551" i="1"/>
  <c r="O550" i="1"/>
  <c r="R552" i="1" l="1"/>
  <c r="Q552" i="1"/>
  <c r="P552" i="1"/>
  <c r="O551" i="1"/>
  <c r="R553" i="1" l="1"/>
  <c r="Q553" i="1"/>
  <c r="P553" i="1"/>
  <c r="O552" i="1"/>
  <c r="R554" i="1" l="1"/>
  <c r="Q554" i="1"/>
  <c r="P554" i="1"/>
  <c r="O553" i="1"/>
  <c r="R555" i="1" l="1"/>
  <c r="Q555" i="1"/>
  <c r="P555" i="1"/>
  <c r="O554" i="1"/>
  <c r="R556" i="1" l="1"/>
  <c r="Q556" i="1"/>
  <c r="P556" i="1"/>
  <c r="O555" i="1"/>
  <c r="R557" i="1" l="1"/>
  <c r="Q557" i="1"/>
  <c r="P557" i="1"/>
  <c r="O556" i="1"/>
  <c r="R558" i="1" l="1"/>
  <c r="Q558" i="1"/>
  <c r="P558" i="1"/>
  <c r="O557" i="1"/>
  <c r="R559" i="1" l="1"/>
  <c r="Q559" i="1"/>
  <c r="P559" i="1"/>
  <c r="O558" i="1"/>
  <c r="R560" i="1" l="1"/>
  <c r="Q560" i="1"/>
  <c r="P560" i="1"/>
  <c r="O559" i="1"/>
  <c r="R561" i="1" l="1"/>
  <c r="Q561" i="1"/>
  <c r="P561" i="1"/>
  <c r="O560" i="1"/>
  <c r="R562" i="1" l="1"/>
  <c r="Q562" i="1"/>
  <c r="P562" i="1"/>
  <c r="O561" i="1"/>
  <c r="R563" i="1" l="1"/>
  <c r="Q563" i="1"/>
  <c r="P563" i="1"/>
  <c r="O562" i="1"/>
  <c r="R564" i="1" l="1"/>
  <c r="Q564" i="1"/>
  <c r="P564" i="1"/>
  <c r="O563" i="1"/>
  <c r="R565" i="1" l="1"/>
  <c r="Q565" i="1"/>
  <c r="P565" i="1"/>
  <c r="O564" i="1"/>
  <c r="R566" i="1" l="1"/>
  <c r="Q566" i="1"/>
  <c r="P566" i="1"/>
  <c r="O565" i="1"/>
  <c r="R567" i="1" l="1"/>
  <c r="Q567" i="1"/>
  <c r="P567" i="1"/>
  <c r="O566" i="1"/>
  <c r="R568" i="1" l="1"/>
  <c r="Q568" i="1"/>
  <c r="P568" i="1"/>
  <c r="O567" i="1"/>
  <c r="R569" i="1" l="1"/>
  <c r="Q569" i="1"/>
  <c r="P569" i="1"/>
  <c r="O568" i="1"/>
  <c r="R570" i="1" l="1"/>
  <c r="Q570" i="1"/>
  <c r="P570" i="1"/>
  <c r="O569" i="1"/>
  <c r="R571" i="1" l="1"/>
  <c r="Q571" i="1"/>
  <c r="P571" i="1"/>
  <c r="O570" i="1"/>
  <c r="R572" i="1" l="1"/>
  <c r="Q572" i="1"/>
  <c r="P572" i="1"/>
  <c r="O571" i="1"/>
  <c r="R573" i="1" l="1"/>
  <c r="Q573" i="1"/>
  <c r="P573" i="1"/>
  <c r="O572" i="1"/>
  <c r="R574" i="1" l="1"/>
  <c r="Q574" i="1"/>
  <c r="P574" i="1"/>
  <c r="O573" i="1"/>
  <c r="R575" i="1" l="1"/>
  <c r="Q575" i="1"/>
  <c r="P575" i="1"/>
  <c r="O574" i="1"/>
  <c r="R576" i="1" l="1"/>
  <c r="Q576" i="1"/>
  <c r="P576" i="1"/>
  <c r="O575" i="1"/>
  <c r="R577" i="1" l="1"/>
  <c r="Q577" i="1"/>
  <c r="P577" i="1"/>
  <c r="O576" i="1"/>
  <c r="R578" i="1" l="1"/>
  <c r="Q578" i="1"/>
  <c r="P578" i="1"/>
  <c r="O577" i="1"/>
  <c r="R579" i="1" l="1"/>
  <c r="Q579" i="1"/>
  <c r="P579" i="1"/>
  <c r="O578" i="1"/>
  <c r="R580" i="1" l="1"/>
  <c r="Q580" i="1"/>
  <c r="P580" i="1"/>
  <c r="O579" i="1"/>
  <c r="R581" i="1" l="1"/>
  <c r="Q581" i="1"/>
  <c r="P581" i="1"/>
  <c r="O580" i="1"/>
  <c r="R582" i="1" l="1"/>
  <c r="Q582" i="1"/>
  <c r="P582" i="1"/>
  <c r="O581" i="1"/>
  <c r="R583" i="1" l="1"/>
  <c r="Q583" i="1"/>
  <c r="P583" i="1"/>
  <c r="O582" i="1"/>
  <c r="R584" i="1" l="1"/>
  <c r="Q584" i="1"/>
  <c r="P584" i="1"/>
  <c r="O583" i="1"/>
  <c r="R585" i="1" l="1"/>
  <c r="Q585" i="1"/>
  <c r="P585" i="1"/>
  <c r="O584" i="1"/>
  <c r="R586" i="1" l="1"/>
  <c r="Q586" i="1"/>
  <c r="P586" i="1"/>
  <c r="O585" i="1"/>
  <c r="R587" i="1" l="1"/>
  <c r="Q587" i="1"/>
  <c r="P587" i="1"/>
  <c r="O586" i="1"/>
  <c r="R588" i="1" l="1"/>
  <c r="Q588" i="1"/>
  <c r="P588" i="1"/>
  <c r="O587" i="1"/>
  <c r="R589" i="1" l="1"/>
  <c r="Q589" i="1"/>
  <c r="P589" i="1"/>
  <c r="O588" i="1"/>
  <c r="R590" i="1" l="1"/>
  <c r="Q590" i="1"/>
  <c r="P590" i="1"/>
  <c r="O589" i="1"/>
  <c r="R591" i="1" l="1"/>
  <c r="Q591" i="1"/>
  <c r="P591" i="1"/>
  <c r="O590" i="1"/>
  <c r="R592" i="1" l="1"/>
  <c r="Q592" i="1"/>
  <c r="P592" i="1"/>
  <c r="O591" i="1"/>
  <c r="R593" i="1" l="1"/>
  <c r="Q593" i="1"/>
  <c r="P593" i="1"/>
  <c r="O592" i="1"/>
  <c r="R594" i="1" l="1"/>
  <c r="Q594" i="1"/>
  <c r="P594" i="1"/>
  <c r="O593" i="1"/>
  <c r="R595" i="1" l="1"/>
  <c r="Q595" i="1"/>
  <c r="P595" i="1"/>
  <c r="O594" i="1"/>
  <c r="R596" i="1" l="1"/>
  <c r="Q596" i="1"/>
  <c r="P596" i="1"/>
  <c r="O595" i="1"/>
  <c r="R597" i="1" l="1"/>
  <c r="Q597" i="1"/>
  <c r="P597" i="1"/>
  <c r="O596" i="1"/>
  <c r="R598" i="1" l="1"/>
  <c r="Q598" i="1"/>
  <c r="P598" i="1"/>
  <c r="O597" i="1"/>
  <c r="R599" i="1" l="1"/>
  <c r="Q599" i="1"/>
  <c r="P599" i="1"/>
  <c r="O598" i="1"/>
  <c r="R600" i="1" l="1"/>
  <c r="Q600" i="1"/>
  <c r="P600" i="1"/>
  <c r="O599" i="1"/>
  <c r="R601" i="1" l="1"/>
  <c r="Q601" i="1"/>
  <c r="P601" i="1"/>
  <c r="O600" i="1"/>
  <c r="R602" i="1" l="1"/>
  <c r="Q602" i="1"/>
  <c r="P602" i="1"/>
  <c r="O601" i="1"/>
  <c r="R603" i="1" l="1"/>
  <c r="Q603" i="1"/>
  <c r="P603" i="1"/>
  <c r="O602" i="1"/>
  <c r="R604" i="1" l="1"/>
  <c r="Q604" i="1"/>
  <c r="P604" i="1"/>
  <c r="O603" i="1"/>
  <c r="R605" i="1" l="1"/>
  <c r="Q605" i="1"/>
  <c r="P605" i="1"/>
  <c r="O604" i="1"/>
  <c r="R606" i="1" l="1"/>
  <c r="Q606" i="1"/>
  <c r="P606" i="1"/>
  <c r="O605" i="1"/>
  <c r="R607" i="1" l="1"/>
  <c r="Q607" i="1"/>
  <c r="P607" i="1"/>
  <c r="O606" i="1"/>
  <c r="R608" i="1" l="1"/>
  <c r="Q608" i="1"/>
  <c r="P608" i="1"/>
  <c r="O607" i="1"/>
  <c r="R609" i="1" l="1"/>
  <c r="Q609" i="1"/>
  <c r="P609" i="1"/>
  <c r="O608" i="1"/>
  <c r="R610" i="1" l="1"/>
  <c r="Q610" i="1"/>
  <c r="P610" i="1"/>
  <c r="O609" i="1"/>
  <c r="R611" i="1" l="1"/>
  <c r="Q611" i="1"/>
  <c r="P611" i="1"/>
  <c r="O610" i="1"/>
  <c r="R612" i="1" l="1"/>
  <c r="Q612" i="1"/>
  <c r="P612" i="1"/>
  <c r="O611" i="1"/>
  <c r="R613" i="1" l="1"/>
  <c r="Q613" i="1"/>
  <c r="P613" i="1"/>
  <c r="O612" i="1"/>
  <c r="R614" i="1" l="1"/>
  <c r="Q614" i="1"/>
  <c r="P614" i="1"/>
  <c r="O613" i="1"/>
  <c r="R615" i="1" l="1"/>
  <c r="Q615" i="1"/>
  <c r="P615" i="1"/>
  <c r="O614" i="1"/>
  <c r="R616" i="1" l="1"/>
  <c r="Q616" i="1"/>
  <c r="P616" i="1"/>
  <c r="O615" i="1"/>
  <c r="R617" i="1" l="1"/>
  <c r="Q617" i="1"/>
  <c r="P617" i="1"/>
  <c r="O616" i="1"/>
  <c r="R618" i="1" l="1"/>
  <c r="Q618" i="1"/>
  <c r="P618" i="1"/>
  <c r="O617" i="1"/>
  <c r="R619" i="1" l="1"/>
  <c r="Q619" i="1"/>
  <c r="P619" i="1"/>
  <c r="O618" i="1"/>
  <c r="R620" i="1" l="1"/>
  <c r="Q620" i="1"/>
  <c r="P620" i="1"/>
  <c r="O619" i="1"/>
  <c r="R621" i="1" l="1"/>
  <c r="Q621" i="1"/>
  <c r="P621" i="1"/>
  <c r="O620" i="1"/>
  <c r="R622" i="1" l="1"/>
  <c r="Q622" i="1"/>
  <c r="P622" i="1"/>
  <c r="O621" i="1"/>
  <c r="R623" i="1" l="1"/>
  <c r="Q623" i="1"/>
  <c r="P623" i="1"/>
  <c r="O622" i="1"/>
  <c r="R624" i="1" l="1"/>
  <c r="Q624" i="1"/>
  <c r="P624" i="1"/>
  <c r="O623" i="1"/>
  <c r="R625" i="1" l="1"/>
  <c r="Q625" i="1"/>
  <c r="P625" i="1"/>
  <c r="O624" i="1"/>
  <c r="R626" i="1" l="1"/>
  <c r="Q626" i="1"/>
  <c r="P626" i="1"/>
  <c r="O625" i="1"/>
  <c r="R627" i="1" l="1"/>
  <c r="Q627" i="1"/>
  <c r="P627" i="1"/>
  <c r="O626" i="1"/>
  <c r="R628" i="1" l="1"/>
  <c r="Q628" i="1"/>
  <c r="P628" i="1"/>
  <c r="O627" i="1"/>
  <c r="R629" i="1" l="1"/>
  <c r="Q629" i="1"/>
  <c r="P629" i="1"/>
  <c r="O628" i="1"/>
  <c r="R630" i="1" l="1"/>
  <c r="Q630" i="1"/>
  <c r="P630" i="1"/>
  <c r="O629" i="1"/>
  <c r="R631" i="1" l="1"/>
  <c r="Q631" i="1"/>
  <c r="P631" i="1"/>
  <c r="O630" i="1"/>
  <c r="R632" i="1" l="1"/>
  <c r="Q632" i="1"/>
  <c r="P632" i="1"/>
  <c r="O631" i="1"/>
  <c r="R633" i="1" l="1"/>
  <c r="Q633" i="1"/>
  <c r="P633" i="1"/>
  <c r="O632" i="1"/>
  <c r="R634" i="1" l="1"/>
  <c r="Q634" i="1"/>
  <c r="P634" i="1"/>
  <c r="O633" i="1"/>
  <c r="R635" i="1" l="1"/>
  <c r="Q635" i="1"/>
  <c r="P635" i="1"/>
  <c r="O634" i="1"/>
  <c r="R636" i="1" l="1"/>
  <c r="Q636" i="1"/>
  <c r="P636" i="1"/>
  <c r="O635" i="1"/>
  <c r="R637" i="1" l="1"/>
  <c r="Q637" i="1"/>
  <c r="P637" i="1"/>
  <c r="O636" i="1"/>
  <c r="R638" i="1" l="1"/>
  <c r="Q638" i="1"/>
  <c r="P638" i="1"/>
  <c r="O637" i="1"/>
  <c r="R639" i="1" l="1"/>
  <c r="Q639" i="1"/>
  <c r="P639" i="1"/>
  <c r="O638" i="1"/>
  <c r="R640" i="1" l="1"/>
  <c r="Q640" i="1"/>
  <c r="P640" i="1"/>
  <c r="O639" i="1"/>
  <c r="R641" i="1" l="1"/>
  <c r="Q641" i="1"/>
  <c r="P641" i="1"/>
  <c r="O640" i="1"/>
  <c r="R642" i="1" l="1"/>
  <c r="Q642" i="1"/>
  <c r="P642" i="1"/>
  <c r="O641" i="1"/>
  <c r="R643" i="1" l="1"/>
  <c r="Q643" i="1"/>
  <c r="P643" i="1"/>
  <c r="O642" i="1"/>
  <c r="R644" i="1" l="1"/>
  <c r="Q644" i="1"/>
  <c r="P644" i="1"/>
  <c r="O643" i="1"/>
  <c r="R645" i="1" l="1"/>
  <c r="Q645" i="1"/>
  <c r="P645" i="1"/>
  <c r="O644" i="1"/>
  <c r="R646" i="1" l="1"/>
  <c r="Q646" i="1"/>
  <c r="P646" i="1"/>
  <c r="O645" i="1"/>
  <c r="R647" i="1" l="1"/>
  <c r="Q647" i="1"/>
  <c r="P647" i="1"/>
  <c r="O646" i="1"/>
  <c r="R648" i="1" l="1"/>
  <c r="Q648" i="1"/>
  <c r="P648" i="1"/>
  <c r="O647" i="1"/>
  <c r="R649" i="1" l="1"/>
  <c r="Q649" i="1"/>
  <c r="P649" i="1"/>
  <c r="O648" i="1"/>
  <c r="R650" i="1" l="1"/>
  <c r="Q650" i="1"/>
  <c r="P650" i="1"/>
  <c r="O649" i="1"/>
  <c r="R651" i="1" l="1"/>
  <c r="Q651" i="1"/>
  <c r="P651" i="1"/>
  <c r="O650" i="1"/>
  <c r="R652" i="1" l="1"/>
  <c r="Q652" i="1"/>
  <c r="P652" i="1"/>
  <c r="O651" i="1"/>
  <c r="R653" i="1" l="1"/>
  <c r="Q653" i="1"/>
  <c r="P653" i="1"/>
  <c r="O652" i="1"/>
  <c r="R654" i="1" l="1"/>
  <c r="Q654" i="1"/>
  <c r="P654" i="1"/>
  <c r="O653" i="1"/>
  <c r="R655" i="1" l="1"/>
  <c r="Q655" i="1"/>
  <c r="P655" i="1"/>
  <c r="O654" i="1"/>
  <c r="R656" i="1" l="1"/>
  <c r="Q656" i="1"/>
  <c r="P656" i="1"/>
  <c r="O655" i="1"/>
  <c r="R657" i="1" l="1"/>
  <c r="Q657" i="1"/>
  <c r="P657" i="1"/>
  <c r="O656" i="1"/>
  <c r="R658" i="1" l="1"/>
  <c r="Q658" i="1"/>
  <c r="P658" i="1"/>
  <c r="O657" i="1"/>
  <c r="R659" i="1" l="1"/>
  <c r="Q659" i="1"/>
  <c r="P659" i="1"/>
  <c r="O658" i="1"/>
  <c r="R660" i="1" l="1"/>
  <c r="Q660" i="1"/>
  <c r="P660" i="1"/>
  <c r="O659" i="1"/>
  <c r="R661" i="1" l="1"/>
  <c r="Q661" i="1"/>
  <c r="P661" i="1"/>
  <c r="O660" i="1"/>
  <c r="R662" i="1" l="1"/>
  <c r="Q662" i="1"/>
  <c r="P662" i="1"/>
  <c r="O661" i="1"/>
  <c r="R663" i="1" l="1"/>
  <c r="Q663" i="1"/>
  <c r="P663" i="1"/>
  <c r="O662" i="1"/>
  <c r="R664" i="1" l="1"/>
  <c r="Q664" i="1"/>
  <c r="P664" i="1"/>
  <c r="O663" i="1"/>
  <c r="R665" i="1" l="1"/>
  <c r="Q665" i="1"/>
  <c r="P665" i="1"/>
  <c r="O664" i="1"/>
  <c r="R666" i="1" l="1"/>
  <c r="Q666" i="1"/>
  <c r="P666" i="1"/>
  <c r="O665" i="1"/>
  <c r="R667" i="1" l="1"/>
  <c r="Q667" i="1"/>
  <c r="P667" i="1"/>
  <c r="O666" i="1"/>
  <c r="R668" i="1" l="1"/>
  <c r="Q668" i="1"/>
  <c r="P668" i="1"/>
  <c r="O667" i="1"/>
  <c r="R669" i="1" l="1"/>
  <c r="Q669" i="1"/>
  <c r="P669" i="1"/>
  <c r="O668" i="1"/>
  <c r="R670" i="1" l="1"/>
  <c r="Q670" i="1"/>
  <c r="P670" i="1"/>
  <c r="O669" i="1"/>
  <c r="R671" i="1" l="1"/>
  <c r="Q671" i="1"/>
  <c r="P671" i="1"/>
  <c r="O670" i="1"/>
  <c r="R672" i="1" l="1"/>
  <c r="Q672" i="1"/>
  <c r="P672" i="1"/>
  <c r="O671" i="1"/>
  <c r="R673" i="1" l="1"/>
  <c r="Q673" i="1"/>
  <c r="P673" i="1"/>
  <c r="O672" i="1"/>
  <c r="R674" i="1" l="1"/>
  <c r="Q674" i="1"/>
  <c r="P674" i="1"/>
  <c r="O673" i="1"/>
  <c r="R675" i="1" l="1"/>
  <c r="Q675" i="1"/>
  <c r="P675" i="1"/>
  <c r="O674" i="1"/>
  <c r="R676" i="1" l="1"/>
  <c r="Q676" i="1"/>
  <c r="P676" i="1"/>
  <c r="O675" i="1"/>
  <c r="R677" i="1" l="1"/>
  <c r="Q677" i="1"/>
  <c r="P677" i="1"/>
  <c r="O676" i="1"/>
  <c r="R678" i="1" l="1"/>
  <c r="Q678" i="1"/>
  <c r="P678" i="1"/>
  <c r="O677" i="1"/>
  <c r="R679" i="1" l="1"/>
  <c r="Q679" i="1"/>
  <c r="P679" i="1"/>
  <c r="O678" i="1"/>
  <c r="R680" i="1" l="1"/>
  <c r="Q680" i="1"/>
  <c r="P680" i="1"/>
  <c r="O679" i="1"/>
  <c r="R681" i="1" l="1"/>
  <c r="Q681" i="1"/>
  <c r="P681" i="1"/>
  <c r="O680" i="1"/>
  <c r="R682" i="1" l="1"/>
  <c r="Q682" i="1"/>
  <c r="P682" i="1"/>
  <c r="O681" i="1"/>
  <c r="R683" i="1" l="1"/>
  <c r="Q683" i="1"/>
  <c r="P683" i="1"/>
  <c r="O682" i="1"/>
  <c r="R684" i="1" l="1"/>
  <c r="Q684" i="1"/>
  <c r="P684" i="1"/>
  <c r="O683" i="1"/>
  <c r="R685" i="1" l="1"/>
  <c r="Q685" i="1"/>
  <c r="P685" i="1"/>
  <c r="O684" i="1"/>
  <c r="R686" i="1" l="1"/>
  <c r="Q686" i="1"/>
  <c r="P686" i="1"/>
  <c r="O685" i="1"/>
  <c r="R687" i="1" l="1"/>
  <c r="Q687" i="1"/>
  <c r="P687" i="1"/>
  <c r="O686" i="1"/>
  <c r="R688" i="1" l="1"/>
  <c r="Q688" i="1"/>
  <c r="P688" i="1"/>
  <c r="O687" i="1"/>
  <c r="R689" i="1" l="1"/>
  <c r="Q689" i="1"/>
  <c r="P689" i="1"/>
  <c r="O688" i="1"/>
  <c r="R690" i="1" l="1"/>
  <c r="Q690" i="1"/>
  <c r="P690" i="1"/>
  <c r="O689" i="1"/>
  <c r="R691" i="1" l="1"/>
  <c r="Q691" i="1"/>
  <c r="P691" i="1"/>
  <c r="O690" i="1"/>
  <c r="R692" i="1" l="1"/>
  <c r="Q692" i="1"/>
  <c r="P692" i="1"/>
  <c r="O691" i="1"/>
  <c r="R693" i="1" l="1"/>
  <c r="Q693" i="1"/>
  <c r="P693" i="1"/>
  <c r="O692" i="1"/>
  <c r="R694" i="1" l="1"/>
  <c r="Q694" i="1"/>
  <c r="P694" i="1"/>
  <c r="O693" i="1"/>
  <c r="R695" i="1" l="1"/>
  <c r="Q695" i="1"/>
  <c r="P695" i="1"/>
  <c r="O694" i="1"/>
  <c r="R696" i="1" l="1"/>
  <c r="Q696" i="1"/>
  <c r="P696" i="1"/>
  <c r="O695" i="1"/>
  <c r="R697" i="1" l="1"/>
  <c r="Q697" i="1"/>
  <c r="P697" i="1"/>
  <c r="O696" i="1"/>
  <c r="R698" i="1" l="1"/>
  <c r="Q698" i="1"/>
  <c r="P698" i="1"/>
  <c r="O697" i="1"/>
  <c r="R699" i="1" l="1"/>
  <c r="Q699" i="1"/>
  <c r="P699" i="1"/>
  <c r="O698" i="1"/>
  <c r="R700" i="1" l="1"/>
  <c r="Q700" i="1"/>
  <c r="P700" i="1"/>
  <c r="O699" i="1"/>
  <c r="R701" i="1" l="1"/>
  <c r="Q701" i="1"/>
  <c r="P701" i="1"/>
  <c r="O700" i="1"/>
  <c r="R702" i="1" l="1"/>
  <c r="Q702" i="1"/>
  <c r="P702" i="1"/>
  <c r="O701" i="1"/>
  <c r="R703" i="1" l="1"/>
  <c r="Q703" i="1"/>
  <c r="P703" i="1"/>
  <c r="O702" i="1"/>
  <c r="R704" i="1" l="1"/>
  <c r="Q704" i="1"/>
  <c r="P704" i="1"/>
  <c r="O703" i="1"/>
  <c r="R705" i="1" l="1"/>
  <c r="Q705" i="1"/>
  <c r="P705" i="1"/>
  <c r="O704" i="1"/>
  <c r="R706" i="1" l="1"/>
  <c r="Q706" i="1"/>
  <c r="P706" i="1"/>
  <c r="O705" i="1"/>
  <c r="R707" i="1" l="1"/>
  <c r="Q707" i="1"/>
  <c r="P707" i="1"/>
  <c r="O706" i="1"/>
  <c r="R708" i="1" l="1"/>
  <c r="Q708" i="1"/>
  <c r="P708" i="1"/>
  <c r="O707" i="1"/>
  <c r="R709" i="1" l="1"/>
  <c r="Q709" i="1"/>
  <c r="P709" i="1"/>
  <c r="O708" i="1"/>
  <c r="R710" i="1" l="1"/>
  <c r="Q710" i="1"/>
  <c r="P710" i="1"/>
  <c r="O709" i="1"/>
  <c r="R711" i="1" l="1"/>
  <c r="Q711" i="1"/>
  <c r="P711" i="1"/>
  <c r="O710" i="1"/>
  <c r="R712" i="1" l="1"/>
  <c r="Q712" i="1"/>
  <c r="P712" i="1"/>
  <c r="O711" i="1"/>
  <c r="R713" i="1" l="1"/>
  <c r="Q713" i="1"/>
  <c r="P713" i="1"/>
  <c r="O712" i="1"/>
  <c r="R714" i="1" l="1"/>
  <c r="Q714" i="1"/>
  <c r="P714" i="1"/>
  <c r="O713" i="1"/>
  <c r="R715" i="1" l="1"/>
  <c r="Q715" i="1"/>
  <c r="P715" i="1"/>
  <c r="O714" i="1"/>
  <c r="R716" i="1" l="1"/>
  <c r="Q716" i="1"/>
  <c r="P716" i="1"/>
  <c r="O715" i="1"/>
  <c r="R717" i="1" l="1"/>
  <c r="Q717" i="1"/>
  <c r="P717" i="1"/>
  <c r="O716" i="1"/>
  <c r="R718" i="1" l="1"/>
  <c r="Q718" i="1"/>
  <c r="P718" i="1"/>
  <c r="O717" i="1"/>
  <c r="R719" i="1" l="1"/>
  <c r="Q719" i="1"/>
  <c r="P719" i="1"/>
  <c r="O718" i="1"/>
  <c r="R720" i="1" l="1"/>
  <c r="Q720" i="1"/>
  <c r="P720" i="1"/>
  <c r="O719" i="1"/>
  <c r="R721" i="1" l="1"/>
  <c r="Q721" i="1"/>
  <c r="P721" i="1"/>
  <c r="O720" i="1"/>
  <c r="R722" i="1" l="1"/>
  <c r="Q722" i="1"/>
  <c r="P722" i="1"/>
  <c r="O721" i="1"/>
  <c r="R723" i="1" l="1"/>
  <c r="Q723" i="1"/>
  <c r="P723" i="1"/>
  <c r="O722" i="1"/>
  <c r="R724" i="1" l="1"/>
  <c r="Q724" i="1"/>
  <c r="P724" i="1"/>
  <c r="O723" i="1"/>
  <c r="R725" i="1" l="1"/>
  <c r="Q725" i="1"/>
  <c r="P725" i="1"/>
  <c r="O724" i="1"/>
  <c r="R726" i="1" l="1"/>
  <c r="Q726" i="1"/>
  <c r="P726" i="1"/>
  <c r="O725" i="1"/>
  <c r="R727" i="1" l="1"/>
  <c r="Q727" i="1"/>
  <c r="P727" i="1"/>
  <c r="O726" i="1"/>
  <c r="R728" i="1" l="1"/>
  <c r="Q728" i="1"/>
  <c r="P728" i="1"/>
  <c r="O727" i="1"/>
  <c r="R729" i="1" l="1"/>
  <c r="Q729" i="1"/>
  <c r="P729" i="1"/>
  <c r="O728" i="1"/>
  <c r="R730" i="1" l="1"/>
  <c r="Q730" i="1"/>
  <c r="P730" i="1"/>
  <c r="O729" i="1"/>
  <c r="R731" i="1" l="1"/>
  <c r="Q731" i="1"/>
  <c r="P731" i="1"/>
  <c r="O730" i="1"/>
  <c r="R732" i="1" l="1"/>
  <c r="Q732" i="1"/>
  <c r="P732" i="1"/>
  <c r="O731" i="1"/>
  <c r="R733" i="1" l="1"/>
  <c r="Q733" i="1"/>
  <c r="P733" i="1"/>
  <c r="O732" i="1"/>
  <c r="R734" i="1" l="1"/>
  <c r="Q734" i="1"/>
  <c r="P734" i="1"/>
  <c r="O733" i="1"/>
  <c r="R735" i="1" l="1"/>
  <c r="Q735" i="1"/>
  <c r="P735" i="1"/>
  <c r="O734" i="1"/>
  <c r="R736" i="1" l="1"/>
  <c r="Q736" i="1"/>
  <c r="P736" i="1"/>
  <c r="O735" i="1"/>
  <c r="R737" i="1" l="1"/>
  <c r="Q737" i="1"/>
  <c r="P737" i="1"/>
  <c r="O736" i="1"/>
  <c r="R738" i="1" l="1"/>
  <c r="Q738" i="1"/>
  <c r="P738" i="1"/>
  <c r="O737" i="1"/>
  <c r="R739" i="1" l="1"/>
  <c r="Q739" i="1"/>
  <c r="P739" i="1"/>
  <c r="O738" i="1"/>
  <c r="R740" i="1" l="1"/>
  <c r="Q740" i="1"/>
  <c r="P740" i="1"/>
  <c r="O739" i="1"/>
  <c r="R741" i="1" l="1"/>
  <c r="Q741" i="1"/>
  <c r="P741" i="1"/>
  <c r="O740" i="1"/>
  <c r="R742" i="1" l="1"/>
  <c r="Q742" i="1"/>
  <c r="P742" i="1"/>
  <c r="O741" i="1"/>
  <c r="R743" i="1" l="1"/>
  <c r="Q743" i="1"/>
  <c r="P743" i="1"/>
  <c r="O742" i="1"/>
  <c r="R744" i="1" l="1"/>
  <c r="Q744" i="1"/>
  <c r="P744" i="1"/>
  <c r="O743" i="1"/>
  <c r="R745" i="1" l="1"/>
  <c r="Q745" i="1"/>
  <c r="P745" i="1"/>
  <c r="O744" i="1"/>
  <c r="R746" i="1" l="1"/>
  <c r="Q746" i="1"/>
  <c r="P746" i="1"/>
  <c r="O745" i="1"/>
  <c r="R747" i="1" l="1"/>
  <c r="Q747" i="1"/>
  <c r="P747" i="1"/>
  <c r="O746" i="1"/>
  <c r="R748" i="1" l="1"/>
  <c r="Q748" i="1"/>
  <c r="P748" i="1"/>
  <c r="O747" i="1"/>
  <c r="R749" i="1" l="1"/>
  <c r="Q749" i="1"/>
  <c r="P749" i="1"/>
  <c r="O748" i="1"/>
  <c r="R750" i="1" l="1"/>
  <c r="Q750" i="1"/>
  <c r="P750" i="1"/>
  <c r="O749" i="1"/>
  <c r="R751" i="1" l="1"/>
  <c r="Q751" i="1"/>
  <c r="P751" i="1"/>
  <c r="O750" i="1"/>
  <c r="R752" i="1" l="1"/>
  <c r="Q752" i="1"/>
  <c r="P752" i="1"/>
  <c r="O751" i="1"/>
  <c r="R753" i="1" l="1"/>
  <c r="Q753" i="1"/>
  <c r="P753" i="1"/>
  <c r="O752" i="1"/>
  <c r="R754" i="1" l="1"/>
  <c r="Q754" i="1"/>
  <c r="P754" i="1"/>
  <c r="O753" i="1"/>
  <c r="R755" i="1" l="1"/>
  <c r="Q755" i="1"/>
  <c r="P755" i="1"/>
  <c r="O754" i="1"/>
  <c r="R756" i="1" l="1"/>
  <c r="Q756" i="1"/>
  <c r="P756" i="1"/>
  <c r="O755" i="1"/>
  <c r="R757" i="1" l="1"/>
  <c r="Q757" i="1"/>
  <c r="P757" i="1"/>
  <c r="O756" i="1"/>
  <c r="R758" i="1" l="1"/>
  <c r="Q758" i="1"/>
  <c r="P758" i="1"/>
  <c r="O757" i="1"/>
  <c r="R759" i="1" l="1"/>
  <c r="Q759" i="1"/>
  <c r="P759" i="1"/>
  <c r="O758" i="1"/>
  <c r="R760" i="1" l="1"/>
  <c r="Q760" i="1"/>
  <c r="P760" i="1"/>
  <c r="O759" i="1"/>
  <c r="R761" i="1" l="1"/>
  <c r="Q761" i="1"/>
  <c r="P761" i="1"/>
  <c r="O760" i="1"/>
  <c r="R762" i="1" l="1"/>
  <c r="Q762" i="1"/>
  <c r="P762" i="1"/>
  <c r="O761" i="1"/>
  <c r="R763" i="1" l="1"/>
  <c r="Q763" i="1"/>
  <c r="P763" i="1"/>
  <c r="O762" i="1"/>
  <c r="R764" i="1" l="1"/>
  <c r="Q764" i="1"/>
  <c r="P764" i="1"/>
  <c r="O763" i="1"/>
  <c r="R765" i="1" l="1"/>
  <c r="Q765" i="1"/>
  <c r="P765" i="1"/>
  <c r="O764" i="1"/>
  <c r="R766" i="1" l="1"/>
  <c r="Q766" i="1"/>
  <c r="P766" i="1"/>
  <c r="O765" i="1"/>
  <c r="R767" i="1" l="1"/>
  <c r="Q767" i="1"/>
  <c r="P767" i="1"/>
  <c r="O766" i="1"/>
  <c r="R768" i="1" l="1"/>
  <c r="Q768" i="1"/>
  <c r="P768" i="1"/>
  <c r="O767" i="1"/>
  <c r="R769" i="1" l="1"/>
  <c r="Q769" i="1"/>
  <c r="P769" i="1"/>
  <c r="O768" i="1"/>
  <c r="R770" i="1" l="1"/>
  <c r="Q770" i="1"/>
  <c r="P770" i="1"/>
  <c r="O769" i="1"/>
  <c r="R771" i="1" l="1"/>
  <c r="Q771" i="1"/>
  <c r="P771" i="1"/>
  <c r="O770" i="1"/>
  <c r="R772" i="1" l="1"/>
  <c r="Q772" i="1"/>
  <c r="P772" i="1"/>
  <c r="O771" i="1"/>
  <c r="R773" i="1" l="1"/>
  <c r="Q773" i="1"/>
  <c r="P773" i="1"/>
  <c r="O772" i="1"/>
  <c r="R774" i="1" l="1"/>
  <c r="Q774" i="1"/>
  <c r="P774" i="1"/>
  <c r="O773" i="1"/>
  <c r="R775" i="1" l="1"/>
  <c r="Q775" i="1"/>
  <c r="P775" i="1"/>
  <c r="O774" i="1"/>
  <c r="R776" i="1" l="1"/>
  <c r="Q776" i="1"/>
  <c r="P776" i="1"/>
  <c r="O775" i="1"/>
  <c r="R777" i="1" l="1"/>
  <c r="Q777" i="1"/>
  <c r="P777" i="1"/>
  <c r="O776" i="1"/>
  <c r="R778" i="1" l="1"/>
  <c r="Q778" i="1"/>
  <c r="P778" i="1"/>
  <c r="O777" i="1"/>
  <c r="R779" i="1" l="1"/>
  <c r="Q779" i="1"/>
  <c r="P779" i="1"/>
  <c r="O778" i="1"/>
  <c r="R780" i="1" l="1"/>
  <c r="Q780" i="1"/>
  <c r="P780" i="1"/>
  <c r="O779" i="1"/>
  <c r="R781" i="1" l="1"/>
  <c r="Q781" i="1"/>
  <c r="P781" i="1"/>
  <c r="O780" i="1"/>
  <c r="R782" i="1" l="1"/>
  <c r="Q782" i="1"/>
  <c r="P782" i="1"/>
  <c r="O781" i="1"/>
  <c r="R783" i="1" l="1"/>
  <c r="Q783" i="1"/>
  <c r="P783" i="1"/>
  <c r="O782" i="1"/>
  <c r="R784" i="1" l="1"/>
  <c r="Q784" i="1"/>
  <c r="P784" i="1"/>
  <c r="O783" i="1"/>
  <c r="R785" i="1" l="1"/>
  <c r="Q785" i="1"/>
  <c r="P785" i="1"/>
  <c r="O784" i="1"/>
  <c r="R786" i="1" l="1"/>
  <c r="Q786" i="1"/>
  <c r="P786" i="1"/>
  <c r="O785" i="1"/>
  <c r="R787" i="1" l="1"/>
  <c r="Q787" i="1"/>
  <c r="P787" i="1"/>
  <c r="O786" i="1"/>
  <c r="R788" i="1" l="1"/>
  <c r="Q788" i="1"/>
  <c r="P788" i="1"/>
  <c r="O787" i="1"/>
  <c r="R789" i="1" l="1"/>
  <c r="Q789" i="1"/>
  <c r="P789" i="1"/>
  <c r="O788" i="1"/>
  <c r="R790" i="1" l="1"/>
  <c r="Q790" i="1"/>
  <c r="P790" i="1"/>
  <c r="O789" i="1"/>
  <c r="R791" i="1" l="1"/>
  <c r="Q791" i="1"/>
  <c r="P791" i="1"/>
  <c r="O790" i="1"/>
  <c r="R792" i="1" l="1"/>
  <c r="Q792" i="1"/>
  <c r="P792" i="1"/>
  <c r="O791" i="1"/>
  <c r="R793" i="1" l="1"/>
  <c r="Q793" i="1"/>
  <c r="P793" i="1"/>
  <c r="O792" i="1"/>
  <c r="R794" i="1" l="1"/>
  <c r="Q794" i="1"/>
  <c r="P794" i="1"/>
  <c r="O793" i="1"/>
  <c r="R795" i="1" l="1"/>
  <c r="Q795" i="1"/>
  <c r="P795" i="1"/>
  <c r="O794" i="1"/>
  <c r="R796" i="1" l="1"/>
  <c r="Q796" i="1"/>
  <c r="P796" i="1"/>
  <c r="O795" i="1"/>
  <c r="R797" i="1" l="1"/>
  <c r="Q797" i="1"/>
  <c r="P797" i="1"/>
  <c r="O796" i="1"/>
  <c r="R798" i="1" l="1"/>
  <c r="Q798" i="1"/>
  <c r="P798" i="1"/>
  <c r="O797" i="1"/>
  <c r="R799" i="1" l="1"/>
  <c r="Q799" i="1"/>
  <c r="P799" i="1"/>
  <c r="O798" i="1"/>
  <c r="R800" i="1" l="1"/>
  <c r="Q800" i="1"/>
  <c r="P800" i="1"/>
  <c r="O799" i="1"/>
  <c r="R801" i="1" l="1"/>
  <c r="Q801" i="1"/>
  <c r="P801" i="1"/>
  <c r="O800" i="1"/>
  <c r="R802" i="1" l="1"/>
  <c r="Q802" i="1"/>
  <c r="P802" i="1"/>
  <c r="O801" i="1"/>
  <c r="R803" i="1" l="1"/>
  <c r="Q803" i="1"/>
  <c r="P803" i="1"/>
  <c r="O802" i="1"/>
  <c r="R804" i="1" l="1"/>
  <c r="Q804" i="1"/>
  <c r="P804" i="1"/>
  <c r="O803" i="1"/>
  <c r="R805" i="1" l="1"/>
  <c r="Q805" i="1"/>
  <c r="P805" i="1"/>
  <c r="O804" i="1"/>
  <c r="R806" i="1" l="1"/>
  <c r="Q806" i="1"/>
  <c r="P806" i="1"/>
  <c r="O805" i="1"/>
  <c r="R807" i="1" l="1"/>
  <c r="Q807" i="1"/>
  <c r="P807" i="1"/>
  <c r="O806" i="1"/>
  <c r="R808" i="1" l="1"/>
  <c r="Q808" i="1"/>
  <c r="P808" i="1"/>
  <c r="O807" i="1"/>
  <c r="R809" i="1" l="1"/>
  <c r="Q809" i="1"/>
  <c r="P809" i="1"/>
  <c r="O808" i="1"/>
  <c r="R810" i="1" l="1"/>
  <c r="Q810" i="1"/>
  <c r="P810" i="1"/>
  <c r="O809" i="1"/>
  <c r="R811" i="1" l="1"/>
  <c r="Q811" i="1"/>
  <c r="P811" i="1"/>
  <c r="O810" i="1"/>
  <c r="R812" i="1" l="1"/>
  <c r="Q812" i="1"/>
  <c r="P812" i="1"/>
  <c r="O811" i="1"/>
  <c r="R813" i="1" l="1"/>
  <c r="Q813" i="1"/>
  <c r="P813" i="1"/>
  <c r="O812" i="1"/>
  <c r="R814" i="1" l="1"/>
  <c r="Q814" i="1"/>
  <c r="P814" i="1"/>
  <c r="O813" i="1"/>
  <c r="R815" i="1" l="1"/>
  <c r="Q815" i="1"/>
  <c r="P815" i="1"/>
  <c r="O814" i="1"/>
  <c r="R816" i="1" l="1"/>
  <c r="Q816" i="1"/>
  <c r="P816" i="1"/>
  <c r="O815" i="1"/>
  <c r="R817" i="1" l="1"/>
  <c r="Q817" i="1"/>
  <c r="P817" i="1"/>
  <c r="O816" i="1"/>
  <c r="R818" i="1" l="1"/>
  <c r="Q818" i="1"/>
  <c r="P818" i="1"/>
  <c r="O817" i="1"/>
  <c r="R819" i="1" l="1"/>
  <c r="Q819" i="1"/>
  <c r="P819" i="1"/>
  <c r="O818" i="1"/>
  <c r="R820" i="1" l="1"/>
  <c r="Q820" i="1"/>
  <c r="P820" i="1"/>
  <c r="O819" i="1"/>
  <c r="R821" i="1" l="1"/>
  <c r="Q821" i="1"/>
  <c r="P821" i="1"/>
  <c r="O820" i="1"/>
  <c r="R822" i="1" l="1"/>
  <c r="Q822" i="1"/>
  <c r="P822" i="1"/>
  <c r="O821" i="1"/>
  <c r="R823" i="1" l="1"/>
  <c r="Q823" i="1"/>
  <c r="P823" i="1"/>
  <c r="O822" i="1"/>
  <c r="R824" i="1" l="1"/>
  <c r="Q824" i="1"/>
  <c r="P824" i="1"/>
  <c r="O823" i="1"/>
  <c r="R825" i="1" l="1"/>
  <c r="Q825" i="1"/>
  <c r="P825" i="1"/>
  <c r="O824" i="1"/>
  <c r="R826" i="1" l="1"/>
  <c r="Q826" i="1"/>
  <c r="P826" i="1"/>
  <c r="O825" i="1"/>
  <c r="R827" i="1" l="1"/>
  <c r="Q827" i="1"/>
  <c r="P827" i="1"/>
  <c r="O826" i="1"/>
  <c r="R828" i="1" l="1"/>
  <c r="Q828" i="1"/>
  <c r="P828" i="1"/>
  <c r="O827" i="1"/>
  <c r="R829" i="1" l="1"/>
  <c r="Q829" i="1"/>
  <c r="P829" i="1"/>
  <c r="O828" i="1"/>
  <c r="R830" i="1" l="1"/>
  <c r="Q830" i="1"/>
  <c r="P830" i="1"/>
  <c r="O829" i="1"/>
  <c r="R831" i="1" l="1"/>
  <c r="Q831" i="1"/>
  <c r="P831" i="1"/>
  <c r="O830" i="1"/>
  <c r="R832" i="1" l="1"/>
  <c r="Q832" i="1"/>
  <c r="P832" i="1"/>
  <c r="O831" i="1"/>
  <c r="R833" i="1" l="1"/>
  <c r="Q833" i="1"/>
  <c r="P833" i="1"/>
  <c r="O832" i="1"/>
  <c r="R834" i="1" l="1"/>
  <c r="Q834" i="1"/>
  <c r="P834" i="1"/>
  <c r="O833" i="1"/>
  <c r="R835" i="1" l="1"/>
  <c r="Q835" i="1"/>
  <c r="P835" i="1"/>
  <c r="O834" i="1"/>
  <c r="R836" i="1" l="1"/>
  <c r="Q836" i="1"/>
  <c r="P836" i="1"/>
  <c r="O835" i="1"/>
  <c r="R837" i="1" l="1"/>
  <c r="Q837" i="1"/>
  <c r="P837" i="1"/>
  <c r="O836" i="1"/>
  <c r="R838" i="1" l="1"/>
  <c r="Q838" i="1"/>
  <c r="P838" i="1"/>
  <c r="O837" i="1"/>
  <c r="R839" i="1" l="1"/>
  <c r="Q839" i="1"/>
  <c r="P839" i="1"/>
  <c r="O838" i="1"/>
  <c r="R840" i="1" l="1"/>
  <c r="Q840" i="1"/>
  <c r="P840" i="1"/>
  <c r="O839" i="1"/>
  <c r="R841" i="1" l="1"/>
  <c r="Q841" i="1"/>
  <c r="P841" i="1"/>
  <c r="O840" i="1"/>
  <c r="R842" i="1" l="1"/>
  <c r="Q842" i="1"/>
  <c r="P842" i="1"/>
  <c r="O841" i="1"/>
  <c r="R843" i="1" l="1"/>
  <c r="Q843" i="1"/>
  <c r="P843" i="1"/>
  <c r="O842" i="1"/>
  <c r="R844" i="1" l="1"/>
  <c r="Q844" i="1"/>
  <c r="P844" i="1"/>
  <c r="O843" i="1"/>
  <c r="R845" i="1" l="1"/>
  <c r="Q845" i="1"/>
  <c r="P845" i="1"/>
  <c r="O844" i="1"/>
  <c r="R846" i="1" l="1"/>
  <c r="Q846" i="1"/>
  <c r="P846" i="1"/>
  <c r="O845" i="1"/>
  <c r="R847" i="1" l="1"/>
  <c r="Q847" i="1"/>
  <c r="P847" i="1"/>
  <c r="O846" i="1"/>
  <c r="R848" i="1" l="1"/>
  <c r="Q848" i="1"/>
  <c r="P848" i="1"/>
  <c r="O847" i="1"/>
  <c r="R849" i="1" l="1"/>
  <c r="Q849" i="1"/>
  <c r="P849" i="1"/>
  <c r="O848" i="1"/>
  <c r="R850" i="1" l="1"/>
  <c r="Q850" i="1"/>
  <c r="P850" i="1"/>
  <c r="O849" i="1"/>
  <c r="R851" i="1" l="1"/>
  <c r="Q851" i="1"/>
  <c r="P851" i="1"/>
  <c r="O850" i="1"/>
  <c r="R852" i="1" l="1"/>
  <c r="Q852" i="1"/>
  <c r="P852" i="1"/>
  <c r="O851" i="1"/>
  <c r="R853" i="1" l="1"/>
  <c r="Q853" i="1"/>
  <c r="P853" i="1"/>
  <c r="O852" i="1"/>
  <c r="R854" i="1" l="1"/>
  <c r="Q854" i="1"/>
  <c r="P854" i="1"/>
  <c r="O853" i="1"/>
  <c r="R855" i="1" l="1"/>
  <c r="Q855" i="1"/>
  <c r="P855" i="1"/>
  <c r="O854" i="1"/>
  <c r="R856" i="1" l="1"/>
  <c r="Q856" i="1"/>
  <c r="P856" i="1"/>
  <c r="O855" i="1"/>
  <c r="R857" i="1" l="1"/>
  <c r="Q857" i="1"/>
  <c r="P857" i="1"/>
  <c r="O856" i="1"/>
  <c r="R858" i="1" l="1"/>
  <c r="Q858" i="1"/>
  <c r="P858" i="1"/>
  <c r="O857" i="1"/>
  <c r="R859" i="1" l="1"/>
  <c r="Q859" i="1"/>
  <c r="P859" i="1"/>
  <c r="O858" i="1"/>
  <c r="R860" i="1" l="1"/>
  <c r="Q860" i="1"/>
  <c r="P860" i="1"/>
  <c r="O859" i="1"/>
  <c r="R861" i="1" l="1"/>
  <c r="Q861" i="1"/>
  <c r="P861" i="1"/>
  <c r="O860" i="1"/>
  <c r="R862" i="1" l="1"/>
  <c r="Q862" i="1"/>
  <c r="P862" i="1"/>
  <c r="O861" i="1"/>
  <c r="R863" i="1" l="1"/>
  <c r="Q863" i="1"/>
  <c r="P863" i="1"/>
  <c r="O862" i="1"/>
  <c r="R864" i="1" l="1"/>
  <c r="Q864" i="1"/>
  <c r="P864" i="1"/>
  <c r="O863" i="1"/>
  <c r="R865" i="1" l="1"/>
  <c r="Q865" i="1"/>
  <c r="P865" i="1"/>
  <c r="O864" i="1"/>
  <c r="R866" i="1" l="1"/>
  <c r="Q866" i="1"/>
  <c r="P866" i="1"/>
  <c r="O865" i="1"/>
  <c r="R867" i="1" l="1"/>
  <c r="Q867" i="1"/>
  <c r="P867" i="1"/>
  <c r="O866" i="1"/>
  <c r="R868" i="1" l="1"/>
  <c r="Q868" i="1"/>
  <c r="P868" i="1"/>
  <c r="O867" i="1"/>
  <c r="R869" i="1" l="1"/>
  <c r="Q869" i="1"/>
  <c r="P869" i="1"/>
  <c r="O868" i="1"/>
  <c r="R870" i="1" l="1"/>
  <c r="Q870" i="1"/>
  <c r="P870" i="1"/>
  <c r="O869" i="1"/>
  <c r="R871" i="1" l="1"/>
  <c r="Q871" i="1"/>
  <c r="P871" i="1"/>
  <c r="O870" i="1"/>
  <c r="R872" i="1" l="1"/>
  <c r="Q872" i="1"/>
  <c r="P872" i="1"/>
  <c r="O871" i="1"/>
  <c r="R873" i="1" l="1"/>
  <c r="Q873" i="1"/>
  <c r="P873" i="1"/>
  <c r="O872" i="1"/>
  <c r="R874" i="1" l="1"/>
  <c r="Q874" i="1"/>
  <c r="P874" i="1"/>
  <c r="O873" i="1"/>
  <c r="R875" i="1" l="1"/>
  <c r="Q875" i="1"/>
  <c r="P875" i="1"/>
  <c r="O874" i="1"/>
  <c r="R876" i="1" l="1"/>
  <c r="Q876" i="1"/>
  <c r="P876" i="1"/>
  <c r="O875" i="1"/>
  <c r="R877" i="1" l="1"/>
  <c r="Q877" i="1"/>
  <c r="P877" i="1"/>
  <c r="O876" i="1"/>
  <c r="R878" i="1" l="1"/>
  <c r="Q878" i="1"/>
  <c r="P878" i="1"/>
  <c r="O877" i="1"/>
  <c r="R879" i="1" l="1"/>
  <c r="Q879" i="1"/>
  <c r="P879" i="1"/>
  <c r="O878" i="1"/>
  <c r="R880" i="1" l="1"/>
  <c r="Q880" i="1"/>
  <c r="P880" i="1"/>
  <c r="O879" i="1"/>
  <c r="R881" i="1" l="1"/>
  <c r="Q881" i="1"/>
  <c r="P881" i="1"/>
  <c r="O880" i="1"/>
  <c r="R882" i="1" l="1"/>
  <c r="Q882" i="1"/>
  <c r="P882" i="1"/>
  <c r="O881" i="1"/>
  <c r="R883" i="1" l="1"/>
  <c r="Q883" i="1"/>
  <c r="P883" i="1"/>
  <c r="O882" i="1"/>
  <c r="R884" i="1" l="1"/>
  <c r="Q884" i="1"/>
  <c r="P884" i="1"/>
  <c r="O883" i="1"/>
  <c r="R885" i="1" l="1"/>
  <c r="Q885" i="1"/>
  <c r="P885" i="1"/>
  <c r="O884" i="1"/>
  <c r="R886" i="1" l="1"/>
  <c r="Q886" i="1"/>
  <c r="P886" i="1"/>
  <c r="O885" i="1"/>
  <c r="R887" i="1" l="1"/>
  <c r="Q887" i="1"/>
  <c r="P887" i="1"/>
  <c r="O886" i="1"/>
  <c r="R888" i="1" l="1"/>
  <c r="Q888" i="1"/>
  <c r="P888" i="1"/>
  <c r="O887" i="1"/>
  <c r="R889" i="1" l="1"/>
  <c r="Q889" i="1"/>
  <c r="P889" i="1"/>
  <c r="O888" i="1"/>
  <c r="R890" i="1" l="1"/>
  <c r="Q890" i="1"/>
  <c r="P890" i="1"/>
  <c r="O889" i="1"/>
  <c r="R891" i="1" l="1"/>
  <c r="Q891" i="1"/>
  <c r="P891" i="1"/>
  <c r="O890" i="1"/>
  <c r="R892" i="1" l="1"/>
  <c r="Q892" i="1"/>
  <c r="P892" i="1"/>
  <c r="O891" i="1"/>
  <c r="R893" i="1" l="1"/>
  <c r="Q893" i="1"/>
  <c r="P893" i="1"/>
  <c r="O892" i="1"/>
  <c r="R894" i="1" l="1"/>
  <c r="Q894" i="1"/>
  <c r="P894" i="1"/>
  <c r="O893" i="1"/>
  <c r="R895" i="1" l="1"/>
  <c r="Q895" i="1"/>
  <c r="P895" i="1"/>
  <c r="O894" i="1"/>
  <c r="R896" i="1" l="1"/>
  <c r="Q896" i="1"/>
  <c r="P896" i="1"/>
  <c r="O895" i="1"/>
  <c r="R897" i="1" l="1"/>
  <c r="Q897" i="1"/>
  <c r="P897" i="1"/>
  <c r="O896" i="1"/>
  <c r="R898" i="1" l="1"/>
  <c r="Q898" i="1"/>
  <c r="P898" i="1"/>
  <c r="O897" i="1"/>
  <c r="R899" i="1" l="1"/>
  <c r="Q899" i="1"/>
  <c r="P899" i="1"/>
  <c r="O898" i="1"/>
  <c r="R900" i="1" l="1"/>
  <c r="Q900" i="1"/>
  <c r="P900" i="1"/>
  <c r="O899" i="1"/>
  <c r="R901" i="1" l="1"/>
  <c r="Q901" i="1"/>
  <c r="P901" i="1"/>
  <c r="O900" i="1"/>
  <c r="R902" i="1" l="1"/>
  <c r="Q902" i="1"/>
  <c r="P902" i="1"/>
  <c r="O901" i="1"/>
  <c r="R903" i="1" l="1"/>
  <c r="Q903" i="1"/>
  <c r="P903" i="1"/>
  <c r="O902" i="1"/>
  <c r="R904" i="1" l="1"/>
  <c r="Q904" i="1"/>
  <c r="P904" i="1"/>
  <c r="O903" i="1"/>
  <c r="R905" i="1" l="1"/>
  <c r="Q905" i="1"/>
  <c r="P905" i="1"/>
  <c r="O904" i="1"/>
  <c r="R906" i="1" l="1"/>
  <c r="Q906" i="1"/>
  <c r="P906" i="1"/>
  <c r="O905" i="1"/>
  <c r="R907" i="1" l="1"/>
  <c r="Q907" i="1"/>
  <c r="P907" i="1"/>
  <c r="O906" i="1"/>
  <c r="R908" i="1" l="1"/>
  <c r="Q908" i="1"/>
  <c r="P908" i="1"/>
  <c r="O907" i="1"/>
  <c r="R909" i="1" l="1"/>
  <c r="Q909" i="1"/>
  <c r="P909" i="1"/>
  <c r="O908" i="1"/>
  <c r="R910" i="1" l="1"/>
  <c r="Q910" i="1"/>
  <c r="P910" i="1"/>
  <c r="O909" i="1"/>
  <c r="R911" i="1" l="1"/>
  <c r="Q911" i="1"/>
  <c r="P911" i="1"/>
  <c r="O910" i="1"/>
  <c r="R912" i="1" l="1"/>
  <c r="Q912" i="1"/>
  <c r="P912" i="1"/>
  <c r="O911" i="1"/>
  <c r="R913" i="1" l="1"/>
  <c r="Q913" i="1"/>
  <c r="P913" i="1"/>
  <c r="O912" i="1"/>
  <c r="R914" i="1" l="1"/>
  <c r="Q914" i="1"/>
  <c r="P914" i="1"/>
  <c r="O913" i="1"/>
  <c r="R915" i="1" l="1"/>
  <c r="Q915" i="1"/>
  <c r="P915" i="1"/>
  <c r="O914" i="1"/>
  <c r="R916" i="1" l="1"/>
  <c r="Q916" i="1"/>
  <c r="P916" i="1"/>
  <c r="O915" i="1"/>
  <c r="R917" i="1" l="1"/>
  <c r="Q917" i="1"/>
  <c r="P917" i="1"/>
  <c r="O916" i="1"/>
  <c r="R918" i="1" l="1"/>
  <c r="Q918" i="1"/>
  <c r="P918" i="1"/>
  <c r="O917" i="1"/>
  <c r="R919" i="1" l="1"/>
  <c r="Q919" i="1"/>
  <c r="P919" i="1"/>
  <c r="O918" i="1"/>
  <c r="R920" i="1" l="1"/>
  <c r="Q920" i="1"/>
  <c r="P920" i="1"/>
  <c r="O919" i="1"/>
  <c r="R921" i="1" l="1"/>
  <c r="Q921" i="1"/>
  <c r="P921" i="1"/>
  <c r="O920" i="1"/>
  <c r="R922" i="1" l="1"/>
  <c r="Q922" i="1"/>
  <c r="P922" i="1"/>
  <c r="O921" i="1"/>
  <c r="R923" i="1" l="1"/>
  <c r="Q923" i="1"/>
  <c r="P923" i="1"/>
  <c r="O922" i="1"/>
  <c r="R924" i="1" l="1"/>
  <c r="Q924" i="1"/>
  <c r="P924" i="1"/>
  <c r="O923" i="1"/>
  <c r="R925" i="1" l="1"/>
  <c r="Q925" i="1"/>
  <c r="P925" i="1"/>
  <c r="O924" i="1"/>
  <c r="R926" i="1" l="1"/>
  <c r="Q926" i="1"/>
  <c r="P926" i="1"/>
  <c r="O925" i="1"/>
  <c r="R927" i="1" l="1"/>
  <c r="Q927" i="1"/>
  <c r="P927" i="1"/>
  <c r="O926" i="1"/>
  <c r="R928" i="1" l="1"/>
  <c r="Q928" i="1"/>
  <c r="P928" i="1"/>
  <c r="O927" i="1"/>
  <c r="R929" i="1" l="1"/>
  <c r="Q929" i="1"/>
  <c r="P929" i="1"/>
  <c r="O928" i="1"/>
  <c r="R930" i="1" l="1"/>
  <c r="Q930" i="1"/>
  <c r="P930" i="1"/>
  <c r="O929" i="1"/>
  <c r="R931" i="1" l="1"/>
  <c r="Q931" i="1"/>
  <c r="P931" i="1"/>
  <c r="O930" i="1"/>
  <c r="R932" i="1" l="1"/>
  <c r="Q932" i="1"/>
  <c r="P932" i="1"/>
  <c r="O931" i="1"/>
  <c r="R933" i="1" l="1"/>
  <c r="Q933" i="1"/>
  <c r="P933" i="1"/>
  <c r="O932" i="1"/>
  <c r="R934" i="1" l="1"/>
  <c r="Q934" i="1"/>
  <c r="P934" i="1"/>
  <c r="O933" i="1"/>
  <c r="R935" i="1" l="1"/>
  <c r="Q935" i="1"/>
  <c r="P935" i="1"/>
  <c r="O934" i="1"/>
  <c r="R936" i="1" l="1"/>
  <c r="Q936" i="1"/>
  <c r="P936" i="1"/>
  <c r="O935" i="1"/>
  <c r="R937" i="1" l="1"/>
  <c r="Q937" i="1"/>
  <c r="P937" i="1"/>
  <c r="O936" i="1"/>
  <c r="R938" i="1" l="1"/>
  <c r="Q938" i="1"/>
  <c r="P938" i="1"/>
  <c r="O937" i="1"/>
  <c r="R939" i="1" l="1"/>
  <c r="Q939" i="1"/>
  <c r="P939" i="1"/>
  <c r="O938" i="1"/>
  <c r="R940" i="1" l="1"/>
  <c r="Q940" i="1"/>
  <c r="P940" i="1"/>
  <c r="O939" i="1"/>
  <c r="R941" i="1" l="1"/>
  <c r="Q941" i="1"/>
  <c r="P941" i="1"/>
  <c r="O940" i="1"/>
  <c r="R942" i="1" l="1"/>
  <c r="Q942" i="1"/>
  <c r="P942" i="1"/>
  <c r="O941" i="1"/>
  <c r="R943" i="1" l="1"/>
  <c r="Q943" i="1"/>
  <c r="P943" i="1"/>
  <c r="O942" i="1"/>
  <c r="R944" i="1" l="1"/>
  <c r="Q944" i="1"/>
  <c r="P944" i="1"/>
  <c r="O943" i="1"/>
  <c r="R945" i="1" l="1"/>
  <c r="Q945" i="1"/>
  <c r="P945" i="1"/>
  <c r="O944" i="1"/>
  <c r="R946" i="1" l="1"/>
  <c r="Q946" i="1"/>
  <c r="P946" i="1"/>
  <c r="O945" i="1"/>
  <c r="R947" i="1" l="1"/>
  <c r="Q947" i="1"/>
  <c r="P947" i="1"/>
  <c r="O946" i="1"/>
  <c r="R948" i="1" l="1"/>
  <c r="Q948" i="1"/>
  <c r="P948" i="1"/>
  <c r="O947" i="1"/>
  <c r="R949" i="1" l="1"/>
  <c r="Q949" i="1"/>
  <c r="P949" i="1"/>
  <c r="O948" i="1"/>
  <c r="R950" i="1" l="1"/>
  <c r="Q950" i="1"/>
  <c r="P950" i="1"/>
  <c r="O949" i="1"/>
  <c r="R951" i="1" l="1"/>
  <c r="Q951" i="1"/>
  <c r="P951" i="1"/>
  <c r="O950" i="1"/>
  <c r="R952" i="1" l="1"/>
  <c r="Q952" i="1"/>
  <c r="P952" i="1"/>
  <c r="O951" i="1"/>
  <c r="R953" i="1" l="1"/>
  <c r="Q953" i="1"/>
  <c r="P953" i="1"/>
  <c r="O952" i="1"/>
  <c r="R954" i="1" l="1"/>
  <c r="Q954" i="1"/>
  <c r="P954" i="1"/>
  <c r="O953" i="1"/>
  <c r="R955" i="1" l="1"/>
  <c r="Q955" i="1"/>
  <c r="P955" i="1"/>
  <c r="O954" i="1"/>
  <c r="R956" i="1" l="1"/>
  <c r="Q956" i="1"/>
  <c r="P956" i="1"/>
  <c r="O955" i="1"/>
  <c r="R957" i="1" l="1"/>
  <c r="Q957" i="1"/>
  <c r="P957" i="1"/>
  <c r="O956" i="1"/>
  <c r="R958" i="1" l="1"/>
  <c r="Q958" i="1"/>
  <c r="P958" i="1"/>
  <c r="O957" i="1"/>
  <c r="R959" i="1" l="1"/>
  <c r="Q959" i="1"/>
  <c r="P959" i="1"/>
  <c r="O958" i="1"/>
  <c r="R960" i="1" l="1"/>
  <c r="Q960" i="1"/>
  <c r="P960" i="1"/>
  <c r="O959" i="1"/>
  <c r="R961" i="1" l="1"/>
  <c r="Q961" i="1"/>
  <c r="P961" i="1"/>
  <c r="O960" i="1"/>
  <c r="R962" i="1" l="1"/>
  <c r="Q962" i="1"/>
  <c r="P962" i="1"/>
  <c r="O961" i="1"/>
  <c r="R963" i="1" l="1"/>
  <c r="Q963" i="1"/>
  <c r="P963" i="1"/>
  <c r="O962" i="1"/>
  <c r="R964" i="1" l="1"/>
  <c r="Q964" i="1"/>
  <c r="P964" i="1"/>
  <c r="O963" i="1"/>
  <c r="R965" i="1" l="1"/>
  <c r="Q965" i="1"/>
  <c r="P965" i="1"/>
  <c r="O964" i="1"/>
  <c r="R966" i="1" l="1"/>
  <c r="Q966" i="1"/>
  <c r="P966" i="1"/>
  <c r="O965" i="1"/>
  <c r="R967" i="1" l="1"/>
  <c r="Q967" i="1"/>
  <c r="P967" i="1"/>
  <c r="O966" i="1"/>
  <c r="R968" i="1" l="1"/>
  <c r="Q968" i="1"/>
  <c r="P968" i="1"/>
  <c r="O967" i="1"/>
  <c r="R969" i="1" l="1"/>
  <c r="Q969" i="1"/>
  <c r="P969" i="1"/>
  <c r="O968" i="1"/>
  <c r="R970" i="1" l="1"/>
  <c r="Q970" i="1"/>
  <c r="P970" i="1"/>
  <c r="O969" i="1"/>
  <c r="R971" i="1" l="1"/>
  <c r="Q971" i="1"/>
  <c r="P971" i="1"/>
  <c r="O970" i="1"/>
  <c r="R972" i="1" l="1"/>
  <c r="Q972" i="1"/>
  <c r="P972" i="1"/>
  <c r="O971" i="1"/>
  <c r="R973" i="1" l="1"/>
  <c r="Q973" i="1"/>
  <c r="P973" i="1"/>
  <c r="O972" i="1"/>
  <c r="R974" i="1" l="1"/>
  <c r="Q974" i="1"/>
  <c r="P974" i="1"/>
  <c r="O973" i="1"/>
  <c r="R975" i="1" l="1"/>
  <c r="Q975" i="1"/>
  <c r="P975" i="1"/>
  <c r="O974" i="1"/>
  <c r="R976" i="1" l="1"/>
  <c r="Q976" i="1"/>
  <c r="P976" i="1"/>
  <c r="O975" i="1"/>
  <c r="R977" i="1" l="1"/>
  <c r="Q977" i="1"/>
  <c r="P977" i="1"/>
  <c r="O976" i="1"/>
  <c r="R978" i="1" l="1"/>
  <c r="Q978" i="1"/>
  <c r="P978" i="1"/>
  <c r="O977" i="1"/>
  <c r="R979" i="1" l="1"/>
  <c r="Q979" i="1"/>
  <c r="P979" i="1"/>
  <c r="O978" i="1"/>
  <c r="R980" i="1" l="1"/>
  <c r="Q980" i="1"/>
  <c r="P980" i="1"/>
  <c r="O979" i="1"/>
  <c r="R981" i="1" l="1"/>
  <c r="Q981" i="1"/>
  <c r="P981" i="1"/>
  <c r="O980" i="1"/>
  <c r="R982" i="1" l="1"/>
  <c r="Q982" i="1"/>
  <c r="P982" i="1"/>
  <c r="O981" i="1"/>
  <c r="R983" i="1" l="1"/>
  <c r="Q983" i="1"/>
  <c r="P983" i="1"/>
  <c r="O982" i="1"/>
  <c r="R984" i="1" l="1"/>
  <c r="Q984" i="1"/>
  <c r="P984" i="1"/>
  <c r="O983" i="1"/>
  <c r="R985" i="1" l="1"/>
  <c r="Q985" i="1"/>
  <c r="P985" i="1"/>
  <c r="O984" i="1"/>
  <c r="R986" i="1" l="1"/>
  <c r="Q986" i="1"/>
  <c r="P986" i="1"/>
  <c r="O985" i="1"/>
  <c r="R987" i="1" l="1"/>
  <c r="Q987" i="1"/>
  <c r="P987" i="1"/>
  <c r="O986" i="1"/>
  <c r="R988" i="1" l="1"/>
  <c r="Q988" i="1"/>
  <c r="P988" i="1"/>
  <c r="O987" i="1"/>
  <c r="R989" i="1" l="1"/>
  <c r="Q989" i="1"/>
  <c r="P989" i="1"/>
  <c r="O988" i="1"/>
  <c r="R990" i="1" l="1"/>
  <c r="Q990" i="1"/>
  <c r="P990" i="1"/>
  <c r="O989" i="1"/>
  <c r="R991" i="1" l="1"/>
  <c r="Q991" i="1"/>
  <c r="P991" i="1"/>
  <c r="O990" i="1"/>
  <c r="R992" i="1" l="1"/>
  <c r="Q992" i="1"/>
  <c r="P992" i="1"/>
  <c r="O991" i="1"/>
  <c r="R993" i="1" l="1"/>
  <c r="Q993" i="1"/>
  <c r="P993" i="1"/>
  <c r="O992" i="1"/>
  <c r="R994" i="1" l="1"/>
  <c r="Q994" i="1"/>
  <c r="P994" i="1"/>
  <c r="O993" i="1"/>
  <c r="R995" i="1" l="1"/>
  <c r="Q995" i="1"/>
  <c r="P995" i="1"/>
  <c r="O994" i="1"/>
  <c r="R996" i="1" l="1"/>
  <c r="Q996" i="1"/>
  <c r="P996" i="1"/>
  <c r="O995" i="1"/>
  <c r="R997" i="1" l="1"/>
  <c r="Q997" i="1"/>
  <c r="P997" i="1"/>
  <c r="O996" i="1"/>
  <c r="R998" i="1" l="1"/>
  <c r="Q998" i="1"/>
  <c r="P998" i="1"/>
  <c r="O997" i="1"/>
  <c r="R999" i="1" l="1"/>
  <c r="Q999" i="1"/>
  <c r="P999" i="1"/>
  <c r="O998" i="1"/>
  <c r="R1000" i="1" l="1"/>
  <c r="Q1000" i="1"/>
  <c r="P1000" i="1"/>
  <c r="O999" i="1"/>
  <c r="R1001" i="1" l="1"/>
  <c r="Q1001" i="1"/>
  <c r="P1001" i="1"/>
  <c r="O1000" i="1"/>
  <c r="R1002" i="1" l="1"/>
  <c r="Q1002" i="1"/>
  <c r="P1002" i="1"/>
  <c r="O1001" i="1"/>
  <c r="R1003" i="1" l="1"/>
  <c r="Q1003" i="1"/>
  <c r="P1003" i="1"/>
  <c r="O1002" i="1"/>
  <c r="R1004" i="1" l="1"/>
  <c r="Q1004" i="1"/>
  <c r="P1004" i="1"/>
  <c r="O1003" i="1"/>
  <c r="R1005" i="1" l="1"/>
  <c r="Q1005" i="1"/>
  <c r="P1005" i="1"/>
  <c r="O1004" i="1"/>
  <c r="R1006" i="1" l="1"/>
  <c r="Q1006" i="1"/>
  <c r="P1006" i="1"/>
  <c r="O1005" i="1"/>
  <c r="R1007" i="1" l="1"/>
  <c r="Q1007" i="1"/>
  <c r="P1007" i="1"/>
  <c r="O1006" i="1"/>
  <c r="R1008" i="1" l="1"/>
  <c r="Q1008" i="1"/>
  <c r="P1008" i="1"/>
  <c r="O1007" i="1"/>
  <c r="R1009" i="1" l="1"/>
  <c r="Q1009" i="1"/>
  <c r="P1009" i="1"/>
  <c r="O1008" i="1"/>
  <c r="R1010" i="1" l="1"/>
  <c r="Q1010" i="1"/>
  <c r="P1010" i="1"/>
  <c r="O1009" i="1"/>
  <c r="R1011" i="1" l="1"/>
  <c r="Q1011" i="1"/>
  <c r="P1011" i="1"/>
  <c r="O1010" i="1"/>
  <c r="R1012" i="1" l="1"/>
  <c r="Q1012" i="1"/>
  <c r="P1012" i="1"/>
  <c r="O1011" i="1"/>
  <c r="R1013" i="1" l="1"/>
  <c r="Q1013" i="1"/>
  <c r="P1013" i="1"/>
  <c r="O1012" i="1"/>
  <c r="R1014" i="1" l="1"/>
  <c r="Q1014" i="1"/>
  <c r="P1014" i="1"/>
  <c r="O1013" i="1"/>
  <c r="R1015" i="1" l="1"/>
  <c r="Q1015" i="1"/>
  <c r="P1015" i="1"/>
  <c r="O1014" i="1"/>
  <c r="R1016" i="1" l="1"/>
  <c r="Q1016" i="1"/>
  <c r="P1016" i="1"/>
  <c r="O1015" i="1"/>
  <c r="R1017" i="1" l="1"/>
  <c r="Q1017" i="1"/>
  <c r="P1017" i="1"/>
  <c r="O1016" i="1"/>
  <c r="R1018" i="1" l="1"/>
  <c r="Q1018" i="1"/>
  <c r="P1018" i="1"/>
  <c r="O1017" i="1"/>
  <c r="R1019" i="1" l="1"/>
  <c r="Q1019" i="1"/>
  <c r="P1019" i="1"/>
  <c r="O1018" i="1"/>
  <c r="R1020" i="1" l="1"/>
  <c r="Q1020" i="1"/>
  <c r="P1020" i="1"/>
  <c r="O1019" i="1"/>
  <c r="R1021" i="1" l="1"/>
  <c r="Q1021" i="1"/>
  <c r="P1021" i="1"/>
  <c r="O1020" i="1"/>
  <c r="R1022" i="1" l="1"/>
  <c r="Q1022" i="1"/>
  <c r="P1022" i="1"/>
  <c r="O1021" i="1"/>
  <c r="R1023" i="1" l="1"/>
  <c r="Q1023" i="1"/>
  <c r="P1023" i="1"/>
  <c r="O1022" i="1"/>
  <c r="R1024" i="1" l="1"/>
  <c r="Q1024" i="1"/>
  <c r="P1024" i="1"/>
  <c r="O1023" i="1"/>
  <c r="R1025" i="1" l="1"/>
  <c r="Q1025" i="1"/>
  <c r="P1025" i="1"/>
  <c r="O1024" i="1"/>
  <c r="R1026" i="1" l="1"/>
  <c r="Q1026" i="1"/>
  <c r="P1026" i="1"/>
  <c r="O1025" i="1"/>
  <c r="R1027" i="1" l="1"/>
  <c r="Q1027" i="1"/>
  <c r="P1027" i="1"/>
  <c r="O1026" i="1"/>
  <c r="R1028" i="1" l="1"/>
  <c r="Q1028" i="1"/>
  <c r="P1028" i="1"/>
  <c r="O1027" i="1"/>
  <c r="R1029" i="1" l="1"/>
  <c r="Q1029" i="1"/>
  <c r="P1029" i="1"/>
  <c r="O1028" i="1"/>
  <c r="R1030" i="1" l="1"/>
  <c r="Q1030" i="1"/>
  <c r="P1030" i="1"/>
  <c r="O1029" i="1"/>
  <c r="R1031" i="1" l="1"/>
  <c r="Q1031" i="1"/>
  <c r="P1031" i="1"/>
  <c r="O1030" i="1"/>
  <c r="R1032" i="1" l="1"/>
  <c r="Q1032" i="1"/>
  <c r="P1032" i="1"/>
  <c r="O1031" i="1"/>
  <c r="R1033" i="1" l="1"/>
  <c r="Q1033" i="1"/>
  <c r="P1033" i="1"/>
  <c r="O1032" i="1"/>
  <c r="R1034" i="1" l="1"/>
  <c r="Q1034" i="1"/>
  <c r="P1034" i="1"/>
  <c r="O1033" i="1"/>
  <c r="R1035" i="1" l="1"/>
  <c r="Q1035" i="1"/>
  <c r="P1035" i="1"/>
  <c r="O1034" i="1"/>
  <c r="R1036" i="1" l="1"/>
  <c r="Q1036" i="1"/>
  <c r="P1036" i="1"/>
  <c r="O1035" i="1"/>
  <c r="R1037" i="1" l="1"/>
  <c r="Q1037" i="1"/>
  <c r="P1037" i="1"/>
  <c r="O1036" i="1"/>
  <c r="R1038" i="1" l="1"/>
  <c r="Q1038" i="1"/>
  <c r="P1038" i="1"/>
  <c r="O1037" i="1"/>
  <c r="R1039" i="1" l="1"/>
  <c r="Q1039" i="1"/>
  <c r="P1039" i="1"/>
  <c r="O1038" i="1"/>
  <c r="R1040" i="1" l="1"/>
  <c r="Q1040" i="1"/>
  <c r="P1040" i="1"/>
  <c r="O1039" i="1"/>
  <c r="R1041" i="1" l="1"/>
  <c r="Q1041" i="1"/>
  <c r="P1041" i="1"/>
  <c r="O1040" i="1"/>
  <c r="R1042" i="1" l="1"/>
  <c r="Q1042" i="1"/>
  <c r="P1042" i="1"/>
  <c r="O1041" i="1"/>
  <c r="R1043" i="1" l="1"/>
  <c r="Q1043" i="1"/>
  <c r="P1043" i="1"/>
  <c r="O1042" i="1"/>
  <c r="R1044" i="1" l="1"/>
  <c r="Q1044" i="1"/>
  <c r="P1044" i="1"/>
  <c r="O1043" i="1"/>
  <c r="R1045" i="1" l="1"/>
  <c r="Q1045" i="1"/>
  <c r="P1045" i="1"/>
  <c r="O1044" i="1"/>
  <c r="R1046" i="1" l="1"/>
  <c r="Q1046" i="1"/>
  <c r="P1046" i="1"/>
  <c r="O1045" i="1"/>
  <c r="R1047" i="1" l="1"/>
  <c r="Q1047" i="1"/>
  <c r="P1047" i="1"/>
  <c r="O1046" i="1"/>
  <c r="R1048" i="1" l="1"/>
  <c r="Q1048" i="1"/>
  <c r="P1048" i="1"/>
  <c r="O1047" i="1"/>
  <c r="R1049" i="1" l="1"/>
  <c r="Q1049" i="1"/>
  <c r="P1049" i="1"/>
  <c r="O1048" i="1"/>
  <c r="R1050" i="1" l="1"/>
  <c r="Q1050" i="1"/>
  <c r="P1050" i="1"/>
  <c r="O1049" i="1"/>
  <c r="R1051" i="1" l="1"/>
  <c r="Q1051" i="1"/>
  <c r="P1051" i="1"/>
  <c r="O1050" i="1"/>
  <c r="R1052" i="1" l="1"/>
  <c r="Q1052" i="1"/>
  <c r="P1052" i="1"/>
  <c r="O1051" i="1"/>
  <c r="R1053" i="1" l="1"/>
  <c r="Q1053" i="1"/>
  <c r="P1053" i="1"/>
  <c r="O1052" i="1"/>
  <c r="R1054" i="1" l="1"/>
  <c r="Q1054" i="1"/>
  <c r="P1054" i="1"/>
  <c r="O1053" i="1"/>
  <c r="R1055" i="1" l="1"/>
  <c r="Q1055" i="1"/>
  <c r="P1055" i="1"/>
  <c r="O1054" i="1"/>
  <c r="R1056" i="1" l="1"/>
  <c r="Q1056" i="1"/>
  <c r="P1056" i="1"/>
  <c r="O1055" i="1"/>
  <c r="R1057" i="1" l="1"/>
  <c r="Q1057" i="1"/>
  <c r="P1057" i="1"/>
  <c r="O1056" i="1"/>
  <c r="R1058" i="1" l="1"/>
  <c r="Q1058" i="1"/>
  <c r="P1058" i="1"/>
  <c r="O1057" i="1"/>
  <c r="R1059" i="1" l="1"/>
  <c r="Q1059" i="1"/>
  <c r="P1059" i="1"/>
  <c r="O1058" i="1"/>
  <c r="R1060" i="1" l="1"/>
  <c r="Q1060" i="1"/>
  <c r="P1060" i="1"/>
  <c r="O1059" i="1"/>
  <c r="R1061" i="1" l="1"/>
  <c r="Q1061" i="1"/>
  <c r="P1061" i="1"/>
  <c r="O1060" i="1"/>
  <c r="R1062" i="1" l="1"/>
  <c r="Q1062" i="1"/>
  <c r="P1062" i="1"/>
  <c r="O1061" i="1"/>
  <c r="R1063" i="1" l="1"/>
  <c r="Q1063" i="1"/>
  <c r="P1063" i="1"/>
  <c r="O1062" i="1"/>
  <c r="R1064" i="1" l="1"/>
  <c r="Q1064" i="1"/>
  <c r="P1064" i="1"/>
  <c r="O1063" i="1"/>
  <c r="R1065" i="1" l="1"/>
  <c r="Q1065" i="1"/>
  <c r="P1065" i="1"/>
  <c r="O1064" i="1"/>
  <c r="R1066" i="1" l="1"/>
  <c r="Q1066" i="1"/>
  <c r="P1066" i="1"/>
  <c r="O1065" i="1"/>
  <c r="R1067" i="1" l="1"/>
  <c r="Q1067" i="1"/>
  <c r="P1067" i="1"/>
  <c r="O1066" i="1"/>
  <c r="R1068" i="1" l="1"/>
  <c r="Q1068" i="1"/>
  <c r="P1068" i="1"/>
  <c r="O1067" i="1"/>
  <c r="R1069" i="1" l="1"/>
  <c r="Q1069" i="1"/>
  <c r="P1069" i="1"/>
  <c r="O1068" i="1"/>
  <c r="R1070" i="1" l="1"/>
  <c r="Q1070" i="1"/>
  <c r="P1070" i="1"/>
  <c r="O1069" i="1"/>
  <c r="R1071" i="1" l="1"/>
  <c r="Q1071" i="1"/>
  <c r="P1071" i="1"/>
  <c r="O1070" i="1"/>
  <c r="R1072" i="1" l="1"/>
  <c r="Q1072" i="1"/>
  <c r="P1072" i="1"/>
  <c r="O1071" i="1"/>
  <c r="R1073" i="1" l="1"/>
  <c r="Q1073" i="1"/>
  <c r="P1073" i="1"/>
  <c r="O1072" i="1"/>
  <c r="R1074" i="1" l="1"/>
  <c r="Q1074" i="1"/>
  <c r="P1074" i="1"/>
  <c r="O1073" i="1"/>
  <c r="R1075" i="1" l="1"/>
  <c r="Q1075" i="1"/>
  <c r="P1075" i="1"/>
  <c r="O1074" i="1"/>
  <c r="R1076" i="1" l="1"/>
  <c r="Q1076" i="1"/>
  <c r="P1076" i="1"/>
  <c r="O1075" i="1"/>
  <c r="R1077" i="1" l="1"/>
  <c r="Q1077" i="1"/>
  <c r="P1077" i="1"/>
  <c r="O1076" i="1"/>
  <c r="R1078" i="1" l="1"/>
  <c r="Q1078" i="1"/>
  <c r="P1078" i="1"/>
  <c r="O1077" i="1"/>
  <c r="R1079" i="1" l="1"/>
  <c r="Q1079" i="1"/>
  <c r="P1079" i="1"/>
  <c r="O1078" i="1"/>
  <c r="R1080" i="1" l="1"/>
  <c r="Q1080" i="1"/>
  <c r="P1080" i="1"/>
  <c r="O1079" i="1"/>
  <c r="R1081" i="1" l="1"/>
  <c r="Q1081" i="1"/>
  <c r="P1081" i="1"/>
  <c r="O1080" i="1"/>
  <c r="R1082" i="1" l="1"/>
  <c r="Q1082" i="1"/>
  <c r="P1082" i="1"/>
  <c r="O1081" i="1"/>
  <c r="R1083" i="1" l="1"/>
  <c r="Q1083" i="1"/>
  <c r="P1083" i="1"/>
  <c r="O1082" i="1"/>
  <c r="R1084" i="1" l="1"/>
  <c r="Q1084" i="1"/>
  <c r="P1084" i="1"/>
  <c r="O1083" i="1"/>
  <c r="R1085" i="1" l="1"/>
  <c r="Q1085" i="1"/>
  <c r="P1085" i="1"/>
  <c r="O1084" i="1"/>
  <c r="R1086" i="1" l="1"/>
  <c r="Q1086" i="1"/>
  <c r="P1086" i="1"/>
  <c r="O1085" i="1"/>
  <c r="R1087" i="1" l="1"/>
  <c r="Q1087" i="1"/>
  <c r="P1087" i="1"/>
  <c r="O1086" i="1"/>
  <c r="R1088" i="1" l="1"/>
  <c r="Q1088" i="1"/>
  <c r="P1088" i="1"/>
  <c r="O1087" i="1"/>
  <c r="R1089" i="1" l="1"/>
  <c r="Q1089" i="1"/>
  <c r="P1089" i="1"/>
  <c r="O1088" i="1"/>
  <c r="R1090" i="1" l="1"/>
  <c r="Q1090" i="1"/>
  <c r="P1090" i="1"/>
  <c r="O1089" i="1"/>
  <c r="R1091" i="1" l="1"/>
  <c r="Q1091" i="1"/>
  <c r="P1091" i="1"/>
  <c r="O1090" i="1"/>
  <c r="R1092" i="1" l="1"/>
  <c r="Q1092" i="1"/>
  <c r="P1092" i="1"/>
  <c r="O1091" i="1"/>
  <c r="R1093" i="1" l="1"/>
  <c r="Q1093" i="1"/>
  <c r="P1093" i="1"/>
  <c r="O1092" i="1"/>
  <c r="R1094" i="1" l="1"/>
  <c r="Q1094" i="1"/>
  <c r="P1094" i="1"/>
  <c r="O1093" i="1"/>
  <c r="R1095" i="1" l="1"/>
  <c r="Q1095" i="1"/>
  <c r="P1095" i="1"/>
  <c r="O1094" i="1"/>
  <c r="R1096" i="1" l="1"/>
  <c r="Q1096" i="1"/>
  <c r="P1096" i="1"/>
  <c r="O1095" i="1"/>
  <c r="R1097" i="1" l="1"/>
  <c r="Q1097" i="1"/>
  <c r="P1097" i="1"/>
  <c r="O1096" i="1"/>
  <c r="R1098" i="1" l="1"/>
  <c r="Q1098" i="1"/>
  <c r="P1098" i="1"/>
  <c r="O1097" i="1"/>
  <c r="R1099" i="1" l="1"/>
  <c r="Q1099" i="1"/>
  <c r="P1099" i="1"/>
  <c r="O1098" i="1"/>
  <c r="R1100" i="1" l="1"/>
  <c r="Q1100" i="1"/>
  <c r="P1100" i="1"/>
  <c r="O1099" i="1"/>
  <c r="R1101" i="1" l="1"/>
  <c r="Q1101" i="1"/>
  <c r="P1101" i="1"/>
  <c r="O1100" i="1"/>
  <c r="R1102" i="1" l="1"/>
  <c r="Q1102" i="1"/>
  <c r="P1102" i="1"/>
  <c r="O1101" i="1"/>
  <c r="R1103" i="1" l="1"/>
  <c r="Q1103" i="1"/>
  <c r="P1103" i="1"/>
  <c r="O1102" i="1"/>
  <c r="R1104" i="1" l="1"/>
  <c r="Q1104" i="1"/>
  <c r="P1104" i="1"/>
  <c r="O1103" i="1"/>
  <c r="R1105" i="1" l="1"/>
  <c r="Q1105" i="1"/>
  <c r="P1105" i="1"/>
  <c r="O1104" i="1"/>
  <c r="R1106" i="1" l="1"/>
  <c r="Q1106" i="1"/>
  <c r="P1106" i="1"/>
  <c r="O1105" i="1"/>
  <c r="R1107" i="1" l="1"/>
  <c r="Q1107" i="1"/>
  <c r="P1107" i="1"/>
  <c r="O1106" i="1"/>
  <c r="R1108" i="1" l="1"/>
  <c r="Q1108" i="1"/>
  <c r="P1108" i="1"/>
  <c r="O1107" i="1"/>
  <c r="R1109" i="1" l="1"/>
  <c r="Q1109" i="1"/>
  <c r="P1109" i="1"/>
  <c r="O1108" i="1"/>
  <c r="R1110" i="1" l="1"/>
  <c r="Q1110" i="1"/>
  <c r="P1110" i="1"/>
  <c r="O1109" i="1"/>
  <c r="R1111" i="1" l="1"/>
  <c r="Q1111" i="1"/>
  <c r="P1111" i="1"/>
  <c r="O1110" i="1"/>
  <c r="R1112" i="1" l="1"/>
  <c r="Q1112" i="1"/>
  <c r="P1112" i="1"/>
  <c r="O1111" i="1"/>
  <c r="R1113" i="1" l="1"/>
  <c r="Q1113" i="1"/>
  <c r="P1113" i="1"/>
  <c r="O1112" i="1"/>
  <c r="R1114" i="1" l="1"/>
  <c r="Q1114" i="1"/>
  <c r="P1114" i="1"/>
  <c r="O1113" i="1"/>
  <c r="R1115" i="1" l="1"/>
  <c r="Q1115" i="1"/>
  <c r="P1115" i="1"/>
  <c r="O1114" i="1"/>
  <c r="R1116" i="1" l="1"/>
  <c r="Q1116" i="1"/>
  <c r="P1116" i="1"/>
  <c r="O1115" i="1"/>
  <c r="R1117" i="1" l="1"/>
  <c r="Q1117" i="1"/>
  <c r="P1117" i="1"/>
  <c r="O1116" i="1"/>
  <c r="R1118" i="1" l="1"/>
  <c r="Q1118" i="1"/>
  <c r="P1118" i="1"/>
  <c r="O1117" i="1"/>
  <c r="R1119" i="1" l="1"/>
  <c r="Q1119" i="1"/>
  <c r="P1119" i="1"/>
  <c r="O1118" i="1"/>
  <c r="R1120" i="1" l="1"/>
  <c r="Q1120" i="1"/>
  <c r="P1120" i="1"/>
  <c r="O1119" i="1"/>
  <c r="R1121" i="1" l="1"/>
  <c r="Q1121" i="1"/>
  <c r="P1121" i="1"/>
  <c r="O1120" i="1"/>
  <c r="R1122" i="1" l="1"/>
  <c r="Q1122" i="1"/>
  <c r="P1122" i="1"/>
  <c r="O1121" i="1"/>
  <c r="R1123" i="1" l="1"/>
  <c r="Q1123" i="1"/>
  <c r="P1123" i="1"/>
  <c r="O1122" i="1"/>
  <c r="R1124" i="1" l="1"/>
  <c r="Q1124" i="1"/>
  <c r="P1124" i="1"/>
  <c r="O1123" i="1"/>
  <c r="R1125" i="1" l="1"/>
  <c r="Q1125" i="1"/>
  <c r="P1125" i="1"/>
  <c r="O1124" i="1"/>
  <c r="R1126" i="1" l="1"/>
  <c r="Q1126" i="1"/>
  <c r="P1126" i="1"/>
  <c r="O1125" i="1"/>
  <c r="R1127" i="1" l="1"/>
  <c r="Q1127" i="1"/>
  <c r="P1127" i="1"/>
  <c r="O1126" i="1"/>
  <c r="R1128" i="1" l="1"/>
  <c r="Q1128" i="1"/>
  <c r="P1128" i="1"/>
  <c r="O1127" i="1"/>
  <c r="R1129" i="1" l="1"/>
  <c r="Q1129" i="1"/>
  <c r="P1129" i="1"/>
  <c r="O1128" i="1"/>
  <c r="R1130" i="1" l="1"/>
  <c r="Q1130" i="1"/>
  <c r="P1130" i="1"/>
  <c r="O1129" i="1"/>
  <c r="R1131" i="1" l="1"/>
  <c r="Q1131" i="1"/>
  <c r="P1131" i="1"/>
  <c r="O1130" i="1"/>
  <c r="R1132" i="1" l="1"/>
  <c r="Q1132" i="1"/>
  <c r="P1132" i="1"/>
  <c r="O1131" i="1"/>
  <c r="R1133" i="1" l="1"/>
  <c r="Q1133" i="1"/>
  <c r="P1133" i="1"/>
  <c r="O1132" i="1"/>
  <c r="R1134" i="1" l="1"/>
  <c r="Q1134" i="1"/>
  <c r="P1134" i="1"/>
  <c r="O1133" i="1"/>
  <c r="R1135" i="1" l="1"/>
  <c r="Q1135" i="1"/>
  <c r="P1135" i="1"/>
  <c r="O1134" i="1"/>
  <c r="R1136" i="1" l="1"/>
  <c r="Q1136" i="1"/>
  <c r="P1136" i="1"/>
  <c r="O1135" i="1"/>
  <c r="R1137" i="1" l="1"/>
  <c r="Q1137" i="1"/>
  <c r="P1137" i="1"/>
  <c r="O1136" i="1"/>
  <c r="R1138" i="1" l="1"/>
  <c r="Q1138" i="1"/>
  <c r="P1138" i="1"/>
  <c r="O1137" i="1"/>
  <c r="R1139" i="1" l="1"/>
  <c r="Q1139" i="1"/>
  <c r="P1139" i="1"/>
  <c r="O1138" i="1"/>
  <c r="R1140" i="1" l="1"/>
  <c r="Q1140" i="1"/>
  <c r="P1140" i="1"/>
  <c r="O1139" i="1"/>
  <c r="R1141" i="1" l="1"/>
  <c r="Q1141" i="1"/>
  <c r="P1141" i="1"/>
  <c r="O1140" i="1"/>
  <c r="R1142" i="1" l="1"/>
  <c r="Q1142" i="1"/>
  <c r="P1142" i="1"/>
  <c r="O1141" i="1"/>
  <c r="R1143" i="1" l="1"/>
  <c r="Q1143" i="1"/>
  <c r="P1143" i="1"/>
  <c r="O1142" i="1"/>
  <c r="R1144" i="1" l="1"/>
  <c r="Q1144" i="1"/>
  <c r="P1144" i="1"/>
  <c r="O1143" i="1"/>
  <c r="R1145" i="1" l="1"/>
  <c r="Q1145" i="1"/>
  <c r="P1145" i="1"/>
  <c r="O1144" i="1"/>
  <c r="R1146" i="1" l="1"/>
  <c r="Q1146" i="1"/>
  <c r="P1146" i="1"/>
  <c r="O1145" i="1"/>
  <c r="R1147" i="1" l="1"/>
  <c r="Q1147" i="1"/>
  <c r="P1147" i="1"/>
  <c r="O1146" i="1"/>
  <c r="R1148" i="1" l="1"/>
  <c r="Q1148" i="1"/>
  <c r="P1148" i="1"/>
  <c r="O1147" i="1"/>
  <c r="R1149" i="1" l="1"/>
  <c r="Q1149" i="1"/>
  <c r="P1149" i="1"/>
  <c r="O1148" i="1"/>
  <c r="R1150" i="1" l="1"/>
  <c r="Q1150" i="1"/>
  <c r="P1150" i="1"/>
  <c r="O1149" i="1"/>
  <c r="R1151" i="1" l="1"/>
  <c r="Q1151" i="1"/>
  <c r="P1151" i="1"/>
  <c r="O1150" i="1"/>
  <c r="R1152" i="1" l="1"/>
  <c r="Q1152" i="1"/>
  <c r="P1152" i="1"/>
  <c r="O1151" i="1"/>
  <c r="R1153" i="1" l="1"/>
  <c r="Q1153" i="1"/>
  <c r="P1153" i="1"/>
  <c r="O1152" i="1"/>
  <c r="R1154" i="1" l="1"/>
  <c r="Q1154" i="1"/>
  <c r="P1154" i="1"/>
  <c r="O1153" i="1"/>
  <c r="R1155" i="1" l="1"/>
  <c r="Q1155" i="1"/>
  <c r="P1155" i="1"/>
  <c r="O1154" i="1"/>
  <c r="R1156" i="1" l="1"/>
  <c r="Q1156" i="1"/>
  <c r="P1156" i="1"/>
  <c r="O1155" i="1"/>
  <c r="R1157" i="1" l="1"/>
  <c r="Q1157" i="1"/>
  <c r="P1157" i="1"/>
  <c r="O1156" i="1"/>
  <c r="R1158" i="1" l="1"/>
  <c r="Q1158" i="1"/>
  <c r="P1158" i="1"/>
  <c r="O1157" i="1"/>
  <c r="R1159" i="1" l="1"/>
  <c r="Q1159" i="1"/>
  <c r="P1159" i="1"/>
  <c r="O1158" i="1"/>
  <c r="R1160" i="1" l="1"/>
  <c r="Q1160" i="1"/>
  <c r="P1160" i="1"/>
  <c r="O1159" i="1"/>
  <c r="R1161" i="1" l="1"/>
  <c r="Q1161" i="1"/>
  <c r="P1161" i="1"/>
  <c r="O1160" i="1"/>
  <c r="R1162" i="1" l="1"/>
  <c r="Q1162" i="1"/>
  <c r="P1162" i="1"/>
  <c r="O1161" i="1"/>
  <c r="R1163" i="1" l="1"/>
  <c r="Q1163" i="1"/>
  <c r="P1163" i="1"/>
  <c r="O1162" i="1"/>
  <c r="R1164" i="1" l="1"/>
  <c r="Q1164" i="1"/>
  <c r="P1164" i="1"/>
  <c r="O1163" i="1"/>
  <c r="R1165" i="1" l="1"/>
  <c r="Q1165" i="1"/>
  <c r="P1165" i="1"/>
  <c r="O1164" i="1"/>
  <c r="R1166" i="1" l="1"/>
  <c r="Q1166" i="1"/>
  <c r="P1166" i="1"/>
  <c r="O1165" i="1"/>
  <c r="R1167" i="1" l="1"/>
  <c r="Q1167" i="1"/>
  <c r="P1167" i="1"/>
  <c r="O1166" i="1"/>
  <c r="R1168" i="1" l="1"/>
  <c r="Q1168" i="1"/>
  <c r="P1168" i="1"/>
  <c r="O1167" i="1"/>
  <c r="R1169" i="1" l="1"/>
  <c r="Q1169" i="1"/>
  <c r="P1169" i="1"/>
  <c r="O1168" i="1"/>
  <c r="R1170" i="1" l="1"/>
  <c r="Q1170" i="1"/>
  <c r="P1170" i="1"/>
  <c r="O1169" i="1"/>
  <c r="R1171" i="1" l="1"/>
  <c r="Q1171" i="1"/>
  <c r="P1171" i="1"/>
  <c r="O1170" i="1"/>
  <c r="R1172" i="1" l="1"/>
  <c r="Q1172" i="1"/>
  <c r="P1172" i="1"/>
  <c r="O1171" i="1"/>
  <c r="R1173" i="1" l="1"/>
  <c r="Q1173" i="1"/>
  <c r="P1173" i="1"/>
  <c r="O1172" i="1"/>
  <c r="R1174" i="1" l="1"/>
  <c r="Q1174" i="1"/>
  <c r="P1174" i="1"/>
  <c r="O1173" i="1"/>
  <c r="R1175" i="1" l="1"/>
  <c r="Q1175" i="1"/>
  <c r="P1175" i="1"/>
  <c r="O1174" i="1"/>
  <c r="R1176" i="1" l="1"/>
  <c r="Q1176" i="1"/>
  <c r="P1176" i="1"/>
  <c r="O1175" i="1"/>
  <c r="R1177" i="1" l="1"/>
  <c r="Q1177" i="1"/>
  <c r="P1177" i="1"/>
  <c r="O1176" i="1"/>
  <c r="R1178" i="1" l="1"/>
  <c r="Q1178" i="1"/>
  <c r="P1178" i="1"/>
  <c r="O1177" i="1"/>
  <c r="R1179" i="1" l="1"/>
  <c r="Q1179" i="1"/>
  <c r="P1179" i="1"/>
  <c r="O1178" i="1"/>
  <c r="R1180" i="1" l="1"/>
  <c r="Q1180" i="1"/>
  <c r="P1180" i="1"/>
  <c r="O1179" i="1"/>
  <c r="R1181" i="1" l="1"/>
  <c r="Q1181" i="1"/>
  <c r="P1181" i="1"/>
  <c r="O1180" i="1"/>
  <c r="R1182" i="1" l="1"/>
  <c r="Q1182" i="1"/>
  <c r="P1182" i="1"/>
  <c r="O1181" i="1"/>
  <c r="R1183" i="1" l="1"/>
  <c r="Q1183" i="1"/>
  <c r="P1183" i="1"/>
  <c r="O1182" i="1"/>
  <c r="R1184" i="1" l="1"/>
  <c r="Q1184" i="1"/>
  <c r="P1184" i="1"/>
  <c r="O1183" i="1"/>
  <c r="R1185" i="1" l="1"/>
  <c r="Q1185" i="1"/>
  <c r="P1185" i="1"/>
  <c r="O1184" i="1"/>
  <c r="R1186" i="1" l="1"/>
  <c r="Q1186" i="1"/>
  <c r="P1186" i="1"/>
  <c r="O1185" i="1"/>
  <c r="R1187" i="1" l="1"/>
  <c r="Q1187" i="1"/>
  <c r="P1187" i="1"/>
  <c r="O1186" i="1"/>
  <c r="R1188" i="1" l="1"/>
  <c r="Q1188" i="1"/>
  <c r="P1188" i="1"/>
  <c r="O1187" i="1"/>
  <c r="R1189" i="1" l="1"/>
  <c r="Q1189" i="1"/>
  <c r="P1189" i="1"/>
  <c r="O1188" i="1"/>
  <c r="R1190" i="1" l="1"/>
  <c r="Q1190" i="1"/>
  <c r="P1190" i="1"/>
  <c r="O1189" i="1"/>
  <c r="R1191" i="1" l="1"/>
  <c r="Q1191" i="1"/>
  <c r="P1191" i="1"/>
  <c r="O1190" i="1"/>
  <c r="R1192" i="1" l="1"/>
  <c r="Q1192" i="1"/>
  <c r="P1192" i="1"/>
  <c r="O1191" i="1"/>
  <c r="R1193" i="1" l="1"/>
  <c r="Q1193" i="1"/>
  <c r="P1193" i="1"/>
  <c r="O1192" i="1"/>
  <c r="R1194" i="1" l="1"/>
  <c r="Q1194" i="1"/>
  <c r="P1194" i="1"/>
  <c r="O1193" i="1"/>
  <c r="R1195" i="1" l="1"/>
  <c r="Q1195" i="1"/>
  <c r="P1195" i="1"/>
  <c r="O1194" i="1"/>
  <c r="R1196" i="1" l="1"/>
  <c r="Q1196" i="1"/>
  <c r="P1196" i="1"/>
  <c r="O1195" i="1"/>
  <c r="R1197" i="1" l="1"/>
  <c r="Q1197" i="1"/>
  <c r="P1197" i="1"/>
  <c r="O1196" i="1"/>
  <c r="R1198" i="1" l="1"/>
  <c r="Q1198" i="1"/>
  <c r="P1198" i="1"/>
  <c r="O1197" i="1"/>
  <c r="R1199" i="1" l="1"/>
  <c r="Q1199" i="1"/>
  <c r="P1199" i="1"/>
  <c r="O1198" i="1"/>
  <c r="R1200" i="1" l="1"/>
  <c r="Q1200" i="1"/>
  <c r="P1200" i="1"/>
  <c r="O1199" i="1"/>
  <c r="R1201" i="1" l="1"/>
  <c r="Q1201" i="1"/>
  <c r="P1201" i="1"/>
  <c r="O1200" i="1"/>
  <c r="R1202" i="1" l="1"/>
  <c r="Q1202" i="1"/>
  <c r="P1202" i="1"/>
  <c r="O1201" i="1"/>
  <c r="R1203" i="1" l="1"/>
  <c r="Q1203" i="1"/>
  <c r="P1203" i="1"/>
  <c r="O1202" i="1"/>
  <c r="R1204" i="1" l="1"/>
  <c r="Q1204" i="1"/>
  <c r="P1204" i="1"/>
  <c r="O1203" i="1"/>
  <c r="R1205" i="1" l="1"/>
  <c r="Q1205" i="1"/>
  <c r="P1205" i="1"/>
  <c r="O1204" i="1"/>
  <c r="R1206" i="1" l="1"/>
  <c r="Q1206" i="1"/>
  <c r="P1206" i="1"/>
  <c r="O1205" i="1"/>
  <c r="R1207" i="1" l="1"/>
  <c r="Q1207" i="1"/>
  <c r="P1207" i="1"/>
  <c r="O1206" i="1"/>
  <c r="R1208" i="1" l="1"/>
  <c r="Q1208" i="1"/>
  <c r="P1208" i="1"/>
  <c r="O1207" i="1"/>
  <c r="R1209" i="1" l="1"/>
  <c r="Q1209" i="1"/>
  <c r="P1209" i="1"/>
  <c r="O1208" i="1"/>
  <c r="R1210" i="1" l="1"/>
  <c r="Q1210" i="1"/>
  <c r="P1210" i="1"/>
  <c r="O1209" i="1"/>
  <c r="R1211" i="1" l="1"/>
  <c r="Q1211" i="1"/>
  <c r="P1211" i="1"/>
  <c r="O1210" i="1"/>
  <c r="R1212" i="1" l="1"/>
  <c r="Q1212" i="1"/>
  <c r="P1212" i="1"/>
  <c r="O1211" i="1"/>
  <c r="R1213" i="1" l="1"/>
  <c r="Q1213" i="1"/>
  <c r="P1213" i="1"/>
  <c r="O1212" i="1"/>
  <c r="R1214" i="1" l="1"/>
  <c r="Q1214" i="1"/>
  <c r="P1214" i="1"/>
  <c r="O1213" i="1"/>
  <c r="R1215" i="1" l="1"/>
  <c r="Q1215" i="1"/>
  <c r="P1215" i="1"/>
  <c r="O1214" i="1"/>
  <c r="R1216" i="1" l="1"/>
  <c r="Q1216" i="1"/>
  <c r="P1216" i="1"/>
  <c r="O1215" i="1"/>
  <c r="R1217" i="1" l="1"/>
  <c r="Q1217" i="1"/>
  <c r="P1217" i="1"/>
  <c r="O1216" i="1"/>
  <c r="R1218" i="1" l="1"/>
  <c r="Q1218" i="1"/>
  <c r="P1218" i="1"/>
  <c r="O1217" i="1"/>
  <c r="R1219" i="1" l="1"/>
  <c r="Q1219" i="1"/>
  <c r="P1219" i="1"/>
  <c r="O1218" i="1"/>
  <c r="R1220" i="1" l="1"/>
  <c r="Q1220" i="1"/>
  <c r="P1220" i="1"/>
  <c r="O1219" i="1"/>
  <c r="R1221" i="1" l="1"/>
  <c r="Q1221" i="1"/>
  <c r="P1221" i="1"/>
  <c r="O1220" i="1"/>
  <c r="R1222" i="1" l="1"/>
  <c r="Q1222" i="1"/>
  <c r="P1222" i="1"/>
  <c r="O1221" i="1"/>
  <c r="R1223" i="1" l="1"/>
  <c r="Q1223" i="1"/>
  <c r="P1223" i="1"/>
  <c r="O1222" i="1"/>
  <c r="R1224" i="1" l="1"/>
  <c r="Q1224" i="1"/>
  <c r="P1224" i="1"/>
  <c r="O1223" i="1"/>
  <c r="R1225" i="1" l="1"/>
  <c r="Q1225" i="1"/>
  <c r="P1225" i="1"/>
  <c r="O1224" i="1"/>
  <c r="R1226" i="1" l="1"/>
  <c r="Q1226" i="1"/>
  <c r="P1226" i="1"/>
  <c r="O1225" i="1"/>
  <c r="R1227" i="1" l="1"/>
  <c r="Q1227" i="1"/>
  <c r="P1227" i="1"/>
  <c r="O1226" i="1"/>
  <c r="R1228" i="1" l="1"/>
  <c r="Q1228" i="1"/>
  <c r="P1228" i="1"/>
  <c r="O1227" i="1"/>
  <c r="R1229" i="1" l="1"/>
  <c r="Q1229" i="1"/>
  <c r="P1229" i="1"/>
  <c r="O1228" i="1"/>
  <c r="R1230" i="1" l="1"/>
  <c r="Q1230" i="1"/>
  <c r="P1230" i="1"/>
  <c r="O1229" i="1"/>
  <c r="R1231" i="1" l="1"/>
  <c r="Q1231" i="1"/>
  <c r="P1231" i="1"/>
  <c r="O1230" i="1"/>
  <c r="R1232" i="1" l="1"/>
  <c r="Q1232" i="1"/>
  <c r="P1232" i="1"/>
  <c r="O1231" i="1"/>
  <c r="R1233" i="1" l="1"/>
  <c r="Q1233" i="1"/>
  <c r="P1233" i="1"/>
  <c r="O1232" i="1"/>
  <c r="R1234" i="1" l="1"/>
  <c r="Q1234" i="1"/>
  <c r="P1234" i="1"/>
  <c r="O1233" i="1"/>
  <c r="R1235" i="1" l="1"/>
  <c r="Q1235" i="1"/>
  <c r="P1235" i="1"/>
  <c r="O1234" i="1"/>
  <c r="R1236" i="1" l="1"/>
  <c r="Q1236" i="1"/>
  <c r="P1236" i="1"/>
  <c r="O1235" i="1"/>
  <c r="R1237" i="1" l="1"/>
  <c r="Q1237" i="1"/>
  <c r="P1237" i="1"/>
  <c r="O1236" i="1"/>
  <c r="R1238" i="1" l="1"/>
  <c r="Q1238" i="1"/>
  <c r="P1238" i="1"/>
  <c r="O1237" i="1"/>
  <c r="R1239" i="1" l="1"/>
  <c r="Q1239" i="1"/>
  <c r="P1239" i="1"/>
  <c r="O1238" i="1"/>
  <c r="R1240" i="1" l="1"/>
  <c r="Q1240" i="1"/>
  <c r="P1240" i="1"/>
  <c r="O1239" i="1"/>
  <c r="R1241" i="1" l="1"/>
  <c r="Q1241" i="1"/>
  <c r="P1241" i="1"/>
  <c r="O1240" i="1"/>
  <c r="R1242" i="1" l="1"/>
  <c r="Q1242" i="1"/>
  <c r="P1242" i="1"/>
  <c r="O1241" i="1"/>
  <c r="R1243" i="1" l="1"/>
  <c r="Q1243" i="1"/>
  <c r="P1243" i="1"/>
  <c r="O1242" i="1"/>
  <c r="R1244" i="1" l="1"/>
  <c r="Q1244" i="1"/>
  <c r="P1244" i="1"/>
  <c r="O1243" i="1"/>
  <c r="R1245" i="1" l="1"/>
  <c r="Q1245" i="1"/>
  <c r="P1245" i="1"/>
  <c r="O1244" i="1"/>
  <c r="R1246" i="1" l="1"/>
  <c r="Q1246" i="1"/>
  <c r="P1246" i="1"/>
  <c r="O1245" i="1"/>
  <c r="R1247" i="1" l="1"/>
  <c r="Q1247" i="1"/>
  <c r="P1247" i="1"/>
  <c r="O1246" i="1"/>
  <c r="R1248" i="1" l="1"/>
  <c r="Q1248" i="1"/>
  <c r="P1248" i="1"/>
  <c r="O1247" i="1"/>
  <c r="R1249" i="1" l="1"/>
  <c r="Q1249" i="1"/>
  <c r="P1249" i="1"/>
  <c r="O1248" i="1"/>
  <c r="R1250" i="1" l="1"/>
  <c r="Q1250" i="1"/>
  <c r="P1250" i="1"/>
  <c r="O1249" i="1"/>
  <c r="R1251" i="1" l="1"/>
  <c r="Q1251" i="1"/>
  <c r="P1251" i="1"/>
  <c r="O1250" i="1"/>
  <c r="R1252" i="1" l="1"/>
  <c r="Q1252" i="1"/>
  <c r="P1252" i="1"/>
  <c r="O1251" i="1"/>
  <c r="R1253" i="1" l="1"/>
  <c r="Q1253" i="1"/>
  <c r="P1253" i="1"/>
  <c r="O1252" i="1"/>
  <c r="R1254" i="1" l="1"/>
  <c r="Q1254" i="1"/>
  <c r="P1254" i="1"/>
  <c r="O1253" i="1"/>
  <c r="R1255" i="1" l="1"/>
  <c r="Q1255" i="1"/>
  <c r="P1255" i="1"/>
  <c r="O1254" i="1"/>
  <c r="X3" i="1" l="1"/>
  <c r="R1256" i="1"/>
  <c r="Q1256" i="1"/>
  <c r="P1256" i="1"/>
  <c r="O1255" i="1"/>
  <c r="W3" i="1" l="1"/>
  <c r="V3" i="1"/>
  <c r="O1256" i="1"/>
  <c r="U3" i="1" l="1"/>
</calcChain>
</file>

<file path=xl/sharedStrings.xml><?xml version="1.0" encoding="utf-8"?>
<sst xmlns="http://schemas.openxmlformats.org/spreadsheetml/2006/main" count="39" uniqueCount="32">
  <si>
    <t>Date</t>
  </si>
  <si>
    <t>SPY Close</t>
  </si>
  <si>
    <t>APPL Close</t>
  </si>
  <si>
    <t>MSFT Close</t>
  </si>
  <si>
    <t>JPM Close</t>
  </si>
  <si>
    <t>SPY Return</t>
  </si>
  <si>
    <t>APPL Return</t>
  </si>
  <si>
    <t>MSFT Return</t>
  </si>
  <si>
    <t>JPM Return</t>
  </si>
  <si>
    <t>NA</t>
  </si>
  <si>
    <t>JPM Average Return</t>
  </si>
  <si>
    <t>MSFT Average Return</t>
  </si>
  <si>
    <t>APPL Average Return</t>
  </si>
  <si>
    <t>SPY Average Return</t>
  </si>
  <si>
    <t xml:space="preserve">SPY Volatiltiy </t>
  </si>
  <si>
    <t xml:space="preserve">APPL Volatility </t>
  </si>
  <si>
    <t>MSFT Volatility</t>
  </si>
  <si>
    <t>JPM Volatility</t>
  </si>
  <si>
    <t>SPY Cumulative Return</t>
  </si>
  <si>
    <t>APPL Cumulative Return</t>
  </si>
  <si>
    <t>MSFT Cumulative Return</t>
  </si>
  <si>
    <t>JPM Cumulative Return</t>
  </si>
  <si>
    <t>Metric</t>
  </si>
  <si>
    <t>SPY</t>
  </si>
  <si>
    <t>APPL</t>
  </si>
  <si>
    <t>MSFT</t>
  </si>
  <si>
    <t>JPM</t>
  </si>
  <si>
    <t>Total Return</t>
  </si>
  <si>
    <t>Average Daily return</t>
  </si>
  <si>
    <t xml:space="preserve">Volatility </t>
  </si>
  <si>
    <t>CAGR</t>
  </si>
  <si>
    <t>Risk Adjusted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</si>
</sst>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\ h:mm:ss"/>
    <numFmt numFmtId="168" formatCode="0.000%"/>
    <numFmt numFmtId="179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164" fontId="3" fillId="0" borderId="0" xfId="0" applyNumberFormat="1" applyFont="1"/>
    <xf numFmtId="0" fontId="2" fillId="0" borderId="0" xfId="0" applyFont="1"/>
    <xf numFmtId="0" fontId="2" fillId="0" borderId="1" xfId="0" applyFont="1" applyBorder="1"/>
    <xf numFmtId="168" fontId="0" fillId="0" borderId="1" xfId="1" applyNumberFormat="1" applyFont="1" applyBorder="1"/>
    <xf numFmtId="168" fontId="0" fillId="0" borderId="1" xfId="0" applyNumberFormat="1" applyBorder="1"/>
    <xf numFmtId="0" fontId="0" fillId="0" borderId="0" xfId="0" applyFont="1" applyFill="1" applyBorder="1"/>
    <xf numFmtId="179" fontId="0" fillId="0" borderId="0" xfId="0" applyNumberForma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 Growth (SPY vs</a:t>
            </a:r>
            <a:r>
              <a:rPr lang="en-US" baseline="0"/>
              <a:t> APPL vs MSFT vs JPM)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SPY Cumulative Return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Sheet1!$A$2:$A$1256</c:f>
              <c:numCache>
                <c:formatCode>m/d/yyyy\ h:mm:ss</c:formatCode>
                <c:ptCount val="1255"/>
                <c:pt idx="0">
                  <c:v>44228.666666666599</c:v>
                </c:pt>
                <c:pt idx="1">
                  <c:v>44229.666666666599</c:v>
                </c:pt>
                <c:pt idx="2">
                  <c:v>44230.666666666599</c:v>
                </c:pt>
                <c:pt idx="3">
                  <c:v>44231.666666666599</c:v>
                </c:pt>
                <c:pt idx="4">
                  <c:v>44232.666666666599</c:v>
                </c:pt>
                <c:pt idx="5">
                  <c:v>44235.666666666599</c:v>
                </c:pt>
                <c:pt idx="6">
                  <c:v>44236.666666666599</c:v>
                </c:pt>
                <c:pt idx="7">
                  <c:v>44237.666666666599</c:v>
                </c:pt>
                <c:pt idx="8">
                  <c:v>44238.666666666599</c:v>
                </c:pt>
                <c:pt idx="9">
                  <c:v>44239.666666666599</c:v>
                </c:pt>
                <c:pt idx="10">
                  <c:v>44243.666666666599</c:v>
                </c:pt>
                <c:pt idx="11">
                  <c:v>44244.666666666599</c:v>
                </c:pt>
                <c:pt idx="12">
                  <c:v>44245.666666666599</c:v>
                </c:pt>
                <c:pt idx="13">
                  <c:v>44246.666666666599</c:v>
                </c:pt>
                <c:pt idx="14">
                  <c:v>44249.666666666599</c:v>
                </c:pt>
                <c:pt idx="15">
                  <c:v>44250.666666666599</c:v>
                </c:pt>
                <c:pt idx="16">
                  <c:v>44251.666666666599</c:v>
                </c:pt>
                <c:pt idx="17">
                  <c:v>44252.666666666599</c:v>
                </c:pt>
                <c:pt idx="18">
                  <c:v>44253.666666666599</c:v>
                </c:pt>
                <c:pt idx="19">
                  <c:v>44256.666666666599</c:v>
                </c:pt>
                <c:pt idx="20">
                  <c:v>44257.666666666599</c:v>
                </c:pt>
                <c:pt idx="21">
                  <c:v>44258.666666666599</c:v>
                </c:pt>
                <c:pt idx="22">
                  <c:v>44259.666666666599</c:v>
                </c:pt>
                <c:pt idx="23">
                  <c:v>44260.666666666599</c:v>
                </c:pt>
                <c:pt idx="24">
                  <c:v>44263.666666666599</c:v>
                </c:pt>
                <c:pt idx="25">
                  <c:v>44264.666666666599</c:v>
                </c:pt>
                <c:pt idx="26">
                  <c:v>44265.666666666599</c:v>
                </c:pt>
                <c:pt idx="27">
                  <c:v>44266.666666666599</c:v>
                </c:pt>
                <c:pt idx="28">
                  <c:v>44267.666666666599</c:v>
                </c:pt>
                <c:pt idx="29">
                  <c:v>44270.666666666599</c:v>
                </c:pt>
                <c:pt idx="30">
                  <c:v>44271.666666666599</c:v>
                </c:pt>
                <c:pt idx="31">
                  <c:v>44272.666666666599</c:v>
                </c:pt>
                <c:pt idx="32">
                  <c:v>44273.666666666599</c:v>
                </c:pt>
                <c:pt idx="33">
                  <c:v>44274.666666666599</c:v>
                </c:pt>
                <c:pt idx="34">
                  <c:v>44277.666666666599</c:v>
                </c:pt>
                <c:pt idx="35">
                  <c:v>44278.666666666599</c:v>
                </c:pt>
                <c:pt idx="36">
                  <c:v>44279.666666666599</c:v>
                </c:pt>
                <c:pt idx="37">
                  <c:v>44280.666666666599</c:v>
                </c:pt>
                <c:pt idx="38">
                  <c:v>44281.666666666599</c:v>
                </c:pt>
                <c:pt idx="39">
                  <c:v>44284.666666666599</c:v>
                </c:pt>
                <c:pt idx="40">
                  <c:v>44285.666666666599</c:v>
                </c:pt>
                <c:pt idx="41">
                  <c:v>44286.666666666599</c:v>
                </c:pt>
                <c:pt idx="42">
                  <c:v>44287.666666666599</c:v>
                </c:pt>
                <c:pt idx="43">
                  <c:v>44291.666666666599</c:v>
                </c:pt>
                <c:pt idx="44">
                  <c:v>44292.666666666599</c:v>
                </c:pt>
                <c:pt idx="45">
                  <c:v>44293.666666666599</c:v>
                </c:pt>
                <c:pt idx="46">
                  <c:v>44294.666666666599</c:v>
                </c:pt>
                <c:pt idx="47">
                  <c:v>44295.666666666599</c:v>
                </c:pt>
                <c:pt idx="48">
                  <c:v>44298.666666666599</c:v>
                </c:pt>
                <c:pt idx="49">
                  <c:v>44299.666666666599</c:v>
                </c:pt>
                <c:pt idx="50">
                  <c:v>44300.666666666599</c:v>
                </c:pt>
                <c:pt idx="51">
                  <c:v>44301.666666666599</c:v>
                </c:pt>
                <c:pt idx="52">
                  <c:v>44302.666666666599</c:v>
                </c:pt>
                <c:pt idx="53">
                  <c:v>44305.666666666599</c:v>
                </c:pt>
                <c:pt idx="54">
                  <c:v>44306.666666666599</c:v>
                </c:pt>
                <c:pt idx="55">
                  <c:v>44307.666666666599</c:v>
                </c:pt>
                <c:pt idx="56">
                  <c:v>44308.666666666599</c:v>
                </c:pt>
                <c:pt idx="57">
                  <c:v>44309.666666666599</c:v>
                </c:pt>
                <c:pt idx="58">
                  <c:v>44312.666666666599</c:v>
                </c:pt>
                <c:pt idx="59">
                  <c:v>44313.666666666599</c:v>
                </c:pt>
                <c:pt idx="60">
                  <c:v>44314.666666666599</c:v>
                </c:pt>
                <c:pt idx="61">
                  <c:v>44315.666666666599</c:v>
                </c:pt>
                <c:pt idx="62">
                  <c:v>44316.666666666599</c:v>
                </c:pt>
                <c:pt idx="63">
                  <c:v>44319.666666666599</c:v>
                </c:pt>
                <c:pt idx="64">
                  <c:v>44320.666666666599</c:v>
                </c:pt>
                <c:pt idx="65">
                  <c:v>44321.666666666599</c:v>
                </c:pt>
                <c:pt idx="66">
                  <c:v>44322.666666666599</c:v>
                </c:pt>
                <c:pt idx="67">
                  <c:v>44323.666666666599</c:v>
                </c:pt>
                <c:pt idx="68">
                  <c:v>44326.666666666599</c:v>
                </c:pt>
                <c:pt idx="69">
                  <c:v>44327.666666666599</c:v>
                </c:pt>
                <c:pt idx="70">
                  <c:v>44328.666666666599</c:v>
                </c:pt>
                <c:pt idx="71">
                  <c:v>44329.666666666599</c:v>
                </c:pt>
                <c:pt idx="72">
                  <c:v>44330.666666666599</c:v>
                </c:pt>
                <c:pt idx="73">
                  <c:v>44333.666666666599</c:v>
                </c:pt>
                <c:pt idx="74">
                  <c:v>44334.666666666599</c:v>
                </c:pt>
                <c:pt idx="75">
                  <c:v>44335.666666666599</c:v>
                </c:pt>
                <c:pt idx="76">
                  <c:v>44336.666666666599</c:v>
                </c:pt>
                <c:pt idx="77">
                  <c:v>44337.666666666599</c:v>
                </c:pt>
                <c:pt idx="78">
                  <c:v>44340.666666666599</c:v>
                </c:pt>
                <c:pt idx="79">
                  <c:v>44341.666666666599</c:v>
                </c:pt>
                <c:pt idx="80">
                  <c:v>44342.666666666599</c:v>
                </c:pt>
                <c:pt idx="81">
                  <c:v>44343.666666666599</c:v>
                </c:pt>
                <c:pt idx="82">
                  <c:v>44344.666666666599</c:v>
                </c:pt>
                <c:pt idx="83">
                  <c:v>44348.666666666599</c:v>
                </c:pt>
                <c:pt idx="84">
                  <c:v>44349.666666666599</c:v>
                </c:pt>
                <c:pt idx="85">
                  <c:v>44350.666666666599</c:v>
                </c:pt>
                <c:pt idx="86">
                  <c:v>44351.666666666599</c:v>
                </c:pt>
                <c:pt idx="87">
                  <c:v>44354.666666666599</c:v>
                </c:pt>
                <c:pt idx="88">
                  <c:v>44355.666666666599</c:v>
                </c:pt>
                <c:pt idx="89">
                  <c:v>44356.666666666599</c:v>
                </c:pt>
                <c:pt idx="90">
                  <c:v>44357.666666666599</c:v>
                </c:pt>
                <c:pt idx="91">
                  <c:v>44358.666666666599</c:v>
                </c:pt>
                <c:pt idx="92">
                  <c:v>44361.666666666599</c:v>
                </c:pt>
                <c:pt idx="93">
                  <c:v>44362.666666666599</c:v>
                </c:pt>
                <c:pt idx="94">
                  <c:v>44363.666666666599</c:v>
                </c:pt>
                <c:pt idx="95">
                  <c:v>44364.666666666599</c:v>
                </c:pt>
                <c:pt idx="96">
                  <c:v>44365.666666666599</c:v>
                </c:pt>
                <c:pt idx="97">
                  <c:v>44368.666666666599</c:v>
                </c:pt>
                <c:pt idx="98">
                  <c:v>44369.666666666599</c:v>
                </c:pt>
                <c:pt idx="99">
                  <c:v>44370.666666666599</c:v>
                </c:pt>
                <c:pt idx="100">
                  <c:v>44371.666666666599</c:v>
                </c:pt>
                <c:pt idx="101">
                  <c:v>44372.666666666599</c:v>
                </c:pt>
                <c:pt idx="102">
                  <c:v>44375.666666666599</c:v>
                </c:pt>
                <c:pt idx="103">
                  <c:v>44376.666666666599</c:v>
                </c:pt>
                <c:pt idx="104">
                  <c:v>44377.666666666599</c:v>
                </c:pt>
                <c:pt idx="105">
                  <c:v>44378.666666666599</c:v>
                </c:pt>
                <c:pt idx="106">
                  <c:v>44379.666666666599</c:v>
                </c:pt>
                <c:pt idx="107">
                  <c:v>44383.666666666599</c:v>
                </c:pt>
                <c:pt idx="108">
                  <c:v>44384.666666666599</c:v>
                </c:pt>
                <c:pt idx="109">
                  <c:v>44385.666666666599</c:v>
                </c:pt>
                <c:pt idx="110">
                  <c:v>44386.666666666599</c:v>
                </c:pt>
                <c:pt idx="111">
                  <c:v>44389.666666666599</c:v>
                </c:pt>
                <c:pt idx="112">
                  <c:v>44390.666666666599</c:v>
                </c:pt>
                <c:pt idx="113">
                  <c:v>44391.666666666599</c:v>
                </c:pt>
                <c:pt idx="114">
                  <c:v>44392.666666666599</c:v>
                </c:pt>
                <c:pt idx="115">
                  <c:v>44393.666666666599</c:v>
                </c:pt>
                <c:pt idx="116">
                  <c:v>44396.666666666599</c:v>
                </c:pt>
                <c:pt idx="117">
                  <c:v>44397.666666666599</c:v>
                </c:pt>
                <c:pt idx="118">
                  <c:v>44398.666666666599</c:v>
                </c:pt>
                <c:pt idx="119">
                  <c:v>44399.666666666599</c:v>
                </c:pt>
                <c:pt idx="120">
                  <c:v>44400.666666666599</c:v>
                </c:pt>
                <c:pt idx="121">
                  <c:v>44403.666666666599</c:v>
                </c:pt>
                <c:pt idx="122">
                  <c:v>44404.666666666599</c:v>
                </c:pt>
                <c:pt idx="123">
                  <c:v>44405.666666666599</c:v>
                </c:pt>
                <c:pt idx="124">
                  <c:v>44406.666666666599</c:v>
                </c:pt>
                <c:pt idx="125">
                  <c:v>44407.666666666599</c:v>
                </c:pt>
                <c:pt idx="126">
                  <c:v>44410.666666666599</c:v>
                </c:pt>
                <c:pt idx="127">
                  <c:v>44411.666666666599</c:v>
                </c:pt>
                <c:pt idx="128">
                  <c:v>44412.666666666599</c:v>
                </c:pt>
                <c:pt idx="129">
                  <c:v>44413.666666666599</c:v>
                </c:pt>
                <c:pt idx="130">
                  <c:v>44414.666666666599</c:v>
                </c:pt>
                <c:pt idx="131">
                  <c:v>44417.666666666599</c:v>
                </c:pt>
                <c:pt idx="132">
                  <c:v>44418.666666666599</c:v>
                </c:pt>
                <c:pt idx="133">
                  <c:v>44419.666666666599</c:v>
                </c:pt>
                <c:pt idx="134">
                  <c:v>44420.666666666599</c:v>
                </c:pt>
                <c:pt idx="135">
                  <c:v>44421.666666666599</c:v>
                </c:pt>
                <c:pt idx="136">
                  <c:v>44424.666666666599</c:v>
                </c:pt>
                <c:pt idx="137">
                  <c:v>44425.666666666599</c:v>
                </c:pt>
                <c:pt idx="138">
                  <c:v>44426.666666666599</c:v>
                </c:pt>
                <c:pt idx="139">
                  <c:v>44427.666666666599</c:v>
                </c:pt>
                <c:pt idx="140">
                  <c:v>44428.666666666599</c:v>
                </c:pt>
                <c:pt idx="141">
                  <c:v>44431.666666666599</c:v>
                </c:pt>
                <c:pt idx="142">
                  <c:v>44432.666666666599</c:v>
                </c:pt>
                <c:pt idx="143">
                  <c:v>44433.666666666599</c:v>
                </c:pt>
                <c:pt idx="144">
                  <c:v>44434.666666666599</c:v>
                </c:pt>
                <c:pt idx="145">
                  <c:v>44435.666666666599</c:v>
                </c:pt>
                <c:pt idx="146">
                  <c:v>44438.666666666599</c:v>
                </c:pt>
                <c:pt idx="147">
                  <c:v>44439.666666666599</c:v>
                </c:pt>
                <c:pt idx="148">
                  <c:v>44440.666666666599</c:v>
                </c:pt>
                <c:pt idx="149">
                  <c:v>44441.666666666599</c:v>
                </c:pt>
                <c:pt idx="150">
                  <c:v>44442.666666666599</c:v>
                </c:pt>
                <c:pt idx="151">
                  <c:v>44446.666666666599</c:v>
                </c:pt>
                <c:pt idx="152">
                  <c:v>44447.666666666599</c:v>
                </c:pt>
                <c:pt idx="153">
                  <c:v>44448.666666666599</c:v>
                </c:pt>
                <c:pt idx="154">
                  <c:v>44449.666666666599</c:v>
                </c:pt>
                <c:pt idx="155">
                  <c:v>44452.666666666599</c:v>
                </c:pt>
                <c:pt idx="156">
                  <c:v>44453.666666666599</c:v>
                </c:pt>
                <c:pt idx="157">
                  <c:v>44454.666666666599</c:v>
                </c:pt>
                <c:pt idx="158">
                  <c:v>44455.666666666599</c:v>
                </c:pt>
                <c:pt idx="159">
                  <c:v>44456.666666666599</c:v>
                </c:pt>
                <c:pt idx="160">
                  <c:v>44459.666666666599</c:v>
                </c:pt>
                <c:pt idx="161">
                  <c:v>44460.666666666599</c:v>
                </c:pt>
                <c:pt idx="162">
                  <c:v>44461.666666666599</c:v>
                </c:pt>
                <c:pt idx="163">
                  <c:v>44462.666666666599</c:v>
                </c:pt>
                <c:pt idx="164">
                  <c:v>44463.666666666599</c:v>
                </c:pt>
                <c:pt idx="165">
                  <c:v>44466.666666666599</c:v>
                </c:pt>
                <c:pt idx="166">
                  <c:v>44467.666666666599</c:v>
                </c:pt>
                <c:pt idx="167">
                  <c:v>44468.666666666599</c:v>
                </c:pt>
                <c:pt idx="168">
                  <c:v>44469.666666666599</c:v>
                </c:pt>
                <c:pt idx="169">
                  <c:v>44470.666666666599</c:v>
                </c:pt>
                <c:pt idx="170">
                  <c:v>44473.666666666599</c:v>
                </c:pt>
                <c:pt idx="171">
                  <c:v>44474.666666666599</c:v>
                </c:pt>
                <c:pt idx="172">
                  <c:v>44475.666666666599</c:v>
                </c:pt>
                <c:pt idx="173">
                  <c:v>44476.666666666599</c:v>
                </c:pt>
                <c:pt idx="174">
                  <c:v>44477.666666666599</c:v>
                </c:pt>
                <c:pt idx="175">
                  <c:v>44480.666666666599</c:v>
                </c:pt>
                <c:pt idx="176">
                  <c:v>44481.666666666599</c:v>
                </c:pt>
                <c:pt idx="177">
                  <c:v>44482.666666666599</c:v>
                </c:pt>
                <c:pt idx="178">
                  <c:v>44483.666666666599</c:v>
                </c:pt>
                <c:pt idx="179">
                  <c:v>44484.666666666599</c:v>
                </c:pt>
                <c:pt idx="180">
                  <c:v>44487.666666666599</c:v>
                </c:pt>
                <c:pt idx="181">
                  <c:v>44488.666666666599</c:v>
                </c:pt>
                <c:pt idx="182">
                  <c:v>44489.666666666599</c:v>
                </c:pt>
                <c:pt idx="183">
                  <c:v>44490.666666666599</c:v>
                </c:pt>
                <c:pt idx="184">
                  <c:v>44491.666666666599</c:v>
                </c:pt>
                <c:pt idx="185">
                  <c:v>44494.666666666599</c:v>
                </c:pt>
                <c:pt idx="186">
                  <c:v>44495.666666666599</c:v>
                </c:pt>
                <c:pt idx="187">
                  <c:v>44496.666666666599</c:v>
                </c:pt>
                <c:pt idx="188">
                  <c:v>44497.666666666599</c:v>
                </c:pt>
                <c:pt idx="189">
                  <c:v>44498.666666666599</c:v>
                </c:pt>
                <c:pt idx="190">
                  <c:v>44501.666666666599</c:v>
                </c:pt>
                <c:pt idx="191">
                  <c:v>44502.666666666599</c:v>
                </c:pt>
                <c:pt idx="192">
                  <c:v>44503.666666666599</c:v>
                </c:pt>
                <c:pt idx="193">
                  <c:v>44504.666666666599</c:v>
                </c:pt>
                <c:pt idx="194">
                  <c:v>44505.666666666599</c:v>
                </c:pt>
                <c:pt idx="195">
                  <c:v>44508.666666666599</c:v>
                </c:pt>
                <c:pt idx="196">
                  <c:v>44509.666666666599</c:v>
                </c:pt>
                <c:pt idx="197">
                  <c:v>44510.666666666599</c:v>
                </c:pt>
                <c:pt idx="198">
                  <c:v>44511.666666666599</c:v>
                </c:pt>
                <c:pt idx="199">
                  <c:v>44512.666666666599</c:v>
                </c:pt>
                <c:pt idx="200">
                  <c:v>44515.666666666599</c:v>
                </c:pt>
                <c:pt idx="201">
                  <c:v>44516.666666666599</c:v>
                </c:pt>
                <c:pt idx="202">
                  <c:v>44517.666666666599</c:v>
                </c:pt>
                <c:pt idx="203">
                  <c:v>44518.666666666599</c:v>
                </c:pt>
                <c:pt idx="204">
                  <c:v>44519.666666666599</c:v>
                </c:pt>
                <c:pt idx="205">
                  <c:v>44522.666666666599</c:v>
                </c:pt>
                <c:pt idx="206">
                  <c:v>44523.666666666599</c:v>
                </c:pt>
                <c:pt idx="207">
                  <c:v>44524.666666666599</c:v>
                </c:pt>
                <c:pt idx="208">
                  <c:v>44526.552083333299</c:v>
                </c:pt>
                <c:pt idx="209">
                  <c:v>44529.666666666599</c:v>
                </c:pt>
                <c:pt idx="210">
                  <c:v>44530.666666666599</c:v>
                </c:pt>
                <c:pt idx="211">
                  <c:v>44531.666666666599</c:v>
                </c:pt>
                <c:pt idx="212">
                  <c:v>44532.666666666599</c:v>
                </c:pt>
                <c:pt idx="213">
                  <c:v>44533.666666666599</c:v>
                </c:pt>
                <c:pt idx="214">
                  <c:v>44536.666666666599</c:v>
                </c:pt>
                <c:pt idx="215">
                  <c:v>44537.666666666599</c:v>
                </c:pt>
                <c:pt idx="216">
                  <c:v>44538.666666666599</c:v>
                </c:pt>
                <c:pt idx="217">
                  <c:v>44539.666666666599</c:v>
                </c:pt>
                <c:pt idx="218">
                  <c:v>44540.666666666599</c:v>
                </c:pt>
                <c:pt idx="219">
                  <c:v>44543.666666666599</c:v>
                </c:pt>
                <c:pt idx="220">
                  <c:v>44544.666666666599</c:v>
                </c:pt>
                <c:pt idx="221">
                  <c:v>44545.666666666599</c:v>
                </c:pt>
                <c:pt idx="222">
                  <c:v>44546.666666666599</c:v>
                </c:pt>
                <c:pt idx="223">
                  <c:v>44547.666666666599</c:v>
                </c:pt>
                <c:pt idx="224">
                  <c:v>44550.666666666599</c:v>
                </c:pt>
                <c:pt idx="225">
                  <c:v>44551.666666666599</c:v>
                </c:pt>
                <c:pt idx="226">
                  <c:v>44552.666666666599</c:v>
                </c:pt>
                <c:pt idx="227">
                  <c:v>44553.666666666599</c:v>
                </c:pt>
                <c:pt idx="228">
                  <c:v>44557.666666666599</c:v>
                </c:pt>
                <c:pt idx="229">
                  <c:v>44558.666666666599</c:v>
                </c:pt>
                <c:pt idx="230">
                  <c:v>44559.666666666599</c:v>
                </c:pt>
                <c:pt idx="231">
                  <c:v>44560.666666666599</c:v>
                </c:pt>
                <c:pt idx="232">
                  <c:v>44561.666666666599</c:v>
                </c:pt>
                <c:pt idx="233">
                  <c:v>44564.666666666599</c:v>
                </c:pt>
                <c:pt idx="234">
                  <c:v>44565.666666666599</c:v>
                </c:pt>
                <c:pt idx="235">
                  <c:v>44566.666666666599</c:v>
                </c:pt>
                <c:pt idx="236">
                  <c:v>44567.666666666599</c:v>
                </c:pt>
                <c:pt idx="237">
                  <c:v>44568.666666666599</c:v>
                </c:pt>
                <c:pt idx="238">
                  <c:v>44571.666666666599</c:v>
                </c:pt>
                <c:pt idx="239">
                  <c:v>44572.666666666599</c:v>
                </c:pt>
                <c:pt idx="240">
                  <c:v>44573.666666666599</c:v>
                </c:pt>
                <c:pt idx="241">
                  <c:v>44574.666666666599</c:v>
                </c:pt>
                <c:pt idx="242">
                  <c:v>44575.666666666599</c:v>
                </c:pt>
                <c:pt idx="243">
                  <c:v>44579.666666666599</c:v>
                </c:pt>
                <c:pt idx="244">
                  <c:v>44580.666666666599</c:v>
                </c:pt>
                <c:pt idx="245">
                  <c:v>44581.666666666599</c:v>
                </c:pt>
                <c:pt idx="246">
                  <c:v>44582.666666666599</c:v>
                </c:pt>
                <c:pt idx="247">
                  <c:v>44585.666666666599</c:v>
                </c:pt>
                <c:pt idx="248">
                  <c:v>44586.666666666599</c:v>
                </c:pt>
                <c:pt idx="249">
                  <c:v>44587.666666666599</c:v>
                </c:pt>
                <c:pt idx="250">
                  <c:v>44588.666666666599</c:v>
                </c:pt>
                <c:pt idx="251">
                  <c:v>44589.666666666599</c:v>
                </c:pt>
                <c:pt idx="252">
                  <c:v>44592.666666666599</c:v>
                </c:pt>
                <c:pt idx="253">
                  <c:v>44593.666666666599</c:v>
                </c:pt>
                <c:pt idx="254">
                  <c:v>44594.666666666599</c:v>
                </c:pt>
                <c:pt idx="255">
                  <c:v>44595.666666666599</c:v>
                </c:pt>
                <c:pt idx="256">
                  <c:v>44596.666666666599</c:v>
                </c:pt>
                <c:pt idx="257">
                  <c:v>44599.666666666599</c:v>
                </c:pt>
                <c:pt idx="258">
                  <c:v>44600.666666666599</c:v>
                </c:pt>
                <c:pt idx="259">
                  <c:v>44601.666666666599</c:v>
                </c:pt>
                <c:pt idx="260">
                  <c:v>44602.666666666599</c:v>
                </c:pt>
                <c:pt idx="261">
                  <c:v>44603.666666666599</c:v>
                </c:pt>
                <c:pt idx="262">
                  <c:v>44606.666666666599</c:v>
                </c:pt>
                <c:pt idx="263">
                  <c:v>44607.666666666599</c:v>
                </c:pt>
                <c:pt idx="264">
                  <c:v>44608.666666666599</c:v>
                </c:pt>
                <c:pt idx="265">
                  <c:v>44609.666666666599</c:v>
                </c:pt>
                <c:pt idx="266">
                  <c:v>44610.666666666599</c:v>
                </c:pt>
                <c:pt idx="267">
                  <c:v>44614.666666666599</c:v>
                </c:pt>
                <c:pt idx="268">
                  <c:v>44615.666666666599</c:v>
                </c:pt>
                <c:pt idx="269">
                  <c:v>44616.666666666599</c:v>
                </c:pt>
                <c:pt idx="270">
                  <c:v>44617.666666666599</c:v>
                </c:pt>
                <c:pt idx="271">
                  <c:v>44620.666666666599</c:v>
                </c:pt>
                <c:pt idx="272">
                  <c:v>44621.666666666599</c:v>
                </c:pt>
                <c:pt idx="273">
                  <c:v>44622.666666666599</c:v>
                </c:pt>
                <c:pt idx="274">
                  <c:v>44623.666666666599</c:v>
                </c:pt>
                <c:pt idx="275">
                  <c:v>44624.666666666599</c:v>
                </c:pt>
                <c:pt idx="276">
                  <c:v>44627.666666666599</c:v>
                </c:pt>
                <c:pt idx="277">
                  <c:v>44628.666666666599</c:v>
                </c:pt>
                <c:pt idx="278">
                  <c:v>44629.666666666599</c:v>
                </c:pt>
                <c:pt idx="279">
                  <c:v>44630.666666666599</c:v>
                </c:pt>
                <c:pt idx="280">
                  <c:v>44631.666666666599</c:v>
                </c:pt>
                <c:pt idx="281">
                  <c:v>44634.666666666599</c:v>
                </c:pt>
                <c:pt idx="282">
                  <c:v>44635.666666666599</c:v>
                </c:pt>
                <c:pt idx="283">
                  <c:v>44636.666666666599</c:v>
                </c:pt>
                <c:pt idx="284">
                  <c:v>44637.666666666599</c:v>
                </c:pt>
                <c:pt idx="285">
                  <c:v>44638.666666666599</c:v>
                </c:pt>
                <c:pt idx="286">
                  <c:v>44641.666666666599</c:v>
                </c:pt>
                <c:pt idx="287">
                  <c:v>44642.666666666599</c:v>
                </c:pt>
                <c:pt idx="288">
                  <c:v>44643.666666666599</c:v>
                </c:pt>
                <c:pt idx="289">
                  <c:v>44644.666666666599</c:v>
                </c:pt>
                <c:pt idx="290">
                  <c:v>44645.666666666599</c:v>
                </c:pt>
                <c:pt idx="291">
                  <c:v>44648.666666666599</c:v>
                </c:pt>
                <c:pt idx="292">
                  <c:v>44649.666666666599</c:v>
                </c:pt>
                <c:pt idx="293">
                  <c:v>44650.666666666599</c:v>
                </c:pt>
                <c:pt idx="294">
                  <c:v>44651.666666666599</c:v>
                </c:pt>
                <c:pt idx="295">
                  <c:v>44652.666666666599</c:v>
                </c:pt>
                <c:pt idx="296">
                  <c:v>44655.666666666599</c:v>
                </c:pt>
                <c:pt idx="297">
                  <c:v>44656.666666666599</c:v>
                </c:pt>
                <c:pt idx="298">
                  <c:v>44657.666666666599</c:v>
                </c:pt>
                <c:pt idx="299">
                  <c:v>44658.666666666599</c:v>
                </c:pt>
                <c:pt idx="300">
                  <c:v>44659.666666666599</c:v>
                </c:pt>
                <c:pt idx="301">
                  <c:v>44662.666666666599</c:v>
                </c:pt>
                <c:pt idx="302">
                  <c:v>44663.666666666599</c:v>
                </c:pt>
                <c:pt idx="303">
                  <c:v>44664.666666666599</c:v>
                </c:pt>
                <c:pt idx="304">
                  <c:v>44665.666666666599</c:v>
                </c:pt>
                <c:pt idx="305">
                  <c:v>44669.666666666599</c:v>
                </c:pt>
                <c:pt idx="306">
                  <c:v>44670.666666666599</c:v>
                </c:pt>
                <c:pt idx="307">
                  <c:v>44671.666666666599</c:v>
                </c:pt>
                <c:pt idx="308">
                  <c:v>44672.666666666599</c:v>
                </c:pt>
                <c:pt idx="309">
                  <c:v>44673.666666666599</c:v>
                </c:pt>
                <c:pt idx="310">
                  <c:v>44676.666666666599</c:v>
                </c:pt>
                <c:pt idx="311">
                  <c:v>44677.666666666599</c:v>
                </c:pt>
                <c:pt idx="312">
                  <c:v>44678.666666666599</c:v>
                </c:pt>
                <c:pt idx="313">
                  <c:v>44679.666666666599</c:v>
                </c:pt>
                <c:pt idx="314">
                  <c:v>44680.666666666599</c:v>
                </c:pt>
                <c:pt idx="315">
                  <c:v>44683.666666666599</c:v>
                </c:pt>
                <c:pt idx="316">
                  <c:v>44684.666666666599</c:v>
                </c:pt>
                <c:pt idx="317">
                  <c:v>44685.666666666599</c:v>
                </c:pt>
                <c:pt idx="318">
                  <c:v>44686.666666666599</c:v>
                </c:pt>
                <c:pt idx="319">
                  <c:v>44687.666666666599</c:v>
                </c:pt>
                <c:pt idx="320">
                  <c:v>44690.666666666599</c:v>
                </c:pt>
                <c:pt idx="321">
                  <c:v>44691.666666666599</c:v>
                </c:pt>
                <c:pt idx="322">
                  <c:v>44692.666666666599</c:v>
                </c:pt>
                <c:pt idx="323">
                  <c:v>44693.666666666599</c:v>
                </c:pt>
                <c:pt idx="324">
                  <c:v>44694.666666666599</c:v>
                </c:pt>
                <c:pt idx="325">
                  <c:v>44697.666666666599</c:v>
                </c:pt>
                <c:pt idx="326">
                  <c:v>44698.666666666599</c:v>
                </c:pt>
                <c:pt idx="327">
                  <c:v>44699.666666666599</c:v>
                </c:pt>
                <c:pt idx="328">
                  <c:v>44700.666666666599</c:v>
                </c:pt>
                <c:pt idx="329">
                  <c:v>44701.666666666599</c:v>
                </c:pt>
                <c:pt idx="330">
                  <c:v>44704.666666666599</c:v>
                </c:pt>
                <c:pt idx="331">
                  <c:v>44705.666666666599</c:v>
                </c:pt>
                <c:pt idx="332">
                  <c:v>44706.666666666599</c:v>
                </c:pt>
                <c:pt idx="333">
                  <c:v>44707.666666666599</c:v>
                </c:pt>
                <c:pt idx="334">
                  <c:v>44708.666666666599</c:v>
                </c:pt>
                <c:pt idx="335">
                  <c:v>44712.666666666599</c:v>
                </c:pt>
                <c:pt idx="336">
                  <c:v>44713.666666666599</c:v>
                </c:pt>
                <c:pt idx="337">
                  <c:v>44714.666666666599</c:v>
                </c:pt>
                <c:pt idx="338">
                  <c:v>44715.666666666599</c:v>
                </c:pt>
                <c:pt idx="339">
                  <c:v>44718.666666666599</c:v>
                </c:pt>
                <c:pt idx="340">
                  <c:v>44719.666666666599</c:v>
                </c:pt>
                <c:pt idx="341">
                  <c:v>44720.666666666599</c:v>
                </c:pt>
                <c:pt idx="342">
                  <c:v>44721.666666666599</c:v>
                </c:pt>
                <c:pt idx="343">
                  <c:v>44722.666666666599</c:v>
                </c:pt>
                <c:pt idx="344">
                  <c:v>44725.666666666599</c:v>
                </c:pt>
                <c:pt idx="345">
                  <c:v>44726.666666666599</c:v>
                </c:pt>
                <c:pt idx="346">
                  <c:v>44727.666666666599</c:v>
                </c:pt>
                <c:pt idx="347">
                  <c:v>44728.666666666599</c:v>
                </c:pt>
                <c:pt idx="348">
                  <c:v>44729.666666666599</c:v>
                </c:pt>
                <c:pt idx="349">
                  <c:v>44733.666666666599</c:v>
                </c:pt>
                <c:pt idx="350">
                  <c:v>44734.666666666599</c:v>
                </c:pt>
                <c:pt idx="351">
                  <c:v>44735.666666666599</c:v>
                </c:pt>
                <c:pt idx="352">
                  <c:v>44736.666666666599</c:v>
                </c:pt>
                <c:pt idx="353">
                  <c:v>44739.666666666599</c:v>
                </c:pt>
                <c:pt idx="354">
                  <c:v>44740.666666666599</c:v>
                </c:pt>
                <c:pt idx="355">
                  <c:v>44741.666666666599</c:v>
                </c:pt>
                <c:pt idx="356">
                  <c:v>44742.666666666599</c:v>
                </c:pt>
                <c:pt idx="357">
                  <c:v>44743.666666666599</c:v>
                </c:pt>
                <c:pt idx="358">
                  <c:v>44747.666666666599</c:v>
                </c:pt>
                <c:pt idx="359">
                  <c:v>44748.666666666599</c:v>
                </c:pt>
                <c:pt idx="360">
                  <c:v>44749.666666666599</c:v>
                </c:pt>
                <c:pt idx="361">
                  <c:v>44750.666666666599</c:v>
                </c:pt>
                <c:pt idx="362">
                  <c:v>44753.666666666599</c:v>
                </c:pt>
                <c:pt idx="363">
                  <c:v>44754.666666666599</c:v>
                </c:pt>
                <c:pt idx="364">
                  <c:v>44755.666666666599</c:v>
                </c:pt>
                <c:pt idx="365">
                  <c:v>44756.666666666599</c:v>
                </c:pt>
                <c:pt idx="366">
                  <c:v>44757.666666666599</c:v>
                </c:pt>
                <c:pt idx="367">
                  <c:v>44760.666666666599</c:v>
                </c:pt>
                <c:pt idx="368">
                  <c:v>44761.666666666599</c:v>
                </c:pt>
                <c:pt idx="369">
                  <c:v>44762.666666666599</c:v>
                </c:pt>
                <c:pt idx="370">
                  <c:v>44763.666666666599</c:v>
                </c:pt>
                <c:pt idx="371">
                  <c:v>44764.666666666599</c:v>
                </c:pt>
                <c:pt idx="372">
                  <c:v>44767.666666666599</c:v>
                </c:pt>
                <c:pt idx="373">
                  <c:v>44768.666666666599</c:v>
                </c:pt>
                <c:pt idx="374">
                  <c:v>44769.666666666599</c:v>
                </c:pt>
                <c:pt idx="375">
                  <c:v>44770.666666666599</c:v>
                </c:pt>
                <c:pt idx="376">
                  <c:v>44771.666666666599</c:v>
                </c:pt>
                <c:pt idx="377">
                  <c:v>44774.666666666599</c:v>
                </c:pt>
                <c:pt idx="378">
                  <c:v>44775.666666666599</c:v>
                </c:pt>
                <c:pt idx="379">
                  <c:v>44776.666666666599</c:v>
                </c:pt>
                <c:pt idx="380">
                  <c:v>44777.666666666599</c:v>
                </c:pt>
                <c:pt idx="381">
                  <c:v>44778.666666666599</c:v>
                </c:pt>
                <c:pt idx="382">
                  <c:v>44781.666666666599</c:v>
                </c:pt>
                <c:pt idx="383">
                  <c:v>44782.666666666599</c:v>
                </c:pt>
                <c:pt idx="384">
                  <c:v>44783.666666666599</c:v>
                </c:pt>
                <c:pt idx="385">
                  <c:v>44784.666666666599</c:v>
                </c:pt>
                <c:pt idx="386">
                  <c:v>44785.666666666599</c:v>
                </c:pt>
                <c:pt idx="387">
                  <c:v>44788.666666666599</c:v>
                </c:pt>
                <c:pt idx="388">
                  <c:v>44789.666666666599</c:v>
                </c:pt>
                <c:pt idx="389">
                  <c:v>44790.666666666599</c:v>
                </c:pt>
                <c:pt idx="390">
                  <c:v>44791.666666666599</c:v>
                </c:pt>
                <c:pt idx="391">
                  <c:v>44792.666666666599</c:v>
                </c:pt>
                <c:pt idx="392">
                  <c:v>44795.666666666599</c:v>
                </c:pt>
                <c:pt idx="393">
                  <c:v>44796.666666666599</c:v>
                </c:pt>
                <c:pt idx="394">
                  <c:v>44797.666666666599</c:v>
                </c:pt>
                <c:pt idx="395">
                  <c:v>44798.666666666599</c:v>
                </c:pt>
                <c:pt idx="396">
                  <c:v>44799.666666666599</c:v>
                </c:pt>
                <c:pt idx="397">
                  <c:v>44802.666666666599</c:v>
                </c:pt>
                <c:pt idx="398">
                  <c:v>44803.666666666599</c:v>
                </c:pt>
                <c:pt idx="399">
                  <c:v>44804.666666666599</c:v>
                </c:pt>
                <c:pt idx="400">
                  <c:v>44805.666666666599</c:v>
                </c:pt>
                <c:pt idx="401">
                  <c:v>44806.666666666599</c:v>
                </c:pt>
                <c:pt idx="402">
                  <c:v>44810.666666666599</c:v>
                </c:pt>
                <c:pt idx="403">
                  <c:v>44811.666666666599</c:v>
                </c:pt>
                <c:pt idx="404">
                  <c:v>44812.666666666599</c:v>
                </c:pt>
                <c:pt idx="405">
                  <c:v>44813.666666666599</c:v>
                </c:pt>
                <c:pt idx="406">
                  <c:v>44816.666666666599</c:v>
                </c:pt>
                <c:pt idx="407">
                  <c:v>44817.666666666599</c:v>
                </c:pt>
                <c:pt idx="408">
                  <c:v>44818.666666666599</c:v>
                </c:pt>
                <c:pt idx="409">
                  <c:v>44819.666666666599</c:v>
                </c:pt>
                <c:pt idx="410">
                  <c:v>44820.666666666599</c:v>
                </c:pt>
                <c:pt idx="411">
                  <c:v>44823.666666666599</c:v>
                </c:pt>
                <c:pt idx="412">
                  <c:v>44824.666666666599</c:v>
                </c:pt>
                <c:pt idx="413">
                  <c:v>44825.666666666599</c:v>
                </c:pt>
                <c:pt idx="414">
                  <c:v>44826.666666666599</c:v>
                </c:pt>
                <c:pt idx="415">
                  <c:v>44827.666666666599</c:v>
                </c:pt>
                <c:pt idx="416">
                  <c:v>44830.666666666599</c:v>
                </c:pt>
                <c:pt idx="417">
                  <c:v>44831.666666666599</c:v>
                </c:pt>
                <c:pt idx="418">
                  <c:v>44832.666666666599</c:v>
                </c:pt>
                <c:pt idx="419">
                  <c:v>44833.666666666599</c:v>
                </c:pt>
                <c:pt idx="420">
                  <c:v>44834.666666666599</c:v>
                </c:pt>
                <c:pt idx="421">
                  <c:v>44837.666666666599</c:v>
                </c:pt>
                <c:pt idx="422">
                  <c:v>44838.666666666599</c:v>
                </c:pt>
                <c:pt idx="423">
                  <c:v>44839.666666666599</c:v>
                </c:pt>
                <c:pt idx="424">
                  <c:v>44840.666666666599</c:v>
                </c:pt>
                <c:pt idx="425">
                  <c:v>44841.666666666599</c:v>
                </c:pt>
                <c:pt idx="426">
                  <c:v>44844.666666666599</c:v>
                </c:pt>
                <c:pt idx="427">
                  <c:v>44845.666666666599</c:v>
                </c:pt>
                <c:pt idx="428">
                  <c:v>44846.666666666599</c:v>
                </c:pt>
                <c:pt idx="429">
                  <c:v>44847.666666666599</c:v>
                </c:pt>
                <c:pt idx="430">
                  <c:v>44848.666666666599</c:v>
                </c:pt>
                <c:pt idx="431">
                  <c:v>44851.666666666599</c:v>
                </c:pt>
                <c:pt idx="432">
                  <c:v>44852.666666666599</c:v>
                </c:pt>
                <c:pt idx="433">
                  <c:v>44853.666666666599</c:v>
                </c:pt>
                <c:pt idx="434">
                  <c:v>44854.666666666599</c:v>
                </c:pt>
                <c:pt idx="435">
                  <c:v>44855.666666666599</c:v>
                </c:pt>
                <c:pt idx="436">
                  <c:v>44858.666666666599</c:v>
                </c:pt>
                <c:pt idx="437">
                  <c:v>44859.666666666599</c:v>
                </c:pt>
                <c:pt idx="438">
                  <c:v>44860.666666666599</c:v>
                </c:pt>
                <c:pt idx="439">
                  <c:v>44861.666666666599</c:v>
                </c:pt>
                <c:pt idx="440">
                  <c:v>44862.666666666599</c:v>
                </c:pt>
                <c:pt idx="441">
                  <c:v>44865.666666666599</c:v>
                </c:pt>
                <c:pt idx="442">
                  <c:v>44866.666666666599</c:v>
                </c:pt>
                <c:pt idx="443">
                  <c:v>44867.666666666599</c:v>
                </c:pt>
                <c:pt idx="444">
                  <c:v>44868.666666666599</c:v>
                </c:pt>
                <c:pt idx="445">
                  <c:v>44869.666666666599</c:v>
                </c:pt>
                <c:pt idx="446">
                  <c:v>44872.666666666599</c:v>
                </c:pt>
                <c:pt idx="447">
                  <c:v>44873.666666666599</c:v>
                </c:pt>
                <c:pt idx="448">
                  <c:v>44874.666666666599</c:v>
                </c:pt>
                <c:pt idx="449">
                  <c:v>44875.666666666599</c:v>
                </c:pt>
                <c:pt idx="450">
                  <c:v>44876.666666666599</c:v>
                </c:pt>
                <c:pt idx="451">
                  <c:v>44879.666666666599</c:v>
                </c:pt>
                <c:pt idx="452">
                  <c:v>44880.666666666599</c:v>
                </c:pt>
                <c:pt idx="453">
                  <c:v>44881.666666666599</c:v>
                </c:pt>
                <c:pt idx="454">
                  <c:v>44882.666666666599</c:v>
                </c:pt>
                <c:pt idx="455">
                  <c:v>44883.666666666599</c:v>
                </c:pt>
                <c:pt idx="456">
                  <c:v>44886.666666666599</c:v>
                </c:pt>
                <c:pt idx="457">
                  <c:v>44887.666666666599</c:v>
                </c:pt>
                <c:pt idx="458">
                  <c:v>44888.666666666599</c:v>
                </c:pt>
                <c:pt idx="459">
                  <c:v>44890.552083333299</c:v>
                </c:pt>
                <c:pt idx="460">
                  <c:v>44893.666666666599</c:v>
                </c:pt>
                <c:pt idx="461">
                  <c:v>44894.666666666599</c:v>
                </c:pt>
                <c:pt idx="462">
                  <c:v>44895.666666666599</c:v>
                </c:pt>
                <c:pt idx="463">
                  <c:v>44896.666666666599</c:v>
                </c:pt>
                <c:pt idx="464">
                  <c:v>44897.666666666599</c:v>
                </c:pt>
                <c:pt idx="465">
                  <c:v>44900.666666666599</c:v>
                </c:pt>
                <c:pt idx="466">
                  <c:v>44901.666666666599</c:v>
                </c:pt>
                <c:pt idx="467">
                  <c:v>44902.666666666599</c:v>
                </c:pt>
                <c:pt idx="468">
                  <c:v>44903.666666666599</c:v>
                </c:pt>
                <c:pt idx="469">
                  <c:v>44904.666666666599</c:v>
                </c:pt>
                <c:pt idx="470">
                  <c:v>44907.666666666599</c:v>
                </c:pt>
                <c:pt idx="471">
                  <c:v>44908.666666666599</c:v>
                </c:pt>
                <c:pt idx="472">
                  <c:v>44909.666666666599</c:v>
                </c:pt>
                <c:pt idx="473">
                  <c:v>44910.666666666599</c:v>
                </c:pt>
                <c:pt idx="474">
                  <c:v>44911.666666666599</c:v>
                </c:pt>
                <c:pt idx="475">
                  <c:v>44914.666666666599</c:v>
                </c:pt>
                <c:pt idx="476">
                  <c:v>44915.666666666599</c:v>
                </c:pt>
                <c:pt idx="477">
                  <c:v>44916.666666666599</c:v>
                </c:pt>
                <c:pt idx="478">
                  <c:v>44917.666666666599</c:v>
                </c:pt>
                <c:pt idx="479">
                  <c:v>44918.666666666599</c:v>
                </c:pt>
                <c:pt idx="480">
                  <c:v>44922.666666666599</c:v>
                </c:pt>
                <c:pt idx="481">
                  <c:v>44923.666666666599</c:v>
                </c:pt>
                <c:pt idx="482">
                  <c:v>44924.666666666599</c:v>
                </c:pt>
                <c:pt idx="483">
                  <c:v>44925.666666666599</c:v>
                </c:pt>
                <c:pt idx="484">
                  <c:v>44929.666666666599</c:v>
                </c:pt>
                <c:pt idx="485">
                  <c:v>44930.666666666599</c:v>
                </c:pt>
                <c:pt idx="486">
                  <c:v>44931.666666666599</c:v>
                </c:pt>
                <c:pt idx="487">
                  <c:v>44932.666666666599</c:v>
                </c:pt>
                <c:pt idx="488">
                  <c:v>44935.666666666599</c:v>
                </c:pt>
                <c:pt idx="489">
                  <c:v>44936.666666666599</c:v>
                </c:pt>
                <c:pt idx="490">
                  <c:v>44937.666666666599</c:v>
                </c:pt>
                <c:pt idx="491">
                  <c:v>44938.666666666599</c:v>
                </c:pt>
                <c:pt idx="492">
                  <c:v>44939.666666666599</c:v>
                </c:pt>
                <c:pt idx="493">
                  <c:v>44943.666666666599</c:v>
                </c:pt>
                <c:pt idx="494">
                  <c:v>44944.666666666599</c:v>
                </c:pt>
                <c:pt idx="495">
                  <c:v>44945.666666666599</c:v>
                </c:pt>
                <c:pt idx="496">
                  <c:v>44946.666666666599</c:v>
                </c:pt>
                <c:pt idx="497">
                  <c:v>44949.666666666599</c:v>
                </c:pt>
                <c:pt idx="498">
                  <c:v>44950.666666666599</c:v>
                </c:pt>
                <c:pt idx="499">
                  <c:v>44951.666666666599</c:v>
                </c:pt>
                <c:pt idx="500">
                  <c:v>44952.666666666599</c:v>
                </c:pt>
                <c:pt idx="501">
                  <c:v>44953.666666666599</c:v>
                </c:pt>
                <c:pt idx="502">
                  <c:v>44956.666666666599</c:v>
                </c:pt>
                <c:pt idx="503">
                  <c:v>44957.666666666599</c:v>
                </c:pt>
                <c:pt idx="504">
                  <c:v>44958.666666666599</c:v>
                </c:pt>
                <c:pt idx="505">
                  <c:v>44959.666666666599</c:v>
                </c:pt>
                <c:pt idx="506">
                  <c:v>44960.666666666599</c:v>
                </c:pt>
                <c:pt idx="507">
                  <c:v>44963.666666666599</c:v>
                </c:pt>
                <c:pt idx="508">
                  <c:v>44964.666666666599</c:v>
                </c:pt>
                <c:pt idx="509">
                  <c:v>44965.666666666599</c:v>
                </c:pt>
                <c:pt idx="510">
                  <c:v>44966.666666666599</c:v>
                </c:pt>
                <c:pt idx="511">
                  <c:v>44967.666666666599</c:v>
                </c:pt>
                <c:pt idx="512">
                  <c:v>44970.666666666599</c:v>
                </c:pt>
                <c:pt idx="513">
                  <c:v>44971.666666666599</c:v>
                </c:pt>
                <c:pt idx="514">
                  <c:v>44972.666666666599</c:v>
                </c:pt>
                <c:pt idx="515">
                  <c:v>44973.666666666599</c:v>
                </c:pt>
                <c:pt idx="516">
                  <c:v>44974.666666666599</c:v>
                </c:pt>
                <c:pt idx="517">
                  <c:v>44978.666666666599</c:v>
                </c:pt>
                <c:pt idx="518">
                  <c:v>44979.666666666599</c:v>
                </c:pt>
                <c:pt idx="519">
                  <c:v>44980.666666666599</c:v>
                </c:pt>
                <c:pt idx="520">
                  <c:v>44981.666666666599</c:v>
                </c:pt>
                <c:pt idx="521">
                  <c:v>44984.666666666599</c:v>
                </c:pt>
                <c:pt idx="522">
                  <c:v>44985.666666666599</c:v>
                </c:pt>
                <c:pt idx="523">
                  <c:v>44986.666666666599</c:v>
                </c:pt>
                <c:pt idx="524">
                  <c:v>44987.666666666599</c:v>
                </c:pt>
                <c:pt idx="525">
                  <c:v>44988.666666666599</c:v>
                </c:pt>
                <c:pt idx="526">
                  <c:v>44991.666666666599</c:v>
                </c:pt>
                <c:pt idx="527">
                  <c:v>44992.666666666599</c:v>
                </c:pt>
                <c:pt idx="528">
                  <c:v>44993.666666666599</c:v>
                </c:pt>
                <c:pt idx="529">
                  <c:v>44994.666666666599</c:v>
                </c:pt>
                <c:pt idx="530">
                  <c:v>44995.666666666599</c:v>
                </c:pt>
                <c:pt idx="531">
                  <c:v>44998.666666666599</c:v>
                </c:pt>
                <c:pt idx="532">
                  <c:v>44999.666666666599</c:v>
                </c:pt>
                <c:pt idx="533">
                  <c:v>45000.666666666599</c:v>
                </c:pt>
                <c:pt idx="534">
                  <c:v>45001.666666666599</c:v>
                </c:pt>
                <c:pt idx="535">
                  <c:v>45002.666666666599</c:v>
                </c:pt>
                <c:pt idx="536">
                  <c:v>45005.666666666599</c:v>
                </c:pt>
                <c:pt idx="537">
                  <c:v>45006.666666666599</c:v>
                </c:pt>
                <c:pt idx="538">
                  <c:v>45007.666666666599</c:v>
                </c:pt>
                <c:pt idx="539">
                  <c:v>45008.666666666599</c:v>
                </c:pt>
                <c:pt idx="540">
                  <c:v>45009.666666666599</c:v>
                </c:pt>
                <c:pt idx="541">
                  <c:v>45012.666666666599</c:v>
                </c:pt>
                <c:pt idx="542">
                  <c:v>45013.666666666599</c:v>
                </c:pt>
                <c:pt idx="543">
                  <c:v>45014.666666666599</c:v>
                </c:pt>
                <c:pt idx="544">
                  <c:v>45015.666666666599</c:v>
                </c:pt>
                <c:pt idx="545">
                  <c:v>45016.666666666599</c:v>
                </c:pt>
                <c:pt idx="546">
                  <c:v>45019.666666666599</c:v>
                </c:pt>
                <c:pt idx="547">
                  <c:v>45020.666666666599</c:v>
                </c:pt>
                <c:pt idx="548">
                  <c:v>45021.666666666599</c:v>
                </c:pt>
                <c:pt idx="549">
                  <c:v>45022.666666666599</c:v>
                </c:pt>
                <c:pt idx="550">
                  <c:v>45026.666666666599</c:v>
                </c:pt>
                <c:pt idx="551">
                  <c:v>45027.666666666599</c:v>
                </c:pt>
                <c:pt idx="552">
                  <c:v>45028.666666666599</c:v>
                </c:pt>
                <c:pt idx="553">
                  <c:v>45029.666666666599</c:v>
                </c:pt>
                <c:pt idx="554">
                  <c:v>45030.666666666599</c:v>
                </c:pt>
                <c:pt idx="555">
                  <c:v>45033.666666666599</c:v>
                </c:pt>
                <c:pt idx="556">
                  <c:v>45034.666666666599</c:v>
                </c:pt>
                <c:pt idx="557">
                  <c:v>45035.666666666599</c:v>
                </c:pt>
                <c:pt idx="558">
                  <c:v>45036.666666666599</c:v>
                </c:pt>
                <c:pt idx="559">
                  <c:v>45037.666666666599</c:v>
                </c:pt>
                <c:pt idx="560">
                  <c:v>45040.666666666599</c:v>
                </c:pt>
                <c:pt idx="561">
                  <c:v>45041.666666666599</c:v>
                </c:pt>
                <c:pt idx="562">
                  <c:v>45042.666666666599</c:v>
                </c:pt>
                <c:pt idx="563">
                  <c:v>45043.666666666599</c:v>
                </c:pt>
                <c:pt idx="564">
                  <c:v>45044.666666666599</c:v>
                </c:pt>
                <c:pt idx="565">
                  <c:v>45047.666666666599</c:v>
                </c:pt>
                <c:pt idx="566">
                  <c:v>45048.666666666599</c:v>
                </c:pt>
                <c:pt idx="567">
                  <c:v>45049.666666666599</c:v>
                </c:pt>
                <c:pt idx="568">
                  <c:v>45050.666666666599</c:v>
                </c:pt>
                <c:pt idx="569">
                  <c:v>45051.666666666599</c:v>
                </c:pt>
                <c:pt idx="570">
                  <c:v>45054.666666666599</c:v>
                </c:pt>
                <c:pt idx="571">
                  <c:v>45055.666666666599</c:v>
                </c:pt>
                <c:pt idx="572">
                  <c:v>45056.666666666599</c:v>
                </c:pt>
                <c:pt idx="573">
                  <c:v>45057.666666666599</c:v>
                </c:pt>
                <c:pt idx="574">
                  <c:v>45058.666666666599</c:v>
                </c:pt>
                <c:pt idx="575">
                  <c:v>45061.666666666599</c:v>
                </c:pt>
                <c:pt idx="576">
                  <c:v>45062.666666666599</c:v>
                </c:pt>
                <c:pt idx="577">
                  <c:v>45063.666666666599</c:v>
                </c:pt>
                <c:pt idx="578">
                  <c:v>45064.666666666599</c:v>
                </c:pt>
                <c:pt idx="579">
                  <c:v>45065.666666666599</c:v>
                </c:pt>
                <c:pt idx="580">
                  <c:v>45068.666666666599</c:v>
                </c:pt>
                <c:pt idx="581">
                  <c:v>45069.666666666599</c:v>
                </c:pt>
                <c:pt idx="582">
                  <c:v>45070.666666666599</c:v>
                </c:pt>
                <c:pt idx="583">
                  <c:v>45071.666666666599</c:v>
                </c:pt>
                <c:pt idx="584">
                  <c:v>45072.666666666599</c:v>
                </c:pt>
                <c:pt idx="585">
                  <c:v>45076.666666666599</c:v>
                </c:pt>
                <c:pt idx="586">
                  <c:v>45077.666666666599</c:v>
                </c:pt>
                <c:pt idx="587">
                  <c:v>45078.666666666599</c:v>
                </c:pt>
                <c:pt idx="588">
                  <c:v>45079.666666666599</c:v>
                </c:pt>
                <c:pt idx="589">
                  <c:v>45082.666666666599</c:v>
                </c:pt>
                <c:pt idx="590">
                  <c:v>45083.666666666599</c:v>
                </c:pt>
                <c:pt idx="591">
                  <c:v>45084.666666666599</c:v>
                </c:pt>
                <c:pt idx="592">
                  <c:v>45085.666666666599</c:v>
                </c:pt>
                <c:pt idx="593">
                  <c:v>45086.666666666599</c:v>
                </c:pt>
                <c:pt idx="594">
                  <c:v>45089.666666666599</c:v>
                </c:pt>
                <c:pt idx="595">
                  <c:v>45090.666666666599</c:v>
                </c:pt>
                <c:pt idx="596">
                  <c:v>45091.666666666599</c:v>
                </c:pt>
                <c:pt idx="597">
                  <c:v>45092.666666666599</c:v>
                </c:pt>
                <c:pt idx="598">
                  <c:v>45093.666666666599</c:v>
                </c:pt>
                <c:pt idx="599">
                  <c:v>45097.666666666599</c:v>
                </c:pt>
                <c:pt idx="600">
                  <c:v>45098.666666666599</c:v>
                </c:pt>
                <c:pt idx="601">
                  <c:v>45099.666666666599</c:v>
                </c:pt>
                <c:pt idx="602">
                  <c:v>45100.666666666599</c:v>
                </c:pt>
                <c:pt idx="603">
                  <c:v>45103.666666666599</c:v>
                </c:pt>
                <c:pt idx="604">
                  <c:v>45104.666666666599</c:v>
                </c:pt>
                <c:pt idx="605">
                  <c:v>45105.666666666599</c:v>
                </c:pt>
                <c:pt idx="606">
                  <c:v>45106.666666666599</c:v>
                </c:pt>
                <c:pt idx="607">
                  <c:v>45107.666666666599</c:v>
                </c:pt>
                <c:pt idx="608">
                  <c:v>45110.552083333299</c:v>
                </c:pt>
                <c:pt idx="609">
                  <c:v>45112.666666666599</c:v>
                </c:pt>
                <c:pt idx="610">
                  <c:v>45113.666666666599</c:v>
                </c:pt>
                <c:pt idx="611">
                  <c:v>45114.666666666599</c:v>
                </c:pt>
                <c:pt idx="612">
                  <c:v>45117.666666666599</c:v>
                </c:pt>
                <c:pt idx="613">
                  <c:v>45118.666666666599</c:v>
                </c:pt>
                <c:pt idx="614">
                  <c:v>45119.666666666599</c:v>
                </c:pt>
                <c:pt idx="615">
                  <c:v>45120.666666666599</c:v>
                </c:pt>
                <c:pt idx="616">
                  <c:v>45121.666666666599</c:v>
                </c:pt>
                <c:pt idx="617">
                  <c:v>45124.666666666599</c:v>
                </c:pt>
                <c:pt idx="618">
                  <c:v>45125.666666666599</c:v>
                </c:pt>
                <c:pt idx="619">
                  <c:v>45126.666666666599</c:v>
                </c:pt>
                <c:pt idx="620">
                  <c:v>45127.666666666599</c:v>
                </c:pt>
                <c:pt idx="621">
                  <c:v>45128.666666666599</c:v>
                </c:pt>
                <c:pt idx="622">
                  <c:v>45131.666666666599</c:v>
                </c:pt>
                <c:pt idx="623">
                  <c:v>45132.666666666599</c:v>
                </c:pt>
                <c:pt idx="624">
                  <c:v>45133.666666666599</c:v>
                </c:pt>
                <c:pt idx="625">
                  <c:v>45134.666666666599</c:v>
                </c:pt>
                <c:pt idx="626">
                  <c:v>45135.666666666599</c:v>
                </c:pt>
                <c:pt idx="627">
                  <c:v>45138.666666666599</c:v>
                </c:pt>
                <c:pt idx="628">
                  <c:v>45139.666666666599</c:v>
                </c:pt>
                <c:pt idx="629">
                  <c:v>45140.666666666599</c:v>
                </c:pt>
                <c:pt idx="630">
                  <c:v>45141.666666666599</c:v>
                </c:pt>
                <c:pt idx="631">
                  <c:v>45142.666666666599</c:v>
                </c:pt>
                <c:pt idx="632">
                  <c:v>45145.666666666599</c:v>
                </c:pt>
                <c:pt idx="633">
                  <c:v>45146.666666666599</c:v>
                </c:pt>
                <c:pt idx="634">
                  <c:v>45147.666666666599</c:v>
                </c:pt>
                <c:pt idx="635">
                  <c:v>45148.666666666599</c:v>
                </c:pt>
                <c:pt idx="636">
                  <c:v>45149.666666666599</c:v>
                </c:pt>
                <c:pt idx="637">
                  <c:v>45152.666666666599</c:v>
                </c:pt>
                <c:pt idx="638">
                  <c:v>45153.666666666599</c:v>
                </c:pt>
                <c:pt idx="639">
                  <c:v>45154.666666666599</c:v>
                </c:pt>
                <c:pt idx="640">
                  <c:v>45155.666666666599</c:v>
                </c:pt>
                <c:pt idx="641">
                  <c:v>45156.666666666599</c:v>
                </c:pt>
                <c:pt idx="642">
                  <c:v>45159.666666666599</c:v>
                </c:pt>
                <c:pt idx="643">
                  <c:v>45160.666666666599</c:v>
                </c:pt>
                <c:pt idx="644">
                  <c:v>45161.666666666599</c:v>
                </c:pt>
                <c:pt idx="645">
                  <c:v>45162.666666666599</c:v>
                </c:pt>
                <c:pt idx="646">
                  <c:v>45163.666666666599</c:v>
                </c:pt>
                <c:pt idx="647">
                  <c:v>45166.666666666599</c:v>
                </c:pt>
                <c:pt idx="648">
                  <c:v>45167.666666666599</c:v>
                </c:pt>
                <c:pt idx="649">
                  <c:v>45168.666666666599</c:v>
                </c:pt>
                <c:pt idx="650">
                  <c:v>45169.666666666599</c:v>
                </c:pt>
                <c:pt idx="651">
                  <c:v>45170.666666666599</c:v>
                </c:pt>
                <c:pt idx="652">
                  <c:v>45174.666666666599</c:v>
                </c:pt>
                <c:pt idx="653">
                  <c:v>45175.666666666599</c:v>
                </c:pt>
                <c:pt idx="654">
                  <c:v>45176.666666666599</c:v>
                </c:pt>
                <c:pt idx="655">
                  <c:v>45177.666666666599</c:v>
                </c:pt>
                <c:pt idx="656">
                  <c:v>45180.666666666599</c:v>
                </c:pt>
                <c:pt idx="657">
                  <c:v>45181.666666666599</c:v>
                </c:pt>
                <c:pt idx="658">
                  <c:v>45182.666666666599</c:v>
                </c:pt>
                <c:pt idx="659">
                  <c:v>45183.666666666599</c:v>
                </c:pt>
                <c:pt idx="660">
                  <c:v>45184.666666666599</c:v>
                </c:pt>
                <c:pt idx="661">
                  <c:v>45187.666666666599</c:v>
                </c:pt>
                <c:pt idx="662">
                  <c:v>45188.666666666599</c:v>
                </c:pt>
                <c:pt idx="663">
                  <c:v>45189.666666666599</c:v>
                </c:pt>
                <c:pt idx="664">
                  <c:v>45190.666666666599</c:v>
                </c:pt>
                <c:pt idx="665">
                  <c:v>45191.666666666599</c:v>
                </c:pt>
                <c:pt idx="666">
                  <c:v>45194.666666666599</c:v>
                </c:pt>
                <c:pt idx="667">
                  <c:v>45195.666666666599</c:v>
                </c:pt>
                <c:pt idx="668">
                  <c:v>45196.666666666599</c:v>
                </c:pt>
                <c:pt idx="669">
                  <c:v>45197.666666666599</c:v>
                </c:pt>
                <c:pt idx="670">
                  <c:v>45198.666666666599</c:v>
                </c:pt>
                <c:pt idx="671">
                  <c:v>45201.666666666599</c:v>
                </c:pt>
                <c:pt idx="672">
                  <c:v>45202.666666666599</c:v>
                </c:pt>
                <c:pt idx="673">
                  <c:v>45203.666666666599</c:v>
                </c:pt>
                <c:pt idx="674">
                  <c:v>45204.666666666599</c:v>
                </c:pt>
                <c:pt idx="675">
                  <c:v>45205.666666666599</c:v>
                </c:pt>
                <c:pt idx="676">
                  <c:v>45208.666666666599</c:v>
                </c:pt>
                <c:pt idx="677">
                  <c:v>45209.666666666599</c:v>
                </c:pt>
                <c:pt idx="678">
                  <c:v>45210.666666666599</c:v>
                </c:pt>
                <c:pt idx="679">
                  <c:v>45211.666666666599</c:v>
                </c:pt>
                <c:pt idx="680">
                  <c:v>45212.666666666599</c:v>
                </c:pt>
                <c:pt idx="681">
                  <c:v>45215.666666666599</c:v>
                </c:pt>
                <c:pt idx="682">
                  <c:v>45216.666666666599</c:v>
                </c:pt>
                <c:pt idx="683">
                  <c:v>45217.666666666599</c:v>
                </c:pt>
                <c:pt idx="684">
                  <c:v>45218.666666666599</c:v>
                </c:pt>
                <c:pt idx="685">
                  <c:v>45219.666666666599</c:v>
                </c:pt>
                <c:pt idx="686">
                  <c:v>45222.666666666599</c:v>
                </c:pt>
                <c:pt idx="687">
                  <c:v>45223.666666666599</c:v>
                </c:pt>
                <c:pt idx="688">
                  <c:v>45224.666666666599</c:v>
                </c:pt>
                <c:pt idx="689">
                  <c:v>45225.666666666599</c:v>
                </c:pt>
                <c:pt idx="690">
                  <c:v>45226.666666666599</c:v>
                </c:pt>
                <c:pt idx="691">
                  <c:v>45229.666666666599</c:v>
                </c:pt>
                <c:pt idx="692">
                  <c:v>45230.666666666599</c:v>
                </c:pt>
                <c:pt idx="693">
                  <c:v>45231.666666666599</c:v>
                </c:pt>
                <c:pt idx="694">
                  <c:v>45232.666666666599</c:v>
                </c:pt>
                <c:pt idx="695">
                  <c:v>45233.666666666599</c:v>
                </c:pt>
                <c:pt idx="696">
                  <c:v>45236.666666666599</c:v>
                </c:pt>
                <c:pt idx="697">
                  <c:v>45237.666666666599</c:v>
                </c:pt>
                <c:pt idx="698">
                  <c:v>45238.666666666599</c:v>
                </c:pt>
                <c:pt idx="699">
                  <c:v>45239.666666666599</c:v>
                </c:pt>
                <c:pt idx="700">
                  <c:v>45240.666666666599</c:v>
                </c:pt>
                <c:pt idx="701">
                  <c:v>45243.666666666599</c:v>
                </c:pt>
                <c:pt idx="702">
                  <c:v>45244.666666666599</c:v>
                </c:pt>
                <c:pt idx="703">
                  <c:v>45245.666666666599</c:v>
                </c:pt>
                <c:pt idx="704">
                  <c:v>45246.666666666599</c:v>
                </c:pt>
                <c:pt idx="705">
                  <c:v>45247.666666666599</c:v>
                </c:pt>
                <c:pt idx="706">
                  <c:v>45250.666666666599</c:v>
                </c:pt>
                <c:pt idx="707">
                  <c:v>45251.666666666599</c:v>
                </c:pt>
                <c:pt idx="708">
                  <c:v>45252.666666666599</c:v>
                </c:pt>
                <c:pt idx="709">
                  <c:v>45254.552083333299</c:v>
                </c:pt>
                <c:pt idx="710">
                  <c:v>45257.666666666599</c:v>
                </c:pt>
                <c:pt idx="711">
                  <c:v>45258.666666666599</c:v>
                </c:pt>
                <c:pt idx="712">
                  <c:v>45259.666666666599</c:v>
                </c:pt>
                <c:pt idx="713">
                  <c:v>45260.666666666599</c:v>
                </c:pt>
                <c:pt idx="714">
                  <c:v>45261.666666666599</c:v>
                </c:pt>
                <c:pt idx="715">
                  <c:v>45264.666666666599</c:v>
                </c:pt>
                <c:pt idx="716">
                  <c:v>45265.666666666599</c:v>
                </c:pt>
                <c:pt idx="717">
                  <c:v>45266.666666666599</c:v>
                </c:pt>
                <c:pt idx="718">
                  <c:v>45267.666666666599</c:v>
                </c:pt>
                <c:pt idx="719">
                  <c:v>45268.666666666599</c:v>
                </c:pt>
                <c:pt idx="720">
                  <c:v>45271.666666666599</c:v>
                </c:pt>
                <c:pt idx="721">
                  <c:v>45272.666666666599</c:v>
                </c:pt>
                <c:pt idx="722">
                  <c:v>45273.666666666599</c:v>
                </c:pt>
                <c:pt idx="723">
                  <c:v>45274.666666666599</c:v>
                </c:pt>
                <c:pt idx="724">
                  <c:v>45275.666666666599</c:v>
                </c:pt>
                <c:pt idx="725">
                  <c:v>45278.666666666599</c:v>
                </c:pt>
                <c:pt idx="726">
                  <c:v>45279.666666666599</c:v>
                </c:pt>
                <c:pt idx="727">
                  <c:v>45280.666666666599</c:v>
                </c:pt>
                <c:pt idx="728">
                  <c:v>45281.666666666599</c:v>
                </c:pt>
                <c:pt idx="729">
                  <c:v>45282.666666666599</c:v>
                </c:pt>
                <c:pt idx="730">
                  <c:v>45286.666666666599</c:v>
                </c:pt>
                <c:pt idx="731">
                  <c:v>45287.666666666599</c:v>
                </c:pt>
                <c:pt idx="732">
                  <c:v>45288.666666666599</c:v>
                </c:pt>
                <c:pt idx="733">
                  <c:v>45289.666666666599</c:v>
                </c:pt>
                <c:pt idx="734">
                  <c:v>45293.666666666599</c:v>
                </c:pt>
                <c:pt idx="735">
                  <c:v>45294.666666666599</c:v>
                </c:pt>
                <c:pt idx="736">
                  <c:v>45295.666666666599</c:v>
                </c:pt>
                <c:pt idx="737">
                  <c:v>45296.666666666599</c:v>
                </c:pt>
                <c:pt idx="738">
                  <c:v>45299.666666666599</c:v>
                </c:pt>
                <c:pt idx="739">
                  <c:v>45300.666666666599</c:v>
                </c:pt>
                <c:pt idx="740">
                  <c:v>45301.666666666599</c:v>
                </c:pt>
                <c:pt idx="741">
                  <c:v>45302.666666666599</c:v>
                </c:pt>
                <c:pt idx="742">
                  <c:v>45303.666666666599</c:v>
                </c:pt>
                <c:pt idx="743">
                  <c:v>45307.666666666599</c:v>
                </c:pt>
                <c:pt idx="744">
                  <c:v>45308.666666666599</c:v>
                </c:pt>
                <c:pt idx="745">
                  <c:v>45309.666666666599</c:v>
                </c:pt>
                <c:pt idx="746">
                  <c:v>45310.666666666599</c:v>
                </c:pt>
                <c:pt idx="747">
                  <c:v>45313.666666666599</c:v>
                </c:pt>
                <c:pt idx="748">
                  <c:v>45314.666666666599</c:v>
                </c:pt>
                <c:pt idx="749">
                  <c:v>45315.666666666599</c:v>
                </c:pt>
                <c:pt idx="750">
                  <c:v>45316.666666666599</c:v>
                </c:pt>
                <c:pt idx="751">
                  <c:v>45317.666666666599</c:v>
                </c:pt>
                <c:pt idx="752">
                  <c:v>45320.666666666599</c:v>
                </c:pt>
                <c:pt idx="753">
                  <c:v>45321.666666666599</c:v>
                </c:pt>
                <c:pt idx="754">
                  <c:v>45322.666666666599</c:v>
                </c:pt>
                <c:pt idx="755">
                  <c:v>45323.666666666599</c:v>
                </c:pt>
                <c:pt idx="756">
                  <c:v>45324.666666666599</c:v>
                </c:pt>
                <c:pt idx="757">
                  <c:v>45327.666666666599</c:v>
                </c:pt>
                <c:pt idx="758">
                  <c:v>45328.666666666599</c:v>
                </c:pt>
                <c:pt idx="759">
                  <c:v>45329.666666666599</c:v>
                </c:pt>
                <c:pt idx="760">
                  <c:v>45330.666666666599</c:v>
                </c:pt>
                <c:pt idx="761">
                  <c:v>45331.666666666599</c:v>
                </c:pt>
                <c:pt idx="762">
                  <c:v>45334.666666666599</c:v>
                </c:pt>
                <c:pt idx="763">
                  <c:v>45335.666666666599</c:v>
                </c:pt>
                <c:pt idx="764">
                  <c:v>45336.666666666599</c:v>
                </c:pt>
                <c:pt idx="765">
                  <c:v>45337.666666666599</c:v>
                </c:pt>
                <c:pt idx="766">
                  <c:v>45338.666666666599</c:v>
                </c:pt>
                <c:pt idx="767">
                  <c:v>45342.666666666599</c:v>
                </c:pt>
                <c:pt idx="768">
                  <c:v>45343.666666666599</c:v>
                </c:pt>
                <c:pt idx="769">
                  <c:v>45344.666666666599</c:v>
                </c:pt>
                <c:pt idx="770">
                  <c:v>45345.666666666599</c:v>
                </c:pt>
                <c:pt idx="771">
                  <c:v>45348.666666666599</c:v>
                </c:pt>
                <c:pt idx="772">
                  <c:v>45349.666666666599</c:v>
                </c:pt>
                <c:pt idx="773">
                  <c:v>45350.666666666599</c:v>
                </c:pt>
                <c:pt idx="774">
                  <c:v>45351.666666666599</c:v>
                </c:pt>
                <c:pt idx="775">
                  <c:v>45352.666666666599</c:v>
                </c:pt>
                <c:pt idx="776">
                  <c:v>45355.666666666599</c:v>
                </c:pt>
                <c:pt idx="777">
                  <c:v>45356.666666666599</c:v>
                </c:pt>
                <c:pt idx="778">
                  <c:v>45357.666666666599</c:v>
                </c:pt>
                <c:pt idx="779">
                  <c:v>45358.666666666599</c:v>
                </c:pt>
                <c:pt idx="780">
                  <c:v>45359.666666666599</c:v>
                </c:pt>
                <c:pt idx="781">
                  <c:v>45362.666666666599</c:v>
                </c:pt>
                <c:pt idx="782">
                  <c:v>45363.666666666599</c:v>
                </c:pt>
                <c:pt idx="783">
                  <c:v>45364.666666666599</c:v>
                </c:pt>
                <c:pt idx="784">
                  <c:v>45365.666666666599</c:v>
                </c:pt>
                <c:pt idx="785">
                  <c:v>45366.666666666599</c:v>
                </c:pt>
                <c:pt idx="786">
                  <c:v>45369.666666666599</c:v>
                </c:pt>
                <c:pt idx="787">
                  <c:v>45370.666666666599</c:v>
                </c:pt>
                <c:pt idx="788">
                  <c:v>45371.666666666599</c:v>
                </c:pt>
                <c:pt idx="789">
                  <c:v>45372.666666666599</c:v>
                </c:pt>
                <c:pt idx="790">
                  <c:v>45373.666666666599</c:v>
                </c:pt>
                <c:pt idx="791">
                  <c:v>45376.666666666599</c:v>
                </c:pt>
                <c:pt idx="792">
                  <c:v>45377.666666666599</c:v>
                </c:pt>
                <c:pt idx="793">
                  <c:v>45378.666666666599</c:v>
                </c:pt>
                <c:pt idx="794">
                  <c:v>45379.666666666599</c:v>
                </c:pt>
                <c:pt idx="795">
                  <c:v>45383.666666666599</c:v>
                </c:pt>
                <c:pt idx="796">
                  <c:v>45384.666666666599</c:v>
                </c:pt>
                <c:pt idx="797">
                  <c:v>45385.666666666599</c:v>
                </c:pt>
                <c:pt idx="798">
                  <c:v>45386.666666666599</c:v>
                </c:pt>
                <c:pt idx="799">
                  <c:v>45387.666666666599</c:v>
                </c:pt>
                <c:pt idx="800">
                  <c:v>45390.666666666599</c:v>
                </c:pt>
                <c:pt idx="801">
                  <c:v>45391.666666666599</c:v>
                </c:pt>
                <c:pt idx="802">
                  <c:v>45392.666666666599</c:v>
                </c:pt>
                <c:pt idx="803">
                  <c:v>45393.666666666599</c:v>
                </c:pt>
                <c:pt idx="804">
                  <c:v>45394.666666666599</c:v>
                </c:pt>
                <c:pt idx="805">
                  <c:v>45397.666666666599</c:v>
                </c:pt>
                <c:pt idx="806">
                  <c:v>45398.666666666599</c:v>
                </c:pt>
                <c:pt idx="807">
                  <c:v>45399.666666666599</c:v>
                </c:pt>
                <c:pt idx="808">
                  <c:v>45400.666666666599</c:v>
                </c:pt>
                <c:pt idx="809">
                  <c:v>45401.666666666599</c:v>
                </c:pt>
                <c:pt idx="810">
                  <c:v>45404.666666666599</c:v>
                </c:pt>
                <c:pt idx="811">
                  <c:v>45405.666666666599</c:v>
                </c:pt>
                <c:pt idx="812">
                  <c:v>45406.666666666599</c:v>
                </c:pt>
                <c:pt idx="813">
                  <c:v>45407.666666666599</c:v>
                </c:pt>
                <c:pt idx="814">
                  <c:v>45408.666666666599</c:v>
                </c:pt>
                <c:pt idx="815">
                  <c:v>45411.666666666599</c:v>
                </c:pt>
                <c:pt idx="816">
                  <c:v>45412.666666666599</c:v>
                </c:pt>
                <c:pt idx="817">
                  <c:v>45413.666666666599</c:v>
                </c:pt>
                <c:pt idx="818">
                  <c:v>45414.666666666599</c:v>
                </c:pt>
                <c:pt idx="819">
                  <c:v>45415.666666666599</c:v>
                </c:pt>
                <c:pt idx="820">
                  <c:v>45418.666666666599</c:v>
                </c:pt>
                <c:pt idx="821">
                  <c:v>45419.666666666599</c:v>
                </c:pt>
                <c:pt idx="822">
                  <c:v>45420.666666666599</c:v>
                </c:pt>
                <c:pt idx="823">
                  <c:v>45421.666666666599</c:v>
                </c:pt>
                <c:pt idx="824">
                  <c:v>45422.666666666599</c:v>
                </c:pt>
                <c:pt idx="825">
                  <c:v>45425.666666666599</c:v>
                </c:pt>
                <c:pt idx="826">
                  <c:v>45426.666666666599</c:v>
                </c:pt>
                <c:pt idx="827">
                  <c:v>45427.666666666599</c:v>
                </c:pt>
                <c:pt idx="828">
                  <c:v>45428.666666666599</c:v>
                </c:pt>
                <c:pt idx="829">
                  <c:v>45429.666666666599</c:v>
                </c:pt>
                <c:pt idx="830">
                  <c:v>45432.666666666599</c:v>
                </c:pt>
                <c:pt idx="831">
                  <c:v>45433.666666666599</c:v>
                </c:pt>
                <c:pt idx="832">
                  <c:v>45434.666666666599</c:v>
                </c:pt>
                <c:pt idx="833">
                  <c:v>45435.666666666599</c:v>
                </c:pt>
                <c:pt idx="834">
                  <c:v>45436.666666666599</c:v>
                </c:pt>
                <c:pt idx="835">
                  <c:v>45440.666666666599</c:v>
                </c:pt>
                <c:pt idx="836">
                  <c:v>45441.666666666599</c:v>
                </c:pt>
                <c:pt idx="837">
                  <c:v>45442.666666666599</c:v>
                </c:pt>
                <c:pt idx="838">
                  <c:v>45443.666666666599</c:v>
                </c:pt>
                <c:pt idx="839">
                  <c:v>45446.666666666599</c:v>
                </c:pt>
                <c:pt idx="840">
                  <c:v>45447.666666666599</c:v>
                </c:pt>
                <c:pt idx="841">
                  <c:v>45448.666666666599</c:v>
                </c:pt>
                <c:pt idx="842">
                  <c:v>45449.666666666599</c:v>
                </c:pt>
                <c:pt idx="843">
                  <c:v>45450.666666666599</c:v>
                </c:pt>
                <c:pt idx="844">
                  <c:v>45453.666666666599</c:v>
                </c:pt>
                <c:pt idx="845">
                  <c:v>45454.666666666599</c:v>
                </c:pt>
                <c:pt idx="846">
                  <c:v>45455.666666666599</c:v>
                </c:pt>
                <c:pt idx="847">
                  <c:v>45456.666666666599</c:v>
                </c:pt>
                <c:pt idx="848">
                  <c:v>45457.666666666599</c:v>
                </c:pt>
                <c:pt idx="849">
                  <c:v>45460.666666666599</c:v>
                </c:pt>
                <c:pt idx="850">
                  <c:v>45461.666666666599</c:v>
                </c:pt>
                <c:pt idx="851">
                  <c:v>45463.666666666599</c:v>
                </c:pt>
                <c:pt idx="852">
                  <c:v>45464.666666666599</c:v>
                </c:pt>
                <c:pt idx="853">
                  <c:v>45467.666666666599</c:v>
                </c:pt>
                <c:pt idx="854">
                  <c:v>45468.666666666599</c:v>
                </c:pt>
                <c:pt idx="855">
                  <c:v>45469.666666666599</c:v>
                </c:pt>
                <c:pt idx="856">
                  <c:v>45470.666666666599</c:v>
                </c:pt>
                <c:pt idx="857">
                  <c:v>45471.666666666599</c:v>
                </c:pt>
                <c:pt idx="858">
                  <c:v>45474.666666666599</c:v>
                </c:pt>
                <c:pt idx="859">
                  <c:v>45475.666666666599</c:v>
                </c:pt>
                <c:pt idx="860">
                  <c:v>45476.552083333299</c:v>
                </c:pt>
                <c:pt idx="861">
                  <c:v>45478.666666666599</c:v>
                </c:pt>
                <c:pt idx="862">
                  <c:v>45481.666666666599</c:v>
                </c:pt>
                <c:pt idx="863">
                  <c:v>45482.666666666599</c:v>
                </c:pt>
                <c:pt idx="864">
                  <c:v>45483.666666666599</c:v>
                </c:pt>
                <c:pt idx="865">
                  <c:v>45484.666666666599</c:v>
                </c:pt>
                <c:pt idx="866">
                  <c:v>45485.666666666599</c:v>
                </c:pt>
                <c:pt idx="867">
                  <c:v>45488.666666666599</c:v>
                </c:pt>
                <c:pt idx="868">
                  <c:v>45489.666666666599</c:v>
                </c:pt>
                <c:pt idx="869">
                  <c:v>45490.666666666599</c:v>
                </c:pt>
                <c:pt idx="870">
                  <c:v>45491.666666666599</c:v>
                </c:pt>
                <c:pt idx="871">
                  <c:v>45492.666666666599</c:v>
                </c:pt>
                <c:pt idx="872">
                  <c:v>45495.666666666599</c:v>
                </c:pt>
                <c:pt idx="873">
                  <c:v>45496.666666666599</c:v>
                </c:pt>
                <c:pt idx="874">
                  <c:v>45497.666666666599</c:v>
                </c:pt>
                <c:pt idx="875">
                  <c:v>45498.666666666599</c:v>
                </c:pt>
                <c:pt idx="876">
                  <c:v>45499.666666666599</c:v>
                </c:pt>
                <c:pt idx="877">
                  <c:v>45502.666666666599</c:v>
                </c:pt>
                <c:pt idx="878">
                  <c:v>45503.666666666599</c:v>
                </c:pt>
                <c:pt idx="879">
                  <c:v>45504.666666666599</c:v>
                </c:pt>
                <c:pt idx="880">
                  <c:v>45505.666666666599</c:v>
                </c:pt>
                <c:pt idx="881">
                  <c:v>45506.666666666599</c:v>
                </c:pt>
                <c:pt idx="882">
                  <c:v>45509.666666666599</c:v>
                </c:pt>
                <c:pt idx="883">
                  <c:v>45510.666666666599</c:v>
                </c:pt>
                <c:pt idx="884">
                  <c:v>45511.666666666599</c:v>
                </c:pt>
                <c:pt idx="885">
                  <c:v>45512.666666666599</c:v>
                </c:pt>
                <c:pt idx="886">
                  <c:v>45513.666666666599</c:v>
                </c:pt>
                <c:pt idx="887">
                  <c:v>45516.666666666599</c:v>
                </c:pt>
                <c:pt idx="888">
                  <c:v>45517.666666666599</c:v>
                </c:pt>
                <c:pt idx="889">
                  <c:v>45518.666666666599</c:v>
                </c:pt>
                <c:pt idx="890">
                  <c:v>45519.666666666599</c:v>
                </c:pt>
                <c:pt idx="891">
                  <c:v>45520.666666666599</c:v>
                </c:pt>
                <c:pt idx="892">
                  <c:v>45523.666666666599</c:v>
                </c:pt>
                <c:pt idx="893">
                  <c:v>45524.666666666599</c:v>
                </c:pt>
                <c:pt idx="894">
                  <c:v>45525.666666666599</c:v>
                </c:pt>
                <c:pt idx="895">
                  <c:v>45526.666666666599</c:v>
                </c:pt>
                <c:pt idx="896">
                  <c:v>45527.666666666599</c:v>
                </c:pt>
                <c:pt idx="897">
                  <c:v>45530.666666666599</c:v>
                </c:pt>
                <c:pt idx="898">
                  <c:v>45531.666666666599</c:v>
                </c:pt>
                <c:pt idx="899">
                  <c:v>45532.666666666599</c:v>
                </c:pt>
                <c:pt idx="900">
                  <c:v>45533.666666666599</c:v>
                </c:pt>
                <c:pt idx="901">
                  <c:v>45534.666666666599</c:v>
                </c:pt>
                <c:pt idx="902">
                  <c:v>45538.666666666599</c:v>
                </c:pt>
                <c:pt idx="903">
                  <c:v>45539.666666666599</c:v>
                </c:pt>
                <c:pt idx="904">
                  <c:v>45540.666666666599</c:v>
                </c:pt>
                <c:pt idx="905">
                  <c:v>45541.666666666599</c:v>
                </c:pt>
                <c:pt idx="906">
                  <c:v>45544.666666666599</c:v>
                </c:pt>
                <c:pt idx="907">
                  <c:v>45545.666666666599</c:v>
                </c:pt>
                <c:pt idx="908">
                  <c:v>45546.666666666599</c:v>
                </c:pt>
                <c:pt idx="909">
                  <c:v>45547.666666666599</c:v>
                </c:pt>
                <c:pt idx="910">
                  <c:v>45548.666666666599</c:v>
                </c:pt>
                <c:pt idx="911">
                  <c:v>45551.666666666599</c:v>
                </c:pt>
                <c:pt idx="912">
                  <c:v>45552.666666666599</c:v>
                </c:pt>
                <c:pt idx="913">
                  <c:v>45553.666666666599</c:v>
                </c:pt>
                <c:pt idx="914">
                  <c:v>45554.666666666599</c:v>
                </c:pt>
                <c:pt idx="915">
                  <c:v>45555.666666666599</c:v>
                </c:pt>
                <c:pt idx="916">
                  <c:v>45558.666666666599</c:v>
                </c:pt>
                <c:pt idx="917">
                  <c:v>45559.666666666599</c:v>
                </c:pt>
                <c:pt idx="918">
                  <c:v>45560.666666666599</c:v>
                </c:pt>
                <c:pt idx="919">
                  <c:v>45561.666666666599</c:v>
                </c:pt>
                <c:pt idx="920">
                  <c:v>45562.666666666599</c:v>
                </c:pt>
                <c:pt idx="921">
                  <c:v>45565.666666666599</c:v>
                </c:pt>
                <c:pt idx="922">
                  <c:v>45566.666666666599</c:v>
                </c:pt>
                <c:pt idx="923">
                  <c:v>45567.666666666599</c:v>
                </c:pt>
                <c:pt idx="924">
                  <c:v>45568.666666666599</c:v>
                </c:pt>
                <c:pt idx="925">
                  <c:v>45569.666666666599</c:v>
                </c:pt>
                <c:pt idx="926">
                  <c:v>45572.666666666599</c:v>
                </c:pt>
                <c:pt idx="927">
                  <c:v>45573.666666666599</c:v>
                </c:pt>
                <c:pt idx="928">
                  <c:v>45574.666666666599</c:v>
                </c:pt>
                <c:pt idx="929">
                  <c:v>45575.666666666599</c:v>
                </c:pt>
                <c:pt idx="930">
                  <c:v>45576.666666666599</c:v>
                </c:pt>
                <c:pt idx="931">
                  <c:v>45579.666666666599</c:v>
                </c:pt>
                <c:pt idx="932">
                  <c:v>45580.666666666599</c:v>
                </c:pt>
                <c:pt idx="933">
                  <c:v>45581.666666666599</c:v>
                </c:pt>
                <c:pt idx="934">
                  <c:v>45582.666666666599</c:v>
                </c:pt>
                <c:pt idx="935">
                  <c:v>45583.666666666599</c:v>
                </c:pt>
                <c:pt idx="936">
                  <c:v>45586.666666666599</c:v>
                </c:pt>
                <c:pt idx="937">
                  <c:v>45587.666666666599</c:v>
                </c:pt>
                <c:pt idx="938">
                  <c:v>45588.666666666599</c:v>
                </c:pt>
                <c:pt idx="939">
                  <c:v>45589.666666666599</c:v>
                </c:pt>
                <c:pt idx="940">
                  <c:v>45590.666666666599</c:v>
                </c:pt>
                <c:pt idx="941">
                  <c:v>45593.666666666599</c:v>
                </c:pt>
                <c:pt idx="942">
                  <c:v>45594.666666666599</c:v>
                </c:pt>
                <c:pt idx="943">
                  <c:v>45595.666666666599</c:v>
                </c:pt>
                <c:pt idx="944">
                  <c:v>45596.666666666599</c:v>
                </c:pt>
                <c:pt idx="945">
                  <c:v>45597.666666666599</c:v>
                </c:pt>
                <c:pt idx="946">
                  <c:v>45600.666666666599</c:v>
                </c:pt>
                <c:pt idx="947">
                  <c:v>45601.666666666599</c:v>
                </c:pt>
                <c:pt idx="948">
                  <c:v>45602.666666666599</c:v>
                </c:pt>
                <c:pt idx="949">
                  <c:v>45603.666666666599</c:v>
                </c:pt>
                <c:pt idx="950">
                  <c:v>45604.666666666599</c:v>
                </c:pt>
                <c:pt idx="951">
                  <c:v>45607.666666666599</c:v>
                </c:pt>
                <c:pt idx="952">
                  <c:v>45608.666666666599</c:v>
                </c:pt>
                <c:pt idx="953">
                  <c:v>45609.666666666599</c:v>
                </c:pt>
                <c:pt idx="954">
                  <c:v>45610.666666666599</c:v>
                </c:pt>
                <c:pt idx="955">
                  <c:v>45611.666666666599</c:v>
                </c:pt>
                <c:pt idx="956">
                  <c:v>45614.666666666599</c:v>
                </c:pt>
                <c:pt idx="957">
                  <c:v>45615.666666666599</c:v>
                </c:pt>
                <c:pt idx="958">
                  <c:v>45616.666666666599</c:v>
                </c:pt>
                <c:pt idx="959">
                  <c:v>45617.666666666599</c:v>
                </c:pt>
                <c:pt idx="960">
                  <c:v>45618.666666666599</c:v>
                </c:pt>
                <c:pt idx="961">
                  <c:v>45621.666666666599</c:v>
                </c:pt>
                <c:pt idx="962">
                  <c:v>45622.666666666599</c:v>
                </c:pt>
                <c:pt idx="963">
                  <c:v>45623.666666666599</c:v>
                </c:pt>
                <c:pt idx="964">
                  <c:v>45625.552083333299</c:v>
                </c:pt>
                <c:pt idx="965">
                  <c:v>45628.666666666599</c:v>
                </c:pt>
                <c:pt idx="966">
                  <c:v>45629.666666666599</c:v>
                </c:pt>
                <c:pt idx="967">
                  <c:v>45630.666666666599</c:v>
                </c:pt>
                <c:pt idx="968">
                  <c:v>45631.666666666599</c:v>
                </c:pt>
                <c:pt idx="969">
                  <c:v>45632.666666666599</c:v>
                </c:pt>
                <c:pt idx="970">
                  <c:v>45635.666666666599</c:v>
                </c:pt>
                <c:pt idx="971">
                  <c:v>45636.666666666599</c:v>
                </c:pt>
                <c:pt idx="972">
                  <c:v>45637.666666666599</c:v>
                </c:pt>
                <c:pt idx="973">
                  <c:v>45638.666666666599</c:v>
                </c:pt>
                <c:pt idx="974">
                  <c:v>45639.666666666599</c:v>
                </c:pt>
                <c:pt idx="975">
                  <c:v>45642.666666666599</c:v>
                </c:pt>
                <c:pt idx="976">
                  <c:v>45643.666666666599</c:v>
                </c:pt>
                <c:pt idx="977">
                  <c:v>45644.666666666599</c:v>
                </c:pt>
                <c:pt idx="978">
                  <c:v>45645.666666666599</c:v>
                </c:pt>
                <c:pt idx="979">
                  <c:v>45646.666666666599</c:v>
                </c:pt>
                <c:pt idx="980">
                  <c:v>45649.666666666599</c:v>
                </c:pt>
                <c:pt idx="981">
                  <c:v>45650.541666666599</c:v>
                </c:pt>
                <c:pt idx="982">
                  <c:v>45652.666666666599</c:v>
                </c:pt>
                <c:pt idx="983">
                  <c:v>45653.666666666599</c:v>
                </c:pt>
                <c:pt idx="984">
                  <c:v>45656.666666666599</c:v>
                </c:pt>
                <c:pt idx="985">
                  <c:v>45657.666666666599</c:v>
                </c:pt>
                <c:pt idx="986">
                  <c:v>45659.666666666599</c:v>
                </c:pt>
                <c:pt idx="987">
                  <c:v>45660.666666666599</c:v>
                </c:pt>
                <c:pt idx="988">
                  <c:v>45663.666666666599</c:v>
                </c:pt>
                <c:pt idx="989">
                  <c:v>45664.666666666599</c:v>
                </c:pt>
                <c:pt idx="990">
                  <c:v>45665.666666666599</c:v>
                </c:pt>
                <c:pt idx="991">
                  <c:v>45667.666666666599</c:v>
                </c:pt>
                <c:pt idx="992">
                  <c:v>45670.666666666599</c:v>
                </c:pt>
                <c:pt idx="993">
                  <c:v>45671.666666666599</c:v>
                </c:pt>
                <c:pt idx="994">
                  <c:v>45672.666666666599</c:v>
                </c:pt>
                <c:pt idx="995">
                  <c:v>45673.666666666599</c:v>
                </c:pt>
                <c:pt idx="996">
                  <c:v>45674.666666666599</c:v>
                </c:pt>
                <c:pt idx="997">
                  <c:v>45678.666666666599</c:v>
                </c:pt>
                <c:pt idx="998">
                  <c:v>45679.666666666599</c:v>
                </c:pt>
                <c:pt idx="999">
                  <c:v>45680.666666666599</c:v>
                </c:pt>
                <c:pt idx="1000">
                  <c:v>45681.666666666599</c:v>
                </c:pt>
                <c:pt idx="1001">
                  <c:v>45684.666666666599</c:v>
                </c:pt>
                <c:pt idx="1002">
                  <c:v>45685.666666666599</c:v>
                </c:pt>
                <c:pt idx="1003">
                  <c:v>45686.666666666599</c:v>
                </c:pt>
                <c:pt idx="1004">
                  <c:v>45687.666666666599</c:v>
                </c:pt>
                <c:pt idx="1005">
                  <c:v>45688.666666666599</c:v>
                </c:pt>
                <c:pt idx="1006">
                  <c:v>45691.666666666599</c:v>
                </c:pt>
                <c:pt idx="1007">
                  <c:v>45692.666666666599</c:v>
                </c:pt>
                <c:pt idx="1008">
                  <c:v>45693.666666666599</c:v>
                </c:pt>
                <c:pt idx="1009">
                  <c:v>45694.666666666599</c:v>
                </c:pt>
                <c:pt idx="1010">
                  <c:v>45695.666666666599</c:v>
                </c:pt>
                <c:pt idx="1011">
                  <c:v>45698.666666666599</c:v>
                </c:pt>
                <c:pt idx="1012">
                  <c:v>45699.666666666599</c:v>
                </c:pt>
                <c:pt idx="1013">
                  <c:v>45700.666666666599</c:v>
                </c:pt>
                <c:pt idx="1014">
                  <c:v>45701.666666666599</c:v>
                </c:pt>
                <c:pt idx="1015">
                  <c:v>45702.666666666599</c:v>
                </c:pt>
                <c:pt idx="1016">
                  <c:v>45706.666666666599</c:v>
                </c:pt>
                <c:pt idx="1017">
                  <c:v>45707.666666666599</c:v>
                </c:pt>
                <c:pt idx="1018">
                  <c:v>45708.666666666599</c:v>
                </c:pt>
                <c:pt idx="1019">
                  <c:v>45709.666666666599</c:v>
                </c:pt>
                <c:pt idx="1020">
                  <c:v>45712.666666666599</c:v>
                </c:pt>
                <c:pt idx="1021">
                  <c:v>45713.666666666599</c:v>
                </c:pt>
                <c:pt idx="1022">
                  <c:v>45714.666666666599</c:v>
                </c:pt>
                <c:pt idx="1023">
                  <c:v>45715.666666666599</c:v>
                </c:pt>
                <c:pt idx="1024">
                  <c:v>45716.666666666599</c:v>
                </c:pt>
                <c:pt idx="1025">
                  <c:v>45719.666666666599</c:v>
                </c:pt>
                <c:pt idx="1026">
                  <c:v>45720.666666666599</c:v>
                </c:pt>
                <c:pt idx="1027">
                  <c:v>45721.666666666599</c:v>
                </c:pt>
                <c:pt idx="1028">
                  <c:v>45722.666666666599</c:v>
                </c:pt>
                <c:pt idx="1029">
                  <c:v>45723.666666666599</c:v>
                </c:pt>
                <c:pt idx="1030">
                  <c:v>45726.666666666599</c:v>
                </c:pt>
                <c:pt idx="1031">
                  <c:v>45727.666666666599</c:v>
                </c:pt>
                <c:pt idx="1032">
                  <c:v>45728.666666666599</c:v>
                </c:pt>
                <c:pt idx="1033">
                  <c:v>45729.666666666599</c:v>
                </c:pt>
                <c:pt idx="1034">
                  <c:v>45730.666666666599</c:v>
                </c:pt>
                <c:pt idx="1035">
                  <c:v>45733.666666666599</c:v>
                </c:pt>
                <c:pt idx="1036">
                  <c:v>45734.666666666599</c:v>
                </c:pt>
                <c:pt idx="1037">
                  <c:v>45735.666666666599</c:v>
                </c:pt>
                <c:pt idx="1038">
                  <c:v>45736.666666666599</c:v>
                </c:pt>
                <c:pt idx="1039">
                  <c:v>45737.666666666599</c:v>
                </c:pt>
                <c:pt idx="1040">
                  <c:v>45740.666666666599</c:v>
                </c:pt>
                <c:pt idx="1041">
                  <c:v>45741.666666666599</c:v>
                </c:pt>
                <c:pt idx="1042">
                  <c:v>45742.666666666599</c:v>
                </c:pt>
                <c:pt idx="1043">
                  <c:v>45743.666666666599</c:v>
                </c:pt>
                <c:pt idx="1044">
                  <c:v>45744.666666666599</c:v>
                </c:pt>
                <c:pt idx="1045">
                  <c:v>45747.666666666599</c:v>
                </c:pt>
                <c:pt idx="1046">
                  <c:v>45748.666666666599</c:v>
                </c:pt>
                <c:pt idx="1047">
                  <c:v>45749.666666666599</c:v>
                </c:pt>
                <c:pt idx="1048">
                  <c:v>45750.666666666599</c:v>
                </c:pt>
                <c:pt idx="1049">
                  <c:v>45751.666666666599</c:v>
                </c:pt>
                <c:pt idx="1050">
                  <c:v>45754.666666666599</c:v>
                </c:pt>
                <c:pt idx="1051">
                  <c:v>45755.666666666599</c:v>
                </c:pt>
                <c:pt idx="1052">
                  <c:v>45756.666666666599</c:v>
                </c:pt>
                <c:pt idx="1053">
                  <c:v>45757.666666666599</c:v>
                </c:pt>
                <c:pt idx="1054">
                  <c:v>45758.666666666599</c:v>
                </c:pt>
                <c:pt idx="1055">
                  <c:v>45761.666666666599</c:v>
                </c:pt>
                <c:pt idx="1056">
                  <c:v>45762.666666666599</c:v>
                </c:pt>
                <c:pt idx="1057">
                  <c:v>45763.666666666599</c:v>
                </c:pt>
                <c:pt idx="1058">
                  <c:v>45764.666666666599</c:v>
                </c:pt>
                <c:pt idx="1059">
                  <c:v>45768.666666666599</c:v>
                </c:pt>
                <c:pt idx="1060">
                  <c:v>45769.666666666599</c:v>
                </c:pt>
                <c:pt idx="1061">
                  <c:v>45770.666666666599</c:v>
                </c:pt>
                <c:pt idx="1062">
                  <c:v>45771.666666666599</c:v>
                </c:pt>
                <c:pt idx="1063">
                  <c:v>45772.666666666599</c:v>
                </c:pt>
                <c:pt idx="1064">
                  <c:v>45775.666666666599</c:v>
                </c:pt>
                <c:pt idx="1065">
                  <c:v>45776.666666666599</c:v>
                </c:pt>
                <c:pt idx="1066">
                  <c:v>45777.666666666599</c:v>
                </c:pt>
                <c:pt idx="1067">
                  <c:v>45778.666666666599</c:v>
                </c:pt>
                <c:pt idx="1068">
                  <c:v>45779.666666666599</c:v>
                </c:pt>
                <c:pt idx="1069">
                  <c:v>45782.666666666599</c:v>
                </c:pt>
                <c:pt idx="1070">
                  <c:v>45783.666666666599</c:v>
                </c:pt>
                <c:pt idx="1071">
                  <c:v>45784.666666666599</c:v>
                </c:pt>
                <c:pt idx="1072">
                  <c:v>45785.666666666599</c:v>
                </c:pt>
                <c:pt idx="1073">
                  <c:v>45786.666666666599</c:v>
                </c:pt>
                <c:pt idx="1074">
                  <c:v>45789.666666666599</c:v>
                </c:pt>
                <c:pt idx="1075">
                  <c:v>45790.666666666599</c:v>
                </c:pt>
                <c:pt idx="1076">
                  <c:v>45791.666666666599</c:v>
                </c:pt>
                <c:pt idx="1077">
                  <c:v>45792.666666666599</c:v>
                </c:pt>
                <c:pt idx="1078">
                  <c:v>45793.666666666599</c:v>
                </c:pt>
                <c:pt idx="1079">
                  <c:v>45796.666666666599</c:v>
                </c:pt>
                <c:pt idx="1080">
                  <c:v>45797.666666666599</c:v>
                </c:pt>
                <c:pt idx="1081">
                  <c:v>45798.666666666599</c:v>
                </c:pt>
                <c:pt idx="1082">
                  <c:v>45799.666666666599</c:v>
                </c:pt>
                <c:pt idx="1083">
                  <c:v>45800.666666666599</c:v>
                </c:pt>
                <c:pt idx="1084">
                  <c:v>45804.666666666599</c:v>
                </c:pt>
                <c:pt idx="1085">
                  <c:v>45805.666666666599</c:v>
                </c:pt>
                <c:pt idx="1086">
                  <c:v>45806.666666666599</c:v>
                </c:pt>
                <c:pt idx="1087">
                  <c:v>45807.666666666599</c:v>
                </c:pt>
                <c:pt idx="1088">
                  <c:v>45810.666666666599</c:v>
                </c:pt>
                <c:pt idx="1089">
                  <c:v>45811.666666666599</c:v>
                </c:pt>
                <c:pt idx="1090">
                  <c:v>45812.666666666599</c:v>
                </c:pt>
                <c:pt idx="1091">
                  <c:v>45813.666666666599</c:v>
                </c:pt>
                <c:pt idx="1092">
                  <c:v>45814.666666666599</c:v>
                </c:pt>
                <c:pt idx="1093">
                  <c:v>45817.666666666599</c:v>
                </c:pt>
                <c:pt idx="1094">
                  <c:v>45818.666666666599</c:v>
                </c:pt>
                <c:pt idx="1095">
                  <c:v>45819.666666666599</c:v>
                </c:pt>
                <c:pt idx="1096">
                  <c:v>45820.666666666599</c:v>
                </c:pt>
                <c:pt idx="1097">
                  <c:v>45821.666666666599</c:v>
                </c:pt>
                <c:pt idx="1098">
                  <c:v>45824.666666666599</c:v>
                </c:pt>
                <c:pt idx="1099">
                  <c:v>45825.666666666599</c:v>
                </c:pt>
                <c:pt idx="1100">
                  <c:v>45826.666666666599</c:v>
                </c:pt>
                <c:pt idx="1101">
                  <c:v>45828.666666666599</c:v>
                </c:pt>
                <c:pt idx="1102">
                  <c:v>45831.666666666599</c:v>
                </c:pt>
                <c:pt idx="1103">
                  <c:v>45832.666666666599</c:v>
                </c:pt>
                <c:pt idx="1104">
                  <c:v>45833.666666666599</c:v>
                </c:pt>
                <c:pt idx="1105">
                  <c:v>45834.666666666599</c:v>
                </c:pt>
                <c:pt idx="1106">
                  <c:v>45835.666666666599</c:v>
                </c:pt>
                <c:pt idx="1107">
                  <c:v>45838.666666666599</c:v>
                </c:pt>
                <c:pt idx="1108">
                  <c:v>45839.666666666599</c:v>
                </c:pt>
                <c:pt idx="1109">
                  <c:v>45840.666666666599</c:v>
                </c:pt>
                <c:pt idx="1110">
                  <c:v>45841.552083333299</c:v>
                </c:pt>
                <c:pt idx="1111">
                  <c:v>45845.666666666599</c:v>
                </c:pt>
                <c:pt idx="1112">
                  <c:v>45846.666666666599</c:v>
                </c:pt>
                <c:pt idx="1113">
                  <c:v>45847.666666666599</c:v>
                </c:pt>
                <c:pt idx="1114">
                  <c:v>45848.666666666599</c:v>
                </c:pt>
                <c:pt idx="1115">
                  <c:v>45849.666666666599</c:v>
                </c:pt>
                <c:pt idx="1116">
                  <c:v>45852.666666666599</c:v>
                </c:pt>
                <c:pt idx="1117">
                  <c:v>45853.666666666599</c:v>
                </c:pt>
                <c:pt idx="1118">
                  <c:v>45854.666666666599</c:v>
                </c:pt>
                <c:pt idx="1119">
                  <c:v>45855.666666666599</c:v>
                </c:pt>
                <c:pt idx="1120">
                  <c:v>45856.666666666599</c:v>
                </c:pt>
                <c:pt idx="1121">
                  <c:v>45859.666666666599</c:v>
                </c:pt>
                <c:pt idx="1122">
                  <c:v>45860.666666666599</c:v>
                </c:pt>
                <c:pt idx="1123">
                  <c:v>45861.666666666599</c:v>
                </c:pt>
                <c:pt idx="1124">
                  <c:v>45862.666666666599</c:v>
                </c:pt>
                <c:pt idx="1125">
                  <c:v>45863.666666666599</c:v>
                </c:pt>
                <c:pt idx="1126">
                  <c:v>45866.666666666599</c:v>
                </c:pt>
                <c:pt idx="1127">
                  <c:v>45867.666666666599</c:v>
                </c:pt>
                <c:pt idx="1128">
                  <c:v>45868.666666666599</c:v>
                </c:pt>
                <c:pt idx="1129">
                  <c:v>45869.666666666599</c:v>
                </c:pt>
                <c:pt idx="1130">
                  <c:v>45870.666666666599</c:v>
                </c:pt>
                <c:pt idx="1131">
                  <c:v>45873.666666666599</c:v>
                </c:pt>
                <c:pt idx="1132">
                  <c:v>45874.666666666599</c:v>
                </c:pt>
                <c:pt idx="1133">
                  <c:v>45875.666666666599</c:v>
                </c:pt>
                <c:pt idx="1134">
                  <c:v>45876.666666666599</c:v>
                </c:pt>
                <c:pt idx="1135">
                  <c:v>45877.666666666599</c:v>
                </c:pt>
                <c:pt idx="1136">
                  <c:v>45880.666666666599</c:v>
                </c:pt>
                <c:pt idx="1137">
                  <c:v>45881.666666666599</c:v>
                </c:pt>
                <c:pt idx="1138">
                  <c:v>45882.666666666599</c:v>
                </c:pt>
                <c:pt idx="1139">
                  <c:v>45883.666666666599</c:v>
                </c:pt>
                <c:pt idx="1140">
                  <c:v>45884.666666666599</c:v>
                </c:pt>
                <c:pt idx="1141">
                  <c:v>45887.666666666599</c:v>
                </c:pt>
                <c:pt idx="1142">
                  <c:v>45888.666666666599</c:v>
                </c:pt>
                <c:pt idx="1143">
                  <c:v>45889.666666666599</c:v>
                </c:pt>
                <c:pt idx="1144">
                  <c:v>45890.666666666599</c:v>
                </c:pt>
                <c:pt idx="1145">
                  <c:v>45891.666666666599</c:v>
                </c:pt>
                <c:pt idx="1146">
                  <c:v>45894.666666666599</c:v>
                </c:pt>
                <c:pt idx="1147">
                  <c:v>45895.666666666599</c:v>
                </c:pt>
                <c:pt idx="1148">
                  <c:v>45896.666666666599</c:v>
                </c:pt>
                <c:pt idx="1149">
                  <c:v>45897.666666666599</c:v>
                </c:pt>
                <c:pt idx="1150">
                  <c:v>45898.666666666599</c:v>
                </c:pt>
                <c:pt idx="1151">
                  <c:v>45902.666666666599</c:v>
                </c:pt>
                <c:pt idx="1152">
                  <c:v>45903.666666666599</c:v>
                </c:pt>
                <c:pt idx="1153">
                  <c:v>45904.666666666599</c:v>
                </c:pt>
                <c:pt idx="1154">
                  <c:v>45905.666666666599</c:v>
                </c:pt>
                <c:pt idx="1155">
                  <c:v>45908.666666666599</c:v>
                </c:pt>
                <c:pt idx="1156">
                  <c:v>45909.666666666599</c:v>
                </c:pt>
                <c:pt idx="1157">
                  <c:v>45910.666666666599</c:v>
                </c:pt>
                <c:pt idx="1158">
                  <c:v>45911.666666666599</c:v>
                </c:pt>
                <c:pt idx="1159">
                  <c:v>45912.666666666599</c:v>
                </c:pt>
                <c:pt idx="1160">
                  <c:v>45915.666666666599</c:v>
                </c:pt>
                <c:pt idx="1161">
                  <c:v>45916.666666666599</c:v>
                </c:pt>
                <c:pt idx="1162">
                  <c:v>45917.666666666599</c:v>
                </c:pt>
                <c:pt idx="1163">
                  <c:v>45918.666666666599</c:v>
                </c:pt>
                <c:pt idx="1164">
                  <c:v>45919.666666666599</c:v>
                </c:pt>
                <c:pt idx="1165">
                  <c:v>45922.666666666599</c:v>
                </c:pt>
                <c:pt idx="1166">
                  <c:v>45923.666666666599</c:v>
                </c:pt>
                <c:pt idx="1167">
                  <c:v>45924.666666666599</c:v>
                </c:pt>
                <c:pt idx="1168">
                  <c:v>45925.666666666599</c:v>
                </c:pt>
                <c:pt idx="1169">
                  <c:v>45926.666666666599</c:v>
                </c:pt>
                <c:pt idx="1170">
                  <c:v>45929.666666666599</c:v>
                </c:pt>
                <c:pt idx="1171">
                  <c:v>45930.666666666599</c:v>
                </c:pt>
                <c:pt idx="1172">
                  <c:v>45931.666666666599</c:v>
                </c:pt>
                <c:pt idx="1173">
                  <c:v>45932.666666666599</c:v>
                </c:pt>
                <c:pt idx="1174">
                  <c:v>45933.666666666599</c:v>
                </c:pt>
                <c:pt idx="1175">
                  <c:v>45936.666666666599</c:v>
                </c:pt>
                <c:pt idx="1176">
                  <c:v>45937.666666666599</c:v>
                </c:pt>
                <c:pt idx="1177">
                  <c:v>45938.666666666599</c:v>
                </c:pt>
                <c:pt idx="1178">
                  <c:v>45939.666666666599</c:v>
                </c:pt>
                <c:pt idx="1179">
                  <c:v>45940.666666666599</c:v>
                </c:pt>
                <c:pt idx="1180">
                  <c:v>45943.666666666599</c:v>
                </c:pt>
                <c:pt idx="1181">
                  <c:v>45944.666666666599</c:v>
                </c:pt>
                <c:pt idx="1182">
                  <c:v>45945.666666666599</c:v>
                </c:pt>
                <c:pt idx="1183">
                  <c:v>45946.666666666599</c:v>
                </c:pt>
                <c:pt idx="1184">
                  <c:v>45947.666666666599</c:v>
                </c:pt>
                <c:pt idx="1185">
                  <c:v>45950.666666666599</c:v>
                </c:pt>
                <c:pt idx="1186">
                  <c:v>45951.666666666599</c:v>
                </c:pt>
                <c:pt idx="1187">
                  <c:v>45952.666666666599</c:v>
                </c:pt>
                <c:pt idx="1188">
                  <c:v>45953.666666666599</c:v>
                </c:pt>
                <c:pt idx="1189">
                  <c:v>45954.666666666599</c:v>
                </c:pt>
                <c:pt idx="1190">
                  <c:v>45957.666666666599</c:v>
                </c:pt>
                <c:pt idx="1191">
                  <c:v>45958.666666666599</c:v>
                </c:pt>
                <c:pt idx="1192">
                  <c:v>45959.666666666599</c:v>
                </c:pt>
                <c:pt idx="1193">
                  <c:v>45960.666666666599</c:v>
                </c:pt>
                <c:pt idx="1194">
                  <c:v>45961.666666666599</c:v>
                </c:pt>
                <c:pt idx="1195">
                  <c:v>45964.666666666599</c:v>
                </c:pt>
                <c:pt idx="1196">
                  <c:v>45965.666666666599</c:v>
                </c:pt>
                <c:pt idx="1197">
                  <c:v>45966.666666666599</c:v>
                </c:pt>
                <c:pt idx="1198">
                  <c:v>45967.666666666599</c:v>
                </c:pt>
                <c:pt idx="1199">
                  <c:v>45968.666666666599</c:v>
                </c:pt>
                <c:pt idx="1200">
                  <c:v>45971.666666666599</c:v>
                </c:pt>
                <c:pt idx="1201">
                  <c:v>45972.666666666599</c:v>
                </c:pt>
                <c:pt idx="1202">
                  <c:v>45973.666666666599</c:v>
                </c:pt>
                <c:pt idx="1203">
                  <c:v>45974.666666666599</c:v>
                </c:pt>
                <c:pt idx="1204">
                  <c:v>45975.666666666599</c:v>
                </c:pt>
                <c:pt idx="1205">
                  <c:v>45978.666666666599</c:v>
                </c:pt>
                <c:pt idx="1206">
                  <c:v>45979.666666666599</c:v>
                </c:pt>
                <c:pt idx="1207">
                  <c:v>45980.666666666599</c:v>
                </c:pt>
                <c:pt idx="1208">
                  <c:v>45981.666666666599</c:v>
                </c:pt>
                <c:pt idx="1209">
                  <c:v>45982.666666666599</c:v>
                </c:pt>
                <c:pt idx="1210">
                  <c:v>45985.666666666599</c:v>
                </c:pt>
                <c:pt idx="1211">
                  <c:v>45986.666666666599</c:v>
                </c:pt>
                <c:pt idx="1212">
                  <c:v>45987.666666666599</c:v>
                </c:pt>
                <c:pt idx="1213">
                  <c:v>45989.552083333299</c:v>
                </c:pt>
                <c:pt idx="1214">
                  <c:v>45992.666666666599</c:v>
                </c:pt>
                <c:pt idx="1215">
                  <c:v>45993.666666666599</c:v>
                </c:pt>
                <c:pt idx="1216">
                  <c:v>45994.666666666599</c:v>
                </c:pt>
                <c:pt idx="1217">
                  <c:v>45995.666666666599</c:v>
                </c:pt>
                <c:pt idx="1218">
                  <c:v>45996.666666666599</c:v>
                </c:pt>
                <c:pt idx="1219">
                  <c:v>45999.666666666599</c:v>
                </c:pt>
                <c:pt idx="1220">
                  <c:v>46000.666666666599</c:v>
                </c:pt>
                <c:pt idx="1221">
                  <c:v>46001.666666666599</c:v>
                </c:pt>
                <c:pt idx="1222">
                  <c:v>46002.666666666599</c:v>
                </c:pt>
                <c:pt idx="1223">
                  <c:v>46003.666666666599</c:v>
                </c:pt>
                <c:pt idx="1224">
                  <c:v>46006.666666666599</c:v>
                </c:pt>
                <c:pt idx="1225">
                  <c:v>46007.666666666599</c:v>
                </c:pt>
                <c:pt idx="1226">
                  <c:v>46008.666666666599</c:v>
                </c:pt>
                <c:pt idx="1227">
                  <c:v>46009.666666666599</c:v>
                </c:pt>
                <c:pt idx="1228">
                  <c:v>46010.666666666599</c:v>
                </c:pt>
                <c:pt idx="1229">
                  <c:v>46013.666666666599</c:v>
                </c:pt>
                <c:pt idx="1230">
                  <c:v>46014.666666666599</c:v>
                </c:pt>
                <c:pt idx="1231">
                  <c:v>46015.541666666599</c:v>
                </c:pt>
                <c:pt idx="1232">
                  <c:v>46017.666666666599</c:v>
                </c:pt>
                <c:pt idx="1233">
                  <c:v>46020.666666666599</c:v>
                </c:pt>
                <c:pt idx="1234">
                  <c:v>46021.666666666599</c:v>
                </c:pt>
                <c:pt idx="1235">
                  <c:v>46022.666666666599</c:v>
                </c:pt>
                <c:pt idx="1236">
                  <c:v>46024.666666666599</c:v>
                </c:pt>
                <c:pt idx="1237">
                  <c:v>46027.666666666599</c:v>
                </c:pt>
                <c:pt idx="1238">
                  <c:v>46028.666666666599</c:v>
                </c:pt>
                <c:pt idx="1239">
                  <c:v>46029.666666666599</c:v>
                </c:pt>
                <c:pt idx="1240">
                  <c:v>46030.666666666599</c:v>
                </c:pt>
                <c:pt idx="1241">
                  <c:v>46031.666666666599</c:v>
                </c:pt>
                <c:pt idx="1242">
                  <c:v>46034.666666666599</c:v>
                </c:pt>
                <c:pt idx="1243">
                  <c:v>46035.666666666599</c:v>
                </c:pt>
                <c:pt idx="1244">
                  <c:v>46036.666666666599</c:v>
                </c:pt>
                <c:pt idx="1245">
                  <c:v>46037.666666666599</c:v>
                </c:pt>
                <c:pt idx="1246">
                  <c:v>46038.666666666599</c:v>
                </c:pt>
                <c:pt idx="1247">
                  <c:v>46042.666666666599</c:v>
                </c:pt>
                <c:pt idx="1248">
                  <c:v>46043.666666666599</c:v>
                </c:pt>
                <c:pt idx="1249">
                  <c:v>46044.666666666599</c:v>
                </c:pt>
                <c:pt idx="1250">
                  <c:v>46045.666666666599</c:v>
                </c:pt>
                <c:pt idx="1251">
                  <c:v>46048.666666666599</c:v>
                </c:pt>
                <c:pt idx="1252">
                  <c:v>46049.666666666599</c:v>
                </c:pt>
                <c:pt idx="1253">
                  <c:v>46050.666666666599</c:v>
                </c:pt>
                <c:pt idx="1254">
                  <c:v>46051.666666666599</c:v>
                </c:pt>
              </c:numCache>
            </c:numRef>
          </c:cat>
          <c:val>
            <c:numRef>
              <c:f>Sheet1!$O$2:$O$1256</c:f>
              <c:numCache>
                <c:formatCode>General</c:formatCode>
                <c:ptCount val="1255"/>
                <c:pt idx="0">
                  <c:v>1</c:v>
                </c:pt>
                <c:pt idx="1">
                  <c:v>1.0141402865268585</c:v>
                </c:pt>
                <c:pt idx="2">
                  <c:v>1.0149376711054408</c:v>
                </c:pt>
                <c:pt idx="3">
                  <c:v>1.0264731680089305</c:v>
                </c:pt>
                <c:pt idx="4">
                  <c:v>1.030513249873747</c:v>
                </c:pt>
                <c:pt idx="5">
                  <c:v>1.0379555059405148</c:v>
                </c:pt>
                <c:pt idx="6">
                  <c:v>1.0372644393057435</c:v>
                </c:pt>
                <c:pt idx="7">
                  <c:v>1.0368125880445469</c:v>
                </c:pt>
                <c:pt idx="8">
                  <c:v>1.0384870956595695</c:v>
                </c:pt>
                <c:pt idx="9">
                  <c:v>1.0436169364484487</c:v>
                </c:pt>
                <c:pt idx="10">
                  <c:v>1.0427132339260554</c:v>
                </c:pt>
                <c:pt idx="11">
                  <c:v>1.0429524492996298</c:v>
                </c:pt>
                <c:pt idx="12">
                  <c:v>1.0385136751455222</c:v>
                </c:pt>
                <c:pt idx="13">
                  <c:v>1.0366796906147828</c:v>
                </c:pt>
                <c:pt idx="14">
                  <c:v>1.0287058448289603</c:v>
                </c:pt>
                <c:pt idx="15">
                  <c:v>1.0299550806687392</c:v>
                </c:pt>
                <c:pt idx="16">
                  <c:v>1.0413045211705598</c:v>
                </c:pt>
                <c:pt idx="17">
                  <c:v>1.0162134864311716</c:v>
                </c:pt>
                <c:pt idx="18">
                  <c:v>1.0109773276984815</c:v>
                </c:pt>
                <c:pt idx="19">
                  <c:v>1.0354836137469092</c:v>
                </c:pt>
                <c:pt idx="20">
                  <c:v>1.0274034500172757</c:v>
                </c:pt>
                <c:pt idx="21">
                  <c:v>1.013794753209472</c:v>
                </c:pt>
                <c:pt idx="22">
                  <c:v>1.0012492358397778</c:v>
                </c:pt>
                <c:pt idx="23">
                  <c:v>1.0196688196050276</c:v>
                </c:pt>
                <c:pt idx="24">
                  <c:v>1.014592137788054</c:v>
                </c:pt>
                <c:pt idx="25">
                  <c:v>1.0290779576322984</c:v>
                </c:pt>
                <c:pt idx="26">
                  <c:v>1.035483613746909</c:v>
                </c:pt>
                <c:pt idx="27">
                  <c:v>1.0459825106982419</c:v>
                </c:pt>
                <c:pt idx="28">
                  <c:v>1.0473912234537373</c:v>
                </c:pt>
                <c:pt idx="29">
                  <c:v>1.0536374026526316</c:v>
                </c:pt>
                <c:pt idx="30">
                  <c:v>1.0523084283549946</c:v>
                </c:pt>
                <c:pt idx="31">
                  <c:v>1.0558966589586145</c:v>
                </c:pt>
                <c:pt idx="32">
                  <c:v>1.04053371607793</c:v>
                </c:pt>
                <c:pt idx="33">
                  <c:v>1.0352178188873817</c:v>
                </c:pt>
                <c:pt idx="34">
                  <c:v>1.0434840390186841</c:v>
                </c:pt>
                <c:pt idx="35">
                  <c:v>1.035270977859287</c:v>
                </c:pt>
                <c:pt idx="36">
                  <c:v>1.030008239640644</c:v>
                </c:pt>
                <c:pt idx="37">
                  <c:v>1.0358025675783418</c:v>
                </c:pt>
                <c:pt idx="38">
                  <c:v>1.0524944847566635</c:v>
                </c:pt>
                <c:pt idx="39">
                  <c:v>1.0519628950376085</c:v>
                </c:pt>
                <c:pt idx="40">
                  <c:v>1.0491720490125709</c:v>
                </c:pt>
                <c:pt idx="41">
                  <c:v>1.0534247667650094</c:v>
                </c:pt>
                <c:pt idx="42">
                  <c:v>1.0648007867527831</c:v>
                </c:pt>
                <c:pt idx="43">
                  <c:v>1.0800839911756095</c:v>
                </c:pt>
                <c:pt idx="44">
                  <c:v>1.0794460835127435</c:v>
                </c:pt>
                <c:pt idx="45">
                  <c:v>1.0806953193525222</c:v>
                </c:pt>
                <c:pt idx="46">
                  <c:v>1.0858251601414013</c:v>
                </c:pt>
                <c:pt idx="47">
                  <c:v>1.0937192674693657</c:v>
                </c:pt>
                <c:pt idx="48">
                  <c:v>1.0941179597586568</c:v>
                </c:pt>
                <c:pt idx="49">
                  <c:v>1.0973606570448913</c:v>
                </c:pt>
                <c:pt idx="50">
                  <c:v>1.0936129495255547</c:v>
                </c:pt>
                <c:pt idx="51">
                  <c:v>1.1053610823166664</c:v>
                </c:pt>
                <c:pt idx="52">
                  <c:v>1.1090556308640973</c:v>
                </c:pt>
                <c:pt idx="53">
                  <c:v>1.1036068362437852</c:v>
                </c:pt>
                <c:pt idx="54">
                  <c:v>1.0955266725141517</c:v>
                </c:pt>
                <c:pt idx="55">
                  <c:v>1.1058926720357209</c:v>
                </c:pt>
                <c:pt idx="56">
                  <c:v>1.0957924673736792</c:v>
                </c:pt>
                <c:pt idx="57">
                  <c:v>1.1076734975945548</c:v>
                </c:pt>
                <c:pt idx="58">
                  <c:v>1.1099859128724434</c:v>
                </c:pt>
                <c:pt idx="59">
                  <c:v>1.1097466974988686</c:v>
                </c:pt>
                <c:pt idx="60">
                  <c:v>1.1094277436674356</c:v>
                </c:pt>
                <c:pt idx="61">
                  <c:v>1.116497886930865</c:v>
                </c:pt>
                <c:pt idx="62">
                  <c:v>1.1091619488079083</c:v>
                </c:pt>
                <c:pt idx="63">
                  <c:v>1.1115541025436551</c:v>
                </c:pt>
                <c:pt idx="64">
                  <c:v>1.1046965951678478</c:v>
                </c:pt>
                <c:pt idx="65">
                  <c:v>1.1050421284852334</c:v>
                </c:pt>
                <c:pt idx="66">
                  <c:v>1.1138665178215437</c:v>
                </c:pt>
                <c:pt idx="67">
                  <c:v>1.1219732610371298</c:v>
                </c:pt>
                <c:pt idx="68">
                  <c:v>1.1108630359088838</c:v>
                </c:pt>
                <c:pt idx="69">
                  <c:v>1.1009488876485112</c:v>
                </c:pt>
                <c:pt idx="70">
                  <c:v>1.0775589400100987</c:v>
                </c:pt>
                <c:pt idx="71">
                  <c:v>1.0905031496690836</c:v>
                </c:pt>
                <c:pt idx="72">
                  <c:v>1.1072482258193108</c:v>
                </c:pt>
                <c:pt idx="73">
                  <c:v>1.1044308003083203</c:v>
                </c:pt>
                <c:pt idx="74">
                  <c:v>1.0949153443372388</c:v>
                </c:pt>
                <c:pt idx="75">
                  <c:v>1.0920447598543428</c:v>
                </c:pt>
                <c:pt idx="76">
                  <c:v>1.1037928926454545</c:v>
                </c:pt>
                <c:pt idx="77">
                  <c:v>1.1028891901230613</c:v>
                </c:pt>
                <c:pt idx="78">
                  <c:v>1.1141323126810709</c:v>
                </c:pt>
                <c:pt idx="79">
                  <c:v>1.111660420487466</c:v>
                </c:pt>
                <c:pt idx="80">
                  <c:v>1.1138665178215434</c:v>
                </c:pt>
                <c:pt idx="81">
                  <c:v>1.1144512665125039</c:v>
                </c:pt>
                <c:pt idx="82">
                  <c:v>1.1164447279589595</c:v>
                </c:pt>
                <c:pt idx="83">
                  <c:v>1.1154612869787082</c:v>
                </c:pt>
                <c:pt idx="84">
                  <c:v>1.1172155330515892</c:v>
                </c:pt>
                <c:pt idx="85">
                  <c:v>1.1130691332429614</c:v>
                </c:pt>
                <c:pt idx="86">
                  <c:v>1.1232490763628618</c:v>
                </c:pt>
                <c:pt idx="87">
                  <c:v>1.1221593174387994</c:v>
                </c:pt>
                <c:pt idx="88">
                  <c:v>1.122398532812374</c:v>
                </c:pt>
                <c:pt idx="89">
                  <c:v>1.1207240251973514</c:v>
                </c:pt>
                <c:pt idx="90">
                  <c:v>1.1259336044440889</c:v>
                </c:pt>
                <c:pt idx="91">
                  <c:v>1.1277941684607808</c:v>
                </c:pt>
                <c:pt idx="92">
                  <c:v>1.1303192196262912</c:v>
                </c:pt>
                <c:pt idx="93">
                  <c:v>1.1282460197219775</c:v>
                </c:pt>
                <c:pt idx="94">
                  <c:v>1.1219466815511778</c:v>
                </c:pt>
                <c:pt idx="95">
                  <c:v>1.1215745687478393</c:v>
                </c:pt>
                <c:pt idx="96">
                  <c:v>1.1028360311511565</c:v>
                </c:pt>
                <c:pt idx="97">
                  <c:v>1.118624245807085</c:v>
                </c:pt>
                <c:pt idx="98">
                  <c:v>1.1246046301464518</c:v>
                </c:pt>
                <c:pt idx="99">
                  <c:v>1.123249076362862</c:v>
                </c:pt>
                <c:pt idx="100">
                  <c:v>1.1298939478510475</c:v>
                </c:pt>
                <c:pt idx="101">
                  <c:v>1.1339074502299116</c:v>
                </c:pt>
                <c:pt idx="102">
                  <c:v>1.1361932860218475</c:v>
                </c:pt>
                <c:pt idx="103">
                  <c:v>1.1368046141987604</c:v>
                </c:pt>
                <c:pt idx="104">
                  <c:v>1.1377614756930592</c:v>
                </c:pt>
                <c:pt idx="105">
                  <c:v>1.144060813863859</c:v>
                </c:pt>
                <c:pt idx="106">
                  <c:v>1.1528054647423112</c:v>
                </c:pt>
                <c:pt idx="107">
                  <c:v>1.1507056853520445</c:v>
                </c:pt>
                <c:pt idx="108">
                  <c:v>1.1547723467028139</c:v>
                </c:pt>
                <c:pt idx="109">
                  <c:v>1.1453632086755434</c:v>
                </c:pt>
                <c:pt idx="110">
                  <c:v>1.1575897722138044</c:v>
                </c:pt>
                <c:pt idx="111">
                  <c:v>1.1617361720224322</c:v>
                </c:pt>
                <c:pt idx="112">
                  <c:v>1.1577758286154736</c:v>
                </c:pt>
                <c:pt idx="113">
                  <c:v>1.1595034952024019</c:v>
                </c:pt>
                <c:pt idx="114">
                  <c:v>1.1555431517954433</c:v>
                </c:pt>
                <c:pt idx="115">
                  <c:v>1.1464795470855584</c:v>
                </c:pt>
                <c:pt idx="116">
                  <c:v>1.1295484145336621</c:v>
                </c:pt>
                <c:pt idx="117">
                  <c:v>1.1457353214788817</c:v>
                </c:pt>
                <c:pt idx="118">
                  <c:v>1.1550115620763886</c:v>
                </c:pt>
                <c:pt idx="119">
                  <c:v>1.1574302952980882</c:v>
                </c:pt>
                <c:pt idx="120">
                  <c:v>1.1693379050049166</c:v>
                </c:pt>
                <c:pt idx="121">
                  <c:v>1.1722084894878126</c:v>
                </c:pt>
                <c:pt idx="122">
                  <c:v>1.1668660128113115</c:v>
                </c:pt>
                <c:pt idx="123">
                  <c:v>1.166387582064162</c:v>
                </c:pt>
                <c:pt idx="124">
                  <c:v>1.171225048507561</c:v>
                </c:pt>
                <c:pt idx="125">
                  <c:v>1.1655370385136743</c:v>
                </c:pt>
                <c:pt idx="126">
                  <c:v>1.163091725806022</c:v>
                </c:pt>
                <c:pt idx="127">
                  <c:v>1.172554022805198</c:v>
                </c:pt>
                <c:pt idx="128">
                  <c:v>1.1667862743534532</c:v>
                </c:pt>
                <c:pt idx="129">
                  <c:v>1.1741753714483152</c:v>
                </c:pt>
                <c:pt idx="130">
                  <c:v>1.1761156739228653</c:v>
                </c:pt>
                <c:pt idx="131">
                  <c:v>1.1751588124285666</c:v>
                </c:pt>
                <c:pt idx="132">
                  <c:v>1.1766206841559674</c:v>
                </c:pt>
                <c:pt idx="133">
                  <c:v>1.1795444276107687</c:v>
                </c:pt>
                <c:pt idx="134">
                  <c:v>1.1830794992424833</c:v>
                </c:pt>
                <c:pt idx="135">
                  <c:v>1.1852324376046552</c:v>
                </c:pt>
                <c:pt idx="136">
                  <c:v>1.1880232836296931</c:v>
                </c:pt>
                <c:pt idx="137">
                  <c:v>1.1802354942455398</c:v>
                </c:pt>
                <c:pt idx="138">
                  <c:v>1.1673178640725073</c:v>
                </c:pt>
                <c:pt idx="139">
                  <c:v>1.1691252691172938</c:v>
                </c:pt>
                <c:pt idx="140">
                  <c:v>1.1784280892007535</c:v>
                </c:pt>
                <c:pt idx="141">
                  <c:v>1.1887940887223227</c:v>
                </c:pt>
                <c:pt idx="142">
                  <c:v>1.1906812322249674</c:v>
                </c:pt>
                <c:pt idx="143">
                  <c:v>1.1931797039045251</c:v>
                </c:pt>
                <c:pt idx="144">
                  <c:v>1.1861361401270485</c:v>
                </c:pt>
                <c:pt idx="145">
                  <c:v>1.1967413550221924</c:v>
                </c:pt>
                <c:pt idx="146">
                  <c:v>1.2020040932408353</c:v>
                </c:pt>
                <c:pt idx="147">
                  <c:v>1.2002232676820017</c:v>
                </c:pt>
                <c:pt idx="148">
                  <c:v>1.2008611753448677</c:v>
                </c:pt>
                <c:pt idx="149">
                  <c:v>1.2045557238922988</c:v>
                </c:pt>
                <c:pt idx="150">
                  <c:v>1.2042633495468185</c:v>
                </c:pt>
                <c:pt idx="151">
                  <c:v>1.1999574728224742</c:v>
                </c:pt>
                <c:pt idx="152">
                  <c:v>1.1984956010950736</c:v>
                </c:pt>
                <c:pt idx="153">
                  <c:v>1.1933657603061945</c:v>
                </c:pt>
                <c:pt idx="154">
                  <c:v>1.183956622278924</c:v>
                </c:pt>
                <c:pt idx="155">
                  <c:v>1.1869866836775365</c:v>
                </c:pt>
                <c:pt idx="156">
                  <c:v>1.1805810275629258</c:v>
                </c:pt>
                <c:pt idx="157">
                  <c:v>1.1904420168513929</c:v>
                </c:pt>
                <c:pt idx="158">
                  <c:v>1.1885548733487483</c:v>
                </c:pt>
                <c:pt idx="159">
                  <c:v>1.1732185099540162</c:v>
                </c:pt>
                <c:pt idx="160">
                  <c:v>1.1536560082927985</c:v>
                </c:pt>
                <c:pt idx="161">
                  <c:v>1.1525662493687359</c:v>
                </c:pt>
                <c:pt idx="162">
                  <c:v>1.1638093719267457</c:v>
                </c:pt>
                <c:pt idx="163">
                  <c:v>1.1779496584536042</c:v>
                </c:pt>
                <c:pt idx="164">
                  <c:v>1.1798899609281543</c:v>
                </c:pt>
                <c:pt idx="165">
                  <c:v>1.176514366212156</c:v>
                </c:pt>
                <c:pt idx="166">
                  <c:v>1.1528054647423105</c:v>
                </c:pt>
                <c:pt idx="167">
                  <c:v>1.1547457672168606</c:v>
                </c:pt>
                <c:pt idx="168">
                  <c:v>1.1406320601759548</c:v>
                </c:pt>
                <c:pt idx="169">
                  <c:v>1.154187598011853</c:v>
                </c:pt>
                <c:pt idx="170">
                  <c:v>1.1393030858783175</c:v>
                </c:pt>
                <c:pt idx="171">
                  <c:v>1.1511575366132405</c:v>
                </c:pt>
                <c:pt idx="172">
                  <c:v>1.1559418440847338</c:v>
                </c:pt>
                <c:pt idx="173">
                  <c:v>1.1659357308029648</c:v>
                </c:pt>
                <c:pt idx="174">
                  <c:v>1.1638093719267453</c:v>
                </c:pt>
                <c:pt idx="175">
                  <c:v>1.1553836748797262</c:v>
                </c:pt>
                <c:pt idx="176">
                  <c:v>1.1525396698827828</c:v>
                </c:pt>
                <c:pt idx="177">
                  <c:v>1.1566860696914105</c:v>
                </c:pt>
                <c:pt idx="178">
                  <c:v>1.1761422534088173</c:v>
                </c:pt>
                <c:pt idx="179">
                  <c:v>1.1850995401748914</c:v>
                </c:pt>
                <c:pt idx="180">
                  <c:v>1.1886080323206534</c:v>
                </c:pt>
                <c:pt idx="181">
                  <c:v>1.1977779549743492</c:v>
                </c:pt>
                <c:pt idx="182">
                  <c:v>1.2024825239879846</c:v>
                </c:pt>
                <c:pt idx="183">
                  <c:v>1.2056189033304081</c:v>
                </c:pt>
                <c:pt idx="184">
                  <c:v>1.2043696674906295</c:v>
                </c:pt>
                <c:pt idx="185">
                  <c:v>1.2108284825771456</c:v>
                </c:pt>
                <c:pt idx="186">
                  <c:v>1.211918241501208</c:v>
                </c:pt>
                <c:pt idx="187">
                  <c:v>1.2065491853387542</c:v>
                </c:pt>
                <c:pt idx="188">
                  <c:v>1.218191000186055</c:v>
                </c:pt>
                <c:pt idx="189">
                  <c:v>1.2206628923796601</c:v>
                </c:pt>
                <c:pt idx="190">
                  <c:v>1.2227626717699267</c:v>
                </c:pt>
                <c:pt idx="191">
                  <c:v>1.2277064561571367</c:v>
                </c:pt>
                <c:pt idx="192">
                  <c:v>1.2352018711958099</c:v>
                </c:pt>
                <c:pt idx="193">
                  <c:v>1.2410227786194603</c:v>
                </c:pt>
                <c:pt idx="194">
                  <c:v>1.2453286553438043</c:v>
                </c:pt>
                <c:pt idx="195">
                  <c:v>1.2463918347819141</c:v>
                </c:pt>
                <c:pt idx="196">
                  <c:v>1.2422720144592392</c:v>
                </c:pt>
                <c:pt idx="197">
                  <c:v>1.2322781277410084</c:v>
                </c:pt>
                <c:pt idx="198">
                  <c:v>1.2326768200302995</c:v>
                </c:pt>
                <c:pt idx="199">
                  <c:v>1.2419796401137591</c:v>
                </c:pt>
                <c:pt idx="200">
                  <c:v>1.242404911889003</c:v>
                </c:pt>
                <c:pt idx="201">
                  <c:v>1.2473221167902599</c:v>
                </c:pt>
                <c:pt idx="202">
                  <c:v>1.2442920553916474</c:v>
                </c:pt>
                <c:pt idx="203">
                  <c:v>1.2485181936581333</c:v>
                </c:pt>
                <c:pt idx="204">
                  <c:v>1.2462855168381031</c:v>
                </c:pt>
                <c:pt idx="205">
                  <c:v>1.2427770246923411</c:v>
                </c:pt>
                <c:pt idx="206">
                  <c:v>1.2444249528214111</c:v>
                </c:pt>
                <c:pt idx="207">
                  <c:v>1.2477473885655037</c:v>
                </c:pt>
                <c:pt idx="208">
                  <c:v>1.2199186667729833</c:v>
                </c:pt>
                <c:pt idx="209">
                  <c:v>1.2348829173643769</c:v>
                </c:pt>
                <c:pt idx="210">
                  <c:v>1.2108550620630985</c:v>
                </c:pt>
                <c:pt idx="211">
                  <c:v>1.1974058421710112</c:v>
                </c:pt>
                <c:pt idx="212">
                  <c:v>1.2157456874784027</c:v>
                </c:pt>
                <c:pt idx="213">
                  <c:v>1.2051670520692117</c:v>
                </c:pt>
                <c:pt idx="214">
                  <c:v>1.2194402360258341</c:v>
                </c:pt>
                <c:pt idx="215">
                  <c:v>1.2446641681949859</c:v>
                </c:pt>
                <c:pt idx="216">
                  <c:v>1.2479600244531261</c:v>
                </c:pt>
                <c:pt idx="217">
                  <c:v>1.2395343274061073</c:v>
                </c:pt>
                <c:pt idx="218">
                  <c:v>1.2512027217393609</c:v>
                </c:pt>
                <c:pt idx="219">
                  <c:v>1.2401190760970675</c:v>
                </c:pt>
                <c:pt idx="220">
                  <c:v>1.2315870611062376</c:v>
                </c:pt>
                <c:pt idx="221">
                  <c:v>1.2508306089360226</c:v>
                </c:pt>
                <c:pt idx="222">
                  <c:v>1.2398001222656347</c:v>
                </c:pt>
                <c:pt idx="223">
                  <c:v>1.2223108205087307</c:v>
                </c:pt>
                <c:pt idx="224">
                  <c:v>1.2093134518778401</c:v>
                </c:pt>
                <c:pt idx="225">
                  <c:v>1.2307896765276554</c:v>
                </c:pt>
                <c:pt idx="226">
                  <c:v>1.2430959785237745</c:v>
                </c:pt>
                <c:pt idx="227">
                  <c:v>1.2508306089360224</c:v>
                </c:pt>
                <c:pt idx="228">
                  <c:v>1.2685325465805481</c:v>
                </c:pt>
                <c:pt idx="229">
                  <c:v>1.2674959466283913</c:v>
                </c:pt>
                <c:pt idx="230">
                  <c:v>1.2691172952715086</c:v>
                </c:pt>
                <c:pt idx="231">
                  <c:v>1.2656088031257466</c:v>
                </c:pt>
                <c:pt idx="232">
                  <c:v>1.2624192648114174</c:v>
                </c:pt>
                <c:pt idx="233">
                  <c:v>1.2697286234484213</c:v>
                </c:pt>
                <c:pt idx="234">
                  <c:v>1.2693033516731775</c:v>
                </c:pt>
                <c:pt idx="235">
                  <c:v>1.2449299630545134</c:v>
                </c:pt>
                <c:pt idx="236">
                  <c:v>1.2437604656725929</c:v>
                </c:pt>
                <c:pt idx="237">
                  <c:v>1.2388432607713356</c:v>
                </c:pt>
                <c:pt idx="238">
                  <c:v>1.2373016505860766</c:v>
                </c:pt>
                <c:pt idx="239">
                  <c:v>1.248571352630039</c:v>
                </c:pt>
                <c:pt idx="240">
                  <c:v>1.2519469473460372</c:v>
                </c:pt>
                <c:pt idx="241">
                  <c:v>1.2346968609627078</c:v>
                </c:pt>
                <c:pt idx="242">
                  <c:v>1.2352018711958102</c:v>
                </c:pt>
                <c:pt idx="243">
                  <c:v>1.2133269542567038</c:v>
                </c:pt>
                <c:pt idx="244">
                  <c:v>1.2007282779151043</c:v>
                </c:pt>
                <c:pt idx="245">
                  <c:v>1.1874385349387335</c:v>
                </c:pt>
                <c:pt idx="246">
                  <c:v>1.1641283257581791</c:v>
                </c:pt>
                <c:pt idx="247">
                  <c:v>1.1690721101453889</c:v>
                </c:pt>
                <c:pt idx="248">
                  <c:v>1.1547989261887668</c:v>
                </c:pt>
                <c:pt idx="249">
                  <c:v>1.1519017622199179</c:v>
                </c:pt>
                <c:pt idx="250">
                  <c:v>1.1462137522260312</c:v>
                </c:pt>
                <c:pt idx="251">
                  <c:v>1.1746803816814173</c:v>
                </c:pt>
                <c:pt idx="252">
                  <c:v>1.1958376524997998</c:v>
                </c:pt>
                <c:pt idx="253">
                  <c:v>1.2039178162294331</c:v>
                </c:pt>
                <c:pt idx="254">
                  <c:v>1.2156127900486395</c:v>
                </c:pt>
                <c:pt idx="255">
                  <c:v>1.1870398426494422</c:v>
                </c:pt>
                <c:pt idx="256">
                  <c:v>1.1926215346995177</c:v>
                </c:pt>
                <c:pt idx="257">
                  <c:v>1.188794088722323</c:v>
                </c:pt>
                <c:pt idx="258">
                  <c:v>1.1985753395529319</c:v>
                </c:pt>
                <c:pt idx="259">
                  <c:v>1.2161178002817414</c:v>
                </c:pt>
                <c:pt idx="260">
                  <c:v>1.1942694628285877</c:v>
                </c:pt>
                <c:pt idx="261">
                  <c:v>1.1707200382744585</c:v>
                </c:pt>
                <c:pt idx="262">
                  <c:v>1.1668925922972637</c:v>
                </c:pt>
                <c:pt idx="263">
                  <c:v>1.1857108683518047</c:v>
                </c:pt>
                <c:pt idx="264">
                  <c:v>1.1870398426494417</c:v>
                </c:pt>
                <c:pt idx="265">
                  <c:v>1.1616830130505262</c:v>
                </c:pt>
                <c:pt idx="266">
                  <c:v>1.1541610185259004</c:v>
                </c:pt>
                <c:pt idx="267">
                  <c:v>1.1417749780719229</c:v>
                </c:pt>
                <c:pt idx="268">
                  <c:v>1.1215214097759338</c:v>
                </c:pt>
                <c:pt idx="269">
                  <c:v>1.1383993833559249</c:v>
                </c:pt>
                <c:pt idx="270">
                  <c:v>1.1635169975812656</c:v>
                </c:pt>
                <c:pt idx="271">
                  <c:v>1.1605400951545586</c:v>
                </c:pt>
                <c:pt idx="272">
                  <c:v>1.1428647369959855</c:v>
                </c:pt>
                <c:pt idx="273">
                  <c:v>1.1638891103846041</c:v>
                </c:pt>
                <c:pt idx="274">
                  <c:v>1.1580947824469063</c:v>
                </c:pt>
                <c:pt idx="275">
                  <c:v>1.1486856444196358</c:v>
                </c:pt>
                <c:pt idx="276">
                  <c:v>1.1148233793158431</c:v>
                </c:pt>
                <c:pt idx="277">
                  <c:v>1.1063711027828713</c:v>
                </c:pt>
                <c:pt idx="278">
                  <c:v>1.1360338091061311</c:v>
                </c:pt>
                <c:pt idx="279">
                  <c:v>1.1309039683172519</c:v>
                </c:pt>
                <c:pt idx="280">
                  <c:v>1.1165244664168188</c:v>
                </c:pt>
                <c:pt idx="281">
                  <c:v>1.1083645642293272</c:v>
                </c:pt>
                <c:pt idx="282">
                  <c:v>1.1327379528479913</c:v>
                </c:pt>
                <c:pt idx="283">
                  <c:v>1.1578555670733321</c:v>
                </c:pt>
                <c:pt idx="284">
                  <c:v>1.1723413869175765</c:v>
                </c:pt>
                <c:pt idx="285">
                  <c:v>1.1815113095712724</c:v>
                </c:pt>
                <c:pt idx="286">
                  <c:v>1.1811657762538867</c:v>
                </c:pt>
                <c:pt idx="287">
                  <c:v>1.1949871089493125</c:v>
                </c:pt>
                <c:pt idx="288">
                  <c:v>1.1795975865826751</c:v>
                </c:pt>
                <c:pt idx="289">
                  <c:v>1.1973792626850592</c:v>
                </c:pt>
                <c:pt idx="290">
                  <c:v>1.2032267495946625</c:v>
                </c:pt>
                <c:pt idx="291">
                  <c:v>1.2117853440714454</c:v>
                </c:pt>
                <c:pt idx="292">
                  <c:v>1.2267761741487917</c:v>
                </c:pt>
                <c:pt idx="293">
                  <c:v>1.2192010206522603</c:v>
                </c:pt>
                <c:pt idx="294">
                  <c:v>1.2004359035696246</c:v>
                </c:pt>
                <c:pt idx="295">
                  <c:v>1.2038380777715756</c:v>
                </c:pt>
                <c:pt idx="296">
                  <c:v>1.2141509183212393</c:v>
                </c:pt>
                <c:pt idx="297">
                  <c:v>1.1988145549265072</c:v>
                </c:pt>
                <c:pt idx="298">
                  <c:v>1.1868272067618209</c:v>
                </c:pt>
                <c:pt idx="299">
                  <c:v>1.1928075911011877</c:v>
                </c:pt>
                <c:pt idx="300">
                  <c:v>1.1896180527868587</c:v>
                </c:pt>
                <c:pt idx="301">
                  <c:v>1.1692847460330114</c:v>
                </c:pt>
                <c:pt idx="302">
                  <c:v>1.1649522898227145</c:v>
                </c:pt>
                <c:pt idx="303">
                  <c:v>1.1782951917709907</c:v>
                </c:pt>
                <c:pt idx="304">
                  <c:v>1.1636233155250773</c:v>
                </c:pt>
                <c:pt idx="305">
                  <c:v>1.1641017462722265</c:v>
                </c:pt>
                <c:pt idx="306">
                  <c:v>1.1828934428408149</c:v>
                </c:pt>
                <c:pt idx="307">
                  <c:v>1.1820163198043743</c:v>
                </c:pt>
                <c:pt idx="308">
                  <c:v>1.1643409616458011</c:v>
                </c:pt>
                <c:pt idx="309">
                  <c:v>1.1323924195306059</c:v>
                </c:pt>
                <c:pt idx="310">
                  <c:v>1.138957552560933</c:v>
                </c:pt>
                <c:pt idx="311">
                  <c:v>1.1059724104935806</c:v>
                </c:pt>
                <c:pt idx="312">
                  <c:v>1.1090822103500513</c:v>
                </c:pt>
                <c:pt idx="313">
                  <c:v>1.1370969885442412</c:v>
                </c:pt>
                <c:pt idx="314">
                  <c:v>1.0950748212529566</c:v>
                </c:pt>
                <c:pt idx="315">
                  <c:v>1.1016665337692366</c:v>
                </c:pt>
                <c:pt idx="316">
                  <c:v>1.1067166361002576</c:v>
                </c:pt>
                <c:pt idx="317">
                  <c:v>1.1404194242883341</c:v>
                </c:pt>
                <c:pt idx="318">
                  <c:v>1.099885708210403</c:v>
                </c:pt>
                <c:pt idx="319">
                  <c:v>1.0933205751800756</c:v>
                </c:pt>
                <c:pt idx="320">
                  <c:v>1.058315392180315</c:v>
                </c:pt>
                <c:pt idx="321">
                  <c:v>1.0607607048879673</c:v>
                </c:pt>
                <c:pt idx="322">
                  <c:v>1.043909310793929</c:v>
                </c:pt>
                <c:pt idx="323">
                  <c:v>1.0428195518698664</c:v>
                </c:pt>
                <c:pt idx="324">
                  <c:v>1.0677511096935384</c:v>
                </c:pt>
                <c:pt idx="325">
                  <c:v>1.0634186534832413</c:v>
                </c:pt>
                <c:pt idx="326">
                  <c:v>1.0852935704223479</c:v>
                </c:pt>
                <c:pt idx="327">
                  <c:v>1.0415437365441351</c:v>
                </c:pt>
                <c:pt idx="328">
                  <c:v>1.0351646599154771</c:v>
                </c:pt>
                <c:pt idx="329">
                  <c:v>1.0356165111766737</c:v>
                </c:pt>
                <c:pt idx="330">
                  <c:v>1.0549929564362226</c:v>
                </c:pt>
                <c:pt idx="331">
                  <c:v>1.0469393721925417</c:v>
                </c:pt>
                <c:pt idx="332">
                  <c:v>1.056189033304096</c:v>
                </c:pt>
                <c:pt idx="333">
                  <c:v>1.077293145150573</c:v>
                </c:pt>
                <c:pt idx="334">
                  <c:v>1.103739733673551</c:v>
                </c:pt>
                <c:pt idx="335">
                  <c:v>1.0975467134465622</c:v>
                </c:pt>
                <c:pt idx="336">
                  <c:v>1.0886691651383464</c:v>
                </c:pt>
                <c:pt idx="337">
                  <c:v>1.1094011641814849</c:v>
                </c:pt>
                <c:pt idx="338">
                  <c:v>1.091194216303857</c:v>
                </c:pt>
                <c:pt idx="339">
                  <c:v>1.0945166520479499</c:v>
                </c:pt>
                <c:pt idx="340">
                  <c:v>1.1050155489992828</c:v>
                </c:pt>
                <c:pt idx="341">
                  <c:v>1.0930016213486435</c:v>
                </c:pt>
                <c:pt idx="342">
                  <c:v>1.0670068840868621</c:v>
                </c:pt>
                <c:pt idx="343">
                  <c:v>1.0360683624378708</c:v>
                </c:pt>
                <c:pt idx="344">
                  <c:v>0.99673072322781309</c:v>
                </c:pt>
                <c:pt idx="345">
                  <c:v>0.99372724131515333</c:v>
                </c:pt>
                <c:pt idx="346">
                  <c:v>1.0078941073279646</c:v>
                </c:pt>
                <c:pt idx="347">
                  <c:v>0.97453685245727373</c:v>
                </c:pt>
                <c:pt idx="348">
                  <c:v>0.97243707306700722</c:v>
                </c:pt>
                <c:pt idx="349">
                  <c:v>0.99691677962948211</c:v>
                </c:pt>
                <c:pt idx="350">
                  <c:v>0.99510937458469573</c:v>
                </c:pt>
                <c:pt idx="351">
                  <c:v>1.0048640459293521</c:v>
                </c:pt>
                <c:pt idx="352">
                  <c:v>1.0368125880445476</c:v>
                </c:pt>
                <c:pt idx="353">
                  <c:v>1.032852244637589</c:v>
                </c:pt>
                <c:pt idx="354">
                  <c:v>1.011748132791112</c:v>
                </c:pt>
                <c:pt idx="355">
                  <c:v>1.0109241687265769</c:v>
                </c:pt>
                <c:pt idx="356">
                  <c:v>1.0027111075671797</c:v>
                </c:pt>
                <c:pt idx="357">
                  <c:v>1.0133163224623236</c:v>
                </c:pt>
                <c:pt idx="358">
                  <c:v>1.0152300454509209</c:v>
                </c:pt>
                <c:pt idx="359">
                  <c:v>1.0186587991388245</c:v>
                </c:pt>
                <c:pt idx="360">
                  <c:v>1.0339154240756983</c:v>
                </c:pt>
                <c:pt idx="361">
                  <c:v>1.0330648805252105</c:v>
                </c:pt>
                <c:pt idx="362">
                  <c:v>1.0212635887621933</c:v>
                </c:pt>
                <c:pt idx="363">
                  <c:v>1.012226563538261</c:v>
                </c:pt>
                <c:pt idx="364">
                  <c:v>1.0069106663477128</c:v>
                </c:pt>
                <c:pt idx="365">
                  <c:v>1.0044653536400605</c:v>
                </c:pt>
                <c:pt idx="366">
                  <c:v>1.02365574249794</c:v>
                </c:pt>
                <c:pt idx="367">
                  <c:v>1.015203465964968</c:v>
                </c:pt>
                <c:pt idx="368">
                  <c:v>1.0426334954681973</c:v>
                </c:pt>
                <c:pt idx="369">
                  <c:v>1.0492783669563825</c:v>
                </c:pt>
                <c:pt idx="370">
                  <c:v>1.0599633203093848</c:v>
                </c:pt>
                <c:pt idx="371">
                  <c:v>1.0501289105068703</c:v>
                </c:pt>
                <c:pt idx="372">
                  <c:v>1.0514047258326018</c:v>
                </c:pt>
                <c:pt idx="373">
                  <c:v>1.0389655264067186</c:v>
                </c:pt>
                <c:pt idx="374">
                  <c:v>1.0659437046487514</c:v>
                </c:pt>
                <c:pt idx="375">
                  <c:v>1.0793131860829803</c:v>
                </c:pt>
                <c:pt idx="376">
                  <c:v>1.0950482417670033</c:v>
                </c:pt>
                <c:pt idx="377">
                  <c:v>1.0918055444807688</c:v>
                </c:pt>
                <c:pt idx="378">
                  <c:v>1.0846025037875759</c:v>
                </c:pt>
                <c:pt idx="379">
                  <c:v>1.1015867953113778</c:v>
                </c:pt>
                <c:pt idx="380">
                  <c:v>1.1008425697047011</c:v>
                </c:pt>
                <c:pt idx="381">
                  <c:v>1.0989820056880091</c:v>
                </c:pt>
                <c:pt idx="382">
                  <c:v>1.0977061903622773</c:v>
                </c:pt>
                <c:pt idx="383">
                  <c:v>1.0933471546660278</c:v>
                </c:pt>
                <c:pt idx="384">
                  <c:v>1.1163118305291966</c:v>
                </c:pt>
                <c:pt idx="385">
                  <c:v>1.1163118305291966</c:v>
                </c:pt>
                <c:pt idx="386">
                  <c:v>1.1352098450415959</c:v>
                </c:pt>
                <c:pt idx="387">
                  <c:v>1.1398878345692787</c:v>
                </c:pt>
                <c:pt idx="388">
                  <c:v>1.1421205113893089</c:v>
                </c:pt>
                <c:pt idx="389">
                  <c:v>1.1340137681737228</c:v>
                </c:pt>
                <c:pt idx="390">
                  <c:v>1.1373096244318628</c:v>
                </c:pt>
                <c:pt idx="391">
                  <c:v>1.1220264200090364</c:v>
                </c:pt>
                <c:pt idx="392">
                  <c:v>1.0986630518565765</c:v>
                </c:pt>
                <c:pt idx="393">
                  <c:v>1.0960051032613023</c:v>
                </c:pt>
                <c:pt idx="394">
                  <c:v>1.0995135954070643</c:v>
                </c:pt>
                <c:pt idx="395">
                  <c:v>1.1150360152034653</c:v>
                </c:pt>
                <c:pt idx="396">
                  <c:v>1.0772931451505721</c:v>
                </c:pt>
                <c:pt idx="397">
                  <c:v>1.0701698429152373</c:v>
                </c:pt>
                <c:pt idx="398">
                  <c:v>1.0584217101241256</c:v>
                </c:pt>
                <c:pt idx="399">
                  <c:v>1.0503681258804449</c:v>
                </c:pt>
                <c:pt idx="400">
                  <c:v>1.0536639821385849</c:v>
                </c:pt>
                <c:pt idx="401">
                  <c:v>1.0425537570103389</c:v>
                </c:pt>
                <c:pt idx="402">
                  <c:v>1.0386199930893332</c:v>
                </c:pt>
                <c:pt idx="403">
                  <c:v>1.0572787922281577</c:v>
                </c:pt>
                <c:pt idx="404">
                  <c:v>1.0641894585758707</c:v>
                </c:pt>
                <c:pt idx="405">
                  <c:v>1.0807218988384761</c:v>
                </c:pt>
                <c:pt idx="406">
                  <c:v>1.0923371341998243</c:v>
                </c:pt>
                <c:pt idx="407">
                  <c:v>1.0448395928022749</c:v>
                </c:pt>
                <c:pt idx="408">
                  <c:v>1.0488265156951861</c:v>
                </c:pt>
                <c:pt idx="409">
                  <c:v>1.0369189059883579</c:v>
                </c:pt>
                <c:pt idx="410">
                  <c:v>1.0247986603939077</c:v>
                </c:pt>
                <c:pt idx="411">
                  <c:v>1.0327459266937775</c:v>
                </c:pt>
                <c:pt idx="412">
                  <c:v>1.0208914759588545</c:v>
                </c:pt>
                <c:pt idx="413">
                  <c:v>1.0030832203705176</c:v>
                </c:pt>
                <c:pt idx="414">
                  <c:v>0.99465752332349855</c:v>
                </c:pt>
                <c:pt idx="415">
                  <c:v>0.97799218563112944</c:v>
                </c:pt>
                <c:pt idx="416">
                  <c:v>0.96831725274433156</c:v>
                </c:pt>
                <c:pt idx="417">
                  <c:v>0.96584536055072656</c:v>
                </c:pt>
                <c:pt idx="418">
                  <c:v>0.98484969300693681</c:v>
                </c:pt>
                <c:pt idx="419">
                  <c:v>0.96427717087951492</c:v>
                </c:pt>
                <c:pt idx="420">
                  <c:v>0.94936607926002681</c:v>
                </c:pt>
                <c:pt idx="421">
                  <c:v>0.97443053451346218</c:v>
                </c:pt>
                <c:pt idx="422">
                  <c:v>1.0046248305557768</c:v>
                </c:pt>
                <c:pt idx="423">
                  <c:v>1.0022858357919353</c:v>
                </c:pt>
                <c:pt idx="424">
                  <c:v>0.99194641575631881</c:v>
                </c:pt>
                <c:pt idx="425">
                  <c:v>0.96427717087951481</c:v>
                </c:pt>
                <c:pt idx="426">
                  <c:v>0.95691465327060521</c:v>
                </c:pt>
                <c:pt idx="427">
                  <c:v>0.9508545304733802</c:v>
                </c:pt>
                <c:pt idx="428">
                  <c:v>0.9477181511309567</c:v>
                </c:pt>
                <c:pt idx="429">
                  <c:v>0.97272944741248668</c:v>
                </c:pt>
                <c:pt idx="430">
                  <c:v>0.95056215612790007</c:v>
                </c:pt>
                <c:pt idx="431">
                  <c:v>0.97498870371846968</c:v>
                </c:pt>
                <c:pt idx="432">
                  <c:v>0.98644446216410142</c:v>
                </c:pt>
                <c:pt idx="433">
                  <c:v>0.97945405735853031</c:v>
                </c:pt>
                <c:pt idx="434">
                  <c:v>0.97124099619913318</c:v>
                </c:pt>
                <c:pt idx="435">
                  <c:v>0.9948435797251679</c:v>
                </c:pt>
                <c:pt idx="436">
                  <c:v>1.0070169842915235</c:v>
                </c:pt>
                <c:pt idx="437">
                  <c:v>1.0230975732929324</c:v>
                </c:pt>
                <c:pt idx="438">
                  <c:v>1.0153895223666372</c:v>
                </c:pt>
                <c:pt idx="439">
                  <c:v>1.0099673072322779</c:v>
                </c:pt>
                <c:pt idx="440">
                  <c:v>1.0339951625335564</c:v>
                </c:pt>
                <c:pt idx="441">
                  <c:v>1.026526326980836</c:v>
                </c:pt>
                <c:pt idx="442">
                  <c:v>1.0220343938548226</c:v>
                </c:pt>
                <c:pt idx="443">
                  <c:v>0.99638518991042702</c:v>
                </c:pt>
                <c:pt idx="444">
                  <c:v>0.98612550833266865</c:v>
                </c:pt>
                <c:pt idx="445">
                  <c:v>1.0003189538314328</c:v>
                </c:pt>
                <c:pt idx="446">
                  <c:v>1.0098875687744198</c:v>
                </c:pt>
                <c:pt idx="447">
                  <c:v>1.0153363633947319</c:v>
                </c:pt>
                <c:pt idx="448">
                  <c:v>0.99441830794992414</c:v>
                </c:pt>
                <c:pt idx="449">
                  <c:v>1.049065731068761</c:v>
                </c:pt>
                <c:pt idx="450">
                  <c:v>1.0592190947027085</c:v>
                </c:pt>
                <c:pt idx="451">
                  <c:v>1.0502086489647291</c:v>
                </c:pt>
                <c:pt idx="452">
                  <c:v>1.059165935730803</c:v>
                </c:pt>
                <c:pt idx="453">
                  <c:v>1.0510857720011695</c:v>
                </c:pt>
                <c:pt idx="454">
                  <c:v>1.0478696542008878</c:v>
                </c:pt>
                <c:pt idx="455">
                  <c:v>1.0526273821864285</c:v>
                </c:pt>
                <c:pt idx="456">
                  <c:v>1.0487999362092337</c:v>
                </c:pt>
                <c:pt idx="457">
                  <c:v>1.0629136432501394</c:v>
                </c:pt>
                <c:pt idx="458">
                  <c:v>1.0696116737102304</c:v>
                </c:pt>
                <c:pt idx="459">
                  <c:v>1.0693724583366555</c:v>
                </c:pt>
                <c:pt idx="460">
                  <c:v>1.0523084283549955</c:v>
                </c:pt>
                <c:pt idx="461">
                  <c:v>1.050501023310209</c:v>
                </c:pt>
                <c:pt idx="462">
                  <c:v>1.0835924833213724</c:v>
                </c:pt>
                <c:pt idx="463">
                  <c:v>1.0827950987427901</c:v>
                </c:pt>
                <c:pt idx="464">
                  <c:v>1.0815458629030112</c:v>
                </c:pt>
                <c:pt idx="465">
                  <c:v>1.0620896791856043</c:v>
                </c:pt>
                <c:pt idx="466">
                  <c:v>1.046779895276825</c:v>
                </c:pt>
                <c:pt idx="467">
                  <c:v>1.0449990697179914</c:v>
                </c:pt>
                <c:pt idx="468">
                  <c:v>1.0531855513914357</c:v>
                </c:pt>
                <c:pt idx="469">
                  <c:v>1.0453180235494239</c:v>
                </c:pt>
                <c:pt idx="470">
                  <c:v>1.0603885920846285</c:v>
                </c:pt>
                <c:pt idx="471">
                  <c:v>1.0684155968423565</c:v>
                </c:pt>
                <c:pt idx="472">
                  <c:v>1.0615846689525019</c:v>
                </c:pt>
                <c:pt idx="473">
                  <c:v>1.0356165111766733</c:v>
                </c:pt>
                <c:pt idx="474">
                  <c:v>1.0187119581107296</c:v>
                </c:pt>
                <c:pt idx="475">
                  <c:v>1.0100736251760885</c:v>
                </c:pt>
                <c:pt idx="476">
                  <c:v>1.0114557584456312</c:v>
                </c:pt>
                <c:pt idx="477">
                  <c:v>1.0265794859527413</c:v>
                </c:pt>
                <c:pt idx="478">
                  <c:v>1.0119341891927807</c:v>
                </c:pt>
                <c:pt idx="479">
                  <c:v>1.017755096616431</c:v>
                </c:pt>
                <c:pt idx="480">
                  <c:v>1.0137415942375669</c:v>
                </c:pt>
                <c:pt idx="481">
                  <c:v>1.0011429178959677</c:v>
                </c:pt>
                <c:pt idx="482">
                  <c:v>1.0191638093719264</c:v>
                </c:pt>
                <c:pt idx="483">
                  <c:v>1.0164792812906995</c:v>
                </c:pt>
                <c:pt idx="484">
                  <c:v>1.0121999840523082</c:v>
                </c:pt>
                <c:pt idx="485">
                  <c:v>1.0200143529224142</c:v>
                </c:pt>
                <c:pt idx="486">
                  <c:v>1.0083725380751134</c:v>
                </c:pt>
                <c:pt idx="487">
                  <c:v>1.0314966908539986</c:v>
                </c:pt>
                <c:pt idx="488">
                  <c:v>1.0309119421630384</c:v>
                </c:pt>
                <c:pt idx="489">
                  <c:v>1.0381415623421841</c:v>
                </c:pt>
                <c:pt idx="490">
                  <c:v>1.0512718284028386</c:v>
                </c:pt>
                <c:pt idx="491">
                  <c:v>1.0550992743800334</c:v>
                </c:pt>
                <c:pt idx="492">
                  <c:v>1.0591925152167556</c:v>
                </c:pt>
                <c:pt idx="493">
                  <c:v>1.0572522127422055</c:v>
                </c:pt>
                <c:pt idx="494">
                  <c:v>1.0405602955638837</c:v>
                </c:pt>
                <c:pt idx="495">
                  <c:v>1.0329851420673524</c:v>
                </c:pt>
                <c:pt idx="496">
                  <c:v>1.0522286898971374</c:v>
                </c:pt>
                <c:pt idx="497">
                  <c:v>1.0648539457246897</c:v>
                </c:pt>
                <c:pt idx="498">
                  <c:v>1.0637110278287218</c:v>
                </c:pt>
                <c:pt idx="499">
                  <c:v>1.0641097201180132</c:v>
                </c:pt>
                <c:pt idx="500">
                  <c:v>1.0758046939372194</c:v>
                </c:pt>
                <c:pt idx="501">
                  <c:v>1.0782765861308243</c:v>
                </c:pt>
                <c:pt idx="502">
                  <c:v>1.0647476277808787</c:v>
                </c:pt>
                <c:pt idx="503">
                  <c:v>1.0804029450070438</c:v>
                </c:pt>
                <c:pt idx="504">
                  <c:v>1.0918852829386281</c:v>
                </c:pt>
                <c:pt idx="505">
                  <c:v>1.1077798155383674</c:v>
                </c:pt>
                <c:pt idx="506">
                  <c:v>1.096005103261303</c:v>
                </c:pt>
                <c:pt idx="507">
                  <c:v>1.089307072801212</c:v>
                </c:pt>
                <c:pt idx="508">
                  <c:v>1.1035536772718815</c:v>
                </c:pt>
                <c:pt idx="509">
                  <c:v>1.0914865906493367</c:v>
                </c:pt>
                <c:pt idx="510">
                  <c:v>1.0820242936501607</c:v>
                </c:pt>
                <c:pt idx="511">
                  <c:v>1.0845493448156713</c:v>
                </c:pt>
                <c:pt idx="512">
                  <c:v>1.0972809185870345</c:v>
                </c:pt>
                <c:pt idx="513">
                  <c:v>1.0967759083539323</c:v>
                </c:pt>
                <c:pt idx="514">
                  <c:v>1.1003375594715998</c:v>
                </c:pt>
                <c:pt idx="515">
                  <c:v>1.0851872524785369</c:v>
                </c:pt>
                <c:pt idx="516">
                  <c:v>1.0824761449113574</c:v>
                </c:pt>
                <c:pt idx="517">
                  <c:v>1.0607607048879673</c:v>
                </c:pt>
                <c:pt idx="518">
                  <c:v>1.0592988331605666</c:v>
                </c:pt>
                <c:pt idx="519">
                  <c:v>1.0649336841825479</c:v>
                </c:pt>
                <c:pt idx="520">
                  <c:v>1.0535576641947744</c:v>
                </c:pt>
                <c:pt idx="521">
                  <c:v>1.0571458947983947</c:v>
                </c:pt>
                <c:pt idx="522">
                  <c:v>1.0532387103633416</c:v>
                </c:pt>
                <c:pt idx="523">
                  <c:v>1.0491986284985249</c:v>
                </c:pt>
                <c:pt idx="524">
                  <c:v>1.0573585306860167</c:v>
                </c:pt>
                <c:pt idx="525">
                  <c:v>1.0743162427238659</c:v>
                </c:pt>
                <c:pt idx="526">
                  <c:v>1.0750604683305427</c:v>
                </c:pt>
                <c:pt idx="527">
                  <c:v>1.0585811870398427</c:v>
                </c:pt>
                <c:pt idx="528">
                  <c:v>1.0603088536267711</c:v>
                </c:pt>
                <c:pt idx="529">
                  <c:v>1.0407463519655531</c:v>
                </c:pt>
                <c:pt idx="530">
                  <c:v>1.025728942402254</c:v>
                </c:pt>
                <c:pt idx="531">
                  <c:v>1.0242670706748531</c:v>
                </c:pt>
                <c:pt idx="532">
                  <c:v>1.0411982032267497</c:v>
                </c:pt>
                <c:pt idx="533">
                  <c:v>1.0346862291683279</c:v>
                </c:pt>
                <c:pt idx="534">
                  <c:v>1.0528400180740507</c:v>
                </c:pt>
                <c:pt idx="535">
                  <c:v>1.0365733726709727</c:v>
                </c:pt>
                <c:pt idx="536">
                  <c:v>1.0465406799032508</c:v>
                </c:pt>
                <c:pt idx="537">
                  <c:v>1.0602822741408184</c:v>
                </c:pt>
                <c:pt idx="538">
                  <c:v>1.042208223692954</c:v>
                </c:pt>
                <c:pt idx="539">
                  <c:v>1.0450256492039445</c:v>
                </c:pt>
                <c:pt idx="540">
                  <c:v>1.0518831565797517</c:v>
                </c:pt>
                <c:pt idx="541">
                  <c:v>1.0538500385402545</c:v>
                </c:pt>
                <c:pt idx="542">
                  <c:v>1.0514844642904604</c:v>
                </c:pt>
                <c:pt idx="543">
                  <c:v>1.0667676687132868</c:v>
                </c:pt>
                <c:pt idx="544">
                  <c:v>1.0730138479121809</c:v>
                </c:pt>
                <c:pt idx="545">
                  <c:v>1.0881375754192908</c:v>
                </c:pt>
                <c:pt idx="546">
                  <c:v>1.0922839752279185</c:v>
                </c:pt>
                <c:pt idx="547">
                  <c:v>1.0862238524306935</c:v>
                </c:pt>
                <c:pt idx="548">
                  <c:v>1.0833798474337502</c:v>
                </c:pt>
                <c:pt idx="549">
                  <c:v>1.0876059857002358</c:v>
                </c:pt>
                <c:pt idx="550">
                  <c:v>1.0887223241102508</c:v>
                </c:pt>
                <c:pt idx="551">
                  <c:v>1.089014698455731</c:v>
                </c:pt>
                <c:pt idx="552">
                  <c:v>1.0845759243016231</c:v>
                </c:pt>
                <c:pt idx="553">
                  <c:v>1.0989820056880091</c:v>
                </c:pt>
                <c:pt idx="554">
                  <c:v>1.096297477606782</c:v>
                </c:pt>
                <c:pt idx="555">
                  <c:v>1.1002312415277877</c:v>
                </c:pt>
                <c:pt idx="556">
                  <c:v>1.1009488876485118</c:v>
                </c:pt>
                <c:pt idx="557">
                  <c:v>1.1007628312468427</c:v>
                </c:pt>
                <c:pt idx="558">
                  <c:v>1.0947558674215232</c:v>
                </c:pt>
                <c:pt idx="559">
                  <c:v>1.0956064109720109</c:v>
                </c:pt>
                <c:pt idx="560">
                  <c:v>1.0967493288679788</c:v>
                </c:pt>
                <c:pt idx="561">
                  <c:v>1.079339765568933</c:v>
                </c:pt>
                <c:pt idx="562">
                  <c:v>1.0747680939850615</c:v>
                </c:pt>
                <c:pt idx="563">
                  <c:v>1.0961645801770186</c:v>
                </c:pt>
                <c:pt idx="564">
                  <c:v>1.1055205592323836</c:v>
                </c:pt>
                <c:pt idx="565">
                  <c:v>1.1044042208223683</c:v>
                </c:pt>
                <c:pt idx="566">
                  <c:v>1.091991600882438</c:v>
                </c:pt>
                <c:pt idx="567">
                  <c:v>1.0844961858437647</c:v>
                </c:pt>
                <c:pt idx="568">
                  <c:v>1.0768147144034224</c:v>
                </c:pt>
                <c:pt idx="569">
                  <c:v>1.0967493288679786</c:v>
                </c:pt>
                <c:pt idx="570">
                  <c:v>1.0970417032134587</c:v>
                </c:pt>
                <c:pt idx="571">
                  <c:v>1.0922308162560124</c:v>
                </c:pt>
                <c:pt idx="572">
                  <c:v>1.0973340775589389</c:v>
                </c:pt>
                <c:pt idx="573">
                  <c:v>1.0954203545703414</c:v>
                </c:pt>
                <c:pt idx="574">
                  <c:v>1.0939850623288934</c:v>
                </c:pt>
                <c:pt idx="575">
                  <c:v>1.0977593493341828</c:v>
                </c:pt>
                <c:pt idx="576">
                  <c:v>1.0904234112112261</c:v>
                </c:pt>
                <c:pt idx="577">
                  <c:v>1.1036599952156914</c:v>
                </c:pt>
                <c:pt idx="578">
                  <c:v>1.1142917895967881</c:v>
                </c:pt>
                <c:pt idx="579">
                  <c:v>1.112670440953671</c:v>
                </c:pt>
                <c:pt idx="580">
                  <c:v>1.1131222922148678</c:v>
                </c:pt>
                <c:pt idx="581">
                  <c:v>1.1006299338170791</c:v>
                </c:pt>
                <c:pt idx="582">
                  <c:v>1.0926560880312566</c:v>
                </c:pt>
                <c:pt idx="583">
                  <c:v>1.1021183850304328</c:v>
                </c:pt>
                <c:pt idx="584">
                  <c:v>1.1163915689870549</c:v>
                </c:pt>
                <c:pt idx="585">
                  <c:v>1.1168168407622989</c:v>
                </c:pt>
                <c:pt idx="586">
                  <c:v>1.1106238205353101</c:v>
                </c:pt>
                <c:pt idx="587">
                  <c:v>1.1211758764585484</c:v>
                </c:pt>
                <c:pt idx="588">
                  <c:v>1.1373893628897209</c:v>
                </c:pt>
                <c:pt idx="589">
                  <c:v>1.1352098450415962</c:v>
                </c:pt>
                <c:pt idx="590">
                  <c:v>1.1376817372352011</c:v>
                </c:pt>
                <c:pt idx="591">
                  <c:v>1.1337479733141955</c:v>
                </c:pt>
                <c:pt idx="592">
                  <c:v>1.1406054806900028</c:v>
                </c:pt>
                <c:pt idx="593">
                  <c:v>1.1426521011083637</c:v>
                </c:pt>
                <c:pt idx="594">
                  <c:v>1.1530181006299332</c:v>
                </c:pt>
                <c:pt idx="595">
                  <c:v>1.1606198336124172</c:v>
                </c:pt>
                <c:pt idx="596">
                  <c:v>1.1620019668819597</c:v>
                </c:pt>
                <c:pt idx="597">
                  <c:v>1.1764080482683457</c:v>
                </c:pt>
                <c:pt idx="598">
                  <c:v>1.1680620896791847</c:v>
                </c:pt>
                <c:pt idx="599">
                  <c:v>1.1620019668819597</c:v>
                </c:pt>
                <c:pt idx="600">
                  <c:v>1.1560481620285454</c:v>
                </c:pt>
                <c:pt idx="601">
                  <c:v>1.1602211413231258</c:v>
                </c:pt>
                <c:pt idx="602">
                  <c:v>1.1514499109587211</c:v>
                </c:pt>
                <c:pt idx="603">
                  <c:v>1.1467453419450859</c:v>
                </c:pt>
                <c:pt idx="604">
                  <c:v>1.1593174388007328</c:v>
                </c:pt>
                <c:pt idx="605">
                  <c:v>1.159902187491693</c:v>
                </c:pt>
                <c:pt idx="606">
                  <c:v>1.1644738590755648</c:v>
                </c:pt>
                <c:pt idx="607">
                  <c:v>1.1782154533131322</c:v>
                </c:pt>
                <c:pt idx="608">
                  <c:v>1.179571007096722</c:v>
                </c:pt>
                <c:pt idx="609">
                  <c:v>1.177816761023841</c:v>
                </c:pt>
                <c:pt idx="610">
                  <c:v>1.1685936793982397</c:v>
                </c:pt>
                <c:pt idx="611">
                  <c:v>1.1656433564574853</c:v>
                </c:pt>
                <c:pt idx="612">
                  <c:v>1.1685936793982397</c:v>
                </c:pt>
                <c:pt idx="613">
                  <c:v>1.1760359354650072</c:v>
                </c:pt>
                <c:pt idx="614">
                  <c:v>1.1854982324641832</c:v>
                </c:pt>
                <c:pt idx="615">
                  <c:v>1.1949073704914539</c:v>
                </c:pt>
                <c:pt idx="616">
                  <c:v>1.1941631448847772</c:v>
                </c:pt>
                <c:pt idx="617">
                  <c:v>1.1983095446934049</c:v>
                </c:pt>
                <c:pt idx="618">
                  <c:v>1.2072136724875733</c:v>
                </c:pt>
                <c:pt idx="619">
                  <c:v>1.2098982005688002</c:v>
                </c:pt>
                <c:pt idx="620">
                  <c:v>1.2018711958110722</c:v>
                </c:pt>
                <c:pt idx="621">
                  <c:v>1.2018711958110722</c:v>
                </c:pt>
                <c:pt idx="622">
                  <c:v>1.2072402519735259</c:v>
                </c:pt>
                <c:pt idx="623">
                  <c:v>1.2105361082316659</c:v>
                </c:pt>
                <c:pt idx="624">
                  <c:v>1.210722164633335</c:v>
                </c:pt>
                <c:pt idx="625">
                  <c:v>1.202695159875607</c:v>
                </c:pt>
                <c:pt idx="626">
                  <c:v>1.2144698721526717</c:v>
                </c:pt>
                <c:pt idx="627">
                  <c:v>1.2167822874305601</c:v>
                </c:pt>
                <c:pt idx="628">
                  <c:v>1.2133003747707509</c:v>
                </c:pt>
                <c:pt idx="629">
                  <c:v>1.1964224011907598</c:v>
                </c:pt>
                <c:pt idx="630">
                  <c:v>1.192993647502856</c:v>
                </c:pt>
                <c:pt idx="631">
                  <c:v>1.1875980118544494</c:v>
                </c:pt>
                <c:pt idx="632">
                  <c:v>1.1979640113760186</c:v>
                </c:pt>
                <c:pt idx="633">
                  <c:v>1.1927544321292813</c:v>
                </c:pt>
                <c:pt idx="634">
                  <c:v>1.1847805863434588</c:v>
                </c:pt>
                <c:pt idx="635">
                  <c:v>1.1852058581187026</c:v>
                </c:pt>
                <c:pt idx="636">
                  <c:v>1.1845147914839311</c:v>
                </c:pt>
                <c:pt idx="637">
                  <c:v>1.1910533450283056</c:v>
                </c:pt>
                <c:pt idx="638">
                  <c:v>1.1771788533609744</c:v>
                </c:pt>
                <c:pt idx="639">
                  <c:v>1.1685405204263333</c:v>
                </c:pt>
                <c:pt idx="640">
                  <c:v>1.1596363926321649</c:v>
                </c:pt>
                <c:pt idx="641">
                  <c:v>1.1601945618371725</c:v>
                </c:pt>
                <c:pt idx="642">
                  <c:v>1.1677431358477512</c:v>
                </c:pt>
                <c:pt idx="643">
                  <c:v>1.1645801770193751</c:v>
                </c:pt>
                <c:pt idx="644">
                  <c:v>1.1775509661643131</c:v>
                </c:pt>
                <c:pt idx="645">
                  <c:v>1.1612311617893298</c:v>
                </c:pt>
                <c:pt idx="646">
                  <c:v>1.1694176434627743</c:v>
                </c:pt>
                <c:pt idx="647">
                  <c:v>1.1768333200435892</c:v>
                </c:pt>
                <c:pt idx="648">
                  <c:v>1.1938441910533439</c:v>
                </c:pt>
                <c:pt idx="649">
                  <c:v>1.1987613959546009</c:v>
                </c:pt>
                <c:pt idx="650">
                  <c:v>1.1970071498817201</c:v>
                </c:pt>
                <c:pt idx="651">
                  <c:v>1.1992398267017503</c:v>
                </c:pt>
                <c:pt idx="652">
                  <c:v>1.1940568269409657</c:v>
                </c:pt>
                <c:pt idx="653">
                  <c:v>1.1860298221832377</c:v>
                </c:pt>
                <c:pt idx="654">
                  <c:v>1.1823884326077121</c:v>
                </c:pt>
                <c:pt idx="655">
                  <c:v>1.1841692581665457</c:v>
                </c:pt>
                <c:pt idx="656">
                  <c:v>1.1919570475506991</c:v>
                </c:pt>
                <c:pt idx="657">
                  <c:v>1.1854184940063248</c:v>
                </c:pt>
                <c:pt idx="658">
                  <c:v>1.1868006272758673</c:v>
                </c:pt>
                <c:pt idx="659">
                  <c:v>1.1970337293676729</c:v>
                </c:pt>
                <c:pt idx="660">
                  <c:v>1.1784546686867066</c:v>
                </c:pt>
                <c:pt idx="661">
                  <c:v>1.1791457353214778</c:v>
                </c:pt>
                <c:pt idx="662">
                  <c:v>1.1767004226138256</c:v>
                </c:pt>
                <c:pt idx="663">
                  <c:v>1.1658825718310597</c:v>
                </c:pt>
                <c:pt idx="664">
                  <c:v>1.1466124445153221</c:v>
                </c:pt>
                <c:pt idx="665">
                  <c:v>1.1440342343779062</c:v>
                </c:pt>
                <c:pt idx="666">
                  <c:v>1.1488451213353523</c:v>
                </c:pt>
                <c:pt idx="667">
                  <c:v>1.1319671477553612</c:v>
                </c:pt>
                <c:pt idx="668">
                  <c:v>1.1324189990165578</c:v>
                </c:pt>
                <c:pt idx="669">
                  <c:v>1.138984132046885</c:v>
                </c:pt>
                <c:pt idx="670">
                  <c:v>1.1362198655078</c:v>
                </c:pt>
                <c:pt idx="671">
                  <c:v>1.1357680142466033</c:v>
                </c:pt>
                <c:pt idx="672">
                  <c:v>1.1205645482816351</c:v>
                </c:pt>
                <c:pt idx="673">
                  <c:v>1.1287244504691269</c:v>
                </c:pt>
                <c:pt idx="674">
                  <c:v>1.128299178693883</c:v>
                </c:pt>
                <c:pt idx="675">
                  <c:v>1.1416952396140649</c:v>
                </c:pt>
                <c:pt idx="676">
                  <c:v>1.1490045982510688</c:v>
                </c:pt>
                <c:pt idx="677">
                  <c:v>1.1549849825904357</c:v>
                </c:pt>
                <c:pt idx="678">
                  <c:v>1.1597161310900237</c:v>
                </c:pt>
                <c:pt idx="679">
                  <c:v>1.1526459878265944</c:v>
                </c:pt>
                <c:pt idx="680">
                  <c:v>1.1469048188608022</c:v>
                </c:pt>
                <c:pt idx="681">
                  <c:v>1.1589719054833469</c:v>
                </c:pt>
                <c:pt idx="682">
                  <c:v>1.1589187465114414</c:v>
                </c:pt>
                <c:pt idx="683">
                  <c:v>1.1434760651728986</c:v>
                </c:pt>
                <c:pt idx="684">
                  <c:v>1.1334290194827623</c:v>
                </c:pt>
                <c:pt idx="685">
                  <c:v>1.1195013688435258</c:v>
                </c:pt>
                <c:pt idx="686">
                  <c:v>1.1175610663689757</c:v>
                </c:pt>
                <c:pt idx="687">
                  <c:v>1.1259867634159948</c:v>
                </c:pt>
                <c:pt idx="688">
                  <c:v>1.1098264359567278</c:v>
                </c:pt>
                <c:pt idx="689">
                  <c:v>1.0965366929803571</c:v>
                </c:pt>
                <c:pt idx="690">
                  <c:v>1.0915663291071944</c:v>
                </c:pt>
                <c:pt idx="691">
                  <c:v>1.1046168567099905</c:v>
                </c:pt>
                <c:pt idx="692">
                  <c:v>1.1115541025436562</c:v>
                </c:pt>
                <c:pt idx="693">
                  <c:v>1.1234085532785789</c:v>
                </c:pt>
                <c:pt idx="694">
                  <c:v>1.1449379369002997</c:v>
                </c:pt>
                <c:pt idx="695">
                  <c:v>1.1553836748797273</c:v>
                </c:pt>
                <c:pt idx="696">
                  <c:v>1.1580416234750013</c:v>
                </c:pt>
                <c:pt idx="697">
                  <c:v>1.1613374797331413</c:v>
                </c:pt>
                <c:pt idx="698">
                  <c:v>1.1621880232836288</c:v>
                </c:pt>
                <c:pt idx="699">
                  <c:v>1.1531244185737439</c:v>
                </c:pt>
                <c:pt idx="700">
                  <c:v>1.17111873056375</c:v>
                </c:pt>
                <c:pt idx="701">
                  <c:v>1.1700023921537348</c:v>
                </c:pt>
                <c:pt idx="702">
                  <c:v>1.1927012731573763</c:v>
                </c:pt>
                <c:pt idx="703">
                  <c:v>1.1952263243228867</c:v>
                </c:pt>
                <c:pt idx="704">
                  <c:v>1.1966881960502873</c:v>
                </c:pt>
                <c:pt idx="705">
                  <c:v>1.1981766472636408</c:v>
                </c:pt>
                <c:pt idx="706">
                  <c:v>1.2073997288892422</c:v>
                </c:pt>
                <c:pt idx="707">
                  <c:v>1.2047683597799208</c:v>
                </c:pt>
                <c:pt idx="708">
                  <c:v>1.2094197698216507</c:v>
                </c:pt>
                <c:pt idx="709">
                  <c:v>1.2101639954283276</c:v>
                </c:pt>
                <c:pt idx="710">
                  <c:v>1.2079844775802029</c:v>
                </c:pt>
                <c:pt idx="711">
                  <c:v>1.2091805544480763</c:v>
                </c:pt>
                <c:pt idx="712">
                  <c:v>1.2083300108975885</c:v>
                </c:pt>
                <c:pt idx="713">
                  <c:v>1.2130877388831292</c:v>
                </c:pt>
                <c:pt idx="714">
                  <c:v>1.2202642000903696</c:v>
                </c:pt>
                <c:pt idx="715">
                  <c:v>1.2138585439757588</c:v>
                </c:pt>
                <c:pt idx="716">
                  <c:v>1.2136193286021841</c:v>
                </c:pt>
                <c:pt idx="717">
                  <c:v>1.2087287031868796</c:v>
                </c:pt>
                <c:pt idx="718">
                  <c:v>1.2179517848124812</c:v>
                </c:pt>
                <c:pt idx="719">
                  <c:v>1.2231879435451711</c:v>
                </c:pt>
                <c:pt idx="720">
                  <c:v>1.2279456715307118</c:v>
                </c:pt>
                <c:pt idx="721">
                  <c:v>1.2335539430667404</c:v>
                </c:pt>
                <c:pt idx="722">
                  <c:v>1.2505648140764949</c:v>
                </c:pt>
                <c:pt idx="723">
                  <c:v>1.2545783164553588</c:v>
                </c:pt>
                <c:pt idx="724">
                  <c:v>1.247455014220024</c:v>
                </c:pt>
                <c:pt idx="725">
                  <c:v>1.254471998511548</c:v>
                </c:pt>
                <c:pt idx="726">
                  <c:v>1.2621003109799849</c:v>
                </c:pt>
                <c:pt idx="727">
                  <c:v>1.2446110092230809</c:v>
                </c:pt>
                <c:pt idx="728">
                  <c:v>1.2564123009860981</c:v>
                </c:pt>
                <c:pt idx="729">
                  <c:v>1.2589373521516087</c:v>
                </c:pt>
                <c:pt idx="730">
                  <c:v>1.264253249342157</c:v>
                </c:pt>
                <c:pt idx="731">
                  <c:v>1.2665390851340927</c:v>
                </c:pt>
                <c:pt idx="732">
                  <c:v>1.267017515881242</c:v>
                </c:pt>
                <c:pt idx="733">
                  <c:v>1.2633495468197637</c:v>
                </c:pt>
                <c:pt idx="734">
                  <c:v>1.2562794035563345</c:v>
                </c:pt>
                <c:pt idx="735">
                  <c:v>1.2460197219785762</c:v>
                </c:pt>
                <c:pt idx="736">
                  <c:v>1.2420062195997121</c:v>
                </c:pt>
                <c:pt idx="737">
                  <c:v>1.2437073067006879</c:v>
                </c:pt>
                <c:pt idx="738">
                  <c:v>1.2614624033171193</c:v>
                </c:pt>
                <c:pt idx="739">
                  <c:v>1.2595486803285219</c:v>
                </c:pt>
                <c:pt idx="740">
                  <c:v>1.2666719825638566</c:v>
                </c:pt>
                <c:pt idx="741">
                  <c:v>1.266113813358849</c:v>
                </c:pt>
                <c:pt idx="742">
                  <c:v>1.2669909363952894</c:v>
                </c:pt>
                <c:pt idx="743">
                  <c:v>1.2623395263535597</c:v>
                </c:pt>
                <c:pt idx="744">
                  <c:v>1.255322542062036</c:v>
                </c:pt>
                <c:pt idx="745">
                  <c:v>1.2664859261621872</c:v>
                </c:pt>
                <c:pt idx="746">
                  <c:v>1.2822741408181157</c:v>
                </c:pt>
                <c:pt idx="747">
                  <c:v>1.2849852483852953</c:v>
                </c:pt>
                <c:pt idx="748">
                  <c:v>1.2887329559046321</c:v>
                </c:pt>
                <c:pt idx="749">
                  <c:v>1.2901416686601272</c:v>
                </c:pt>
                <c:pt idx="750">
                  <c:v>1.297158652951651</c:v>
                </c:pt>
                <c:pt idx="751">
                  <c:v>1.2955107248225812</c:v>
                </c:pt>
                <c:pt idx="752">
                  <c:v>1.3057704064003393</c:v>
                </c:pt>
                <c:pt idx="753">
                  <c:v>1.304760385934135</c:v>
                </c:pt>
                <c:pt idx="754">
                  <c:v>1.2834702176859891</c:v>
                </c:pt>
                <c:pt idx="755">
                  <c:v>1.3002684528081216</c:v>
                </c:pt>
                <c:pt idx="756">
                  <c:v>1.3139568880737837</c:v>
                </c:pt>
                <c:pt idx="757">
                  <c:v>1.3091725806022902</c:v>
                </c:pt>
                <c:pt idx="758">
                  <c:v>1.3129734470935324</c:v>
                </c:pt>
                <c:pt idx="759">
                  <c:v>1.3239241953060619</c:v>
                </c:pt>
                <c:pt idx="760">
                  <c:v>1.3245089439970223</c:v>
                </c:pt>
                <c:pt idx="761">
                  <c:v>1.3321638359514119</c:v>
                </c:pt>
                <c:pt idx="762">
                  <c:v>1.3315790872604516</c:v>
                </c:pt>
                <c:pt idx="763">
                  <c:v>1.3132392419530599</c:v>
                </c:pt>
                <c:pt idx="764">
                  <c:v>1.325173431145841</c:v>
                </c:pt>
                <c:pt idx="765">
                  <c:v>1.334316774313584</c:v>
                </c:pt>
                <c:pt idx="766">
                  <c:v>1.3276719028253987</c:v>
                </c:pt>
                <c:pt idx="767">
                  <c:v>1.3203625441883948</c:v>
                </c:pt>
                <c:pt idx="768">
                  <c:v>1.3215586210562682</c:v>
                </c:pt>
                <c:pt idx="769">
                  <c:v>1.3489089121016395</c:v>
                </c:pt>
                <c:pt idx="770">
                  <c:v>1.3498391941099854</c:v>
                </c:pt>
                <c:pt idx="771">
                  <c:v>1.3448954097227754</c:v>
                </c:pt>
                <c:pt idx="772">
                  <c:v>1.347393881402333</c:v>
                </c:pt>
                <c:pt idx="773">
                  <c:v>1.3456130558434993</c:v>
                </c:pt>
                <c:pt idx="774">
                  <c:v>1.3504505222868983</c:v>
                </c:pt>
                <c:pt idx="775">
                  <c:v>1.3631289370863564</c:v>
                </c:pt>
                <c:pt idx="776">
                  <c:v>1.3616670653589555</c:v>
                </c:pt>
                <c:pt idx="777">
                  <c:v>1.3480583685511518</c:v>
                </c:pt>
                <c:pt idx="778">
                  <c:v>1.3548892964410064</c:v>
                </c:pt>
                <c:pt idx="779">
                  <c:v>1.3683385163330937</c:v>
                </c:pt>
                <c:pt idx="780">
                  <c:v>1.3601254551736968</c:v>
                </c:pt>
                <c:pt idx="781">
                  <c:v>1.358955957791776</c:v>
                </c:pt>
                <c:pt idx="782">
                  <c:v>1.373574675065784</c:v>
                </c:pt>
                <c:pt idx="783">
                  <c:v>1.3714217367036121</c:v>
                </c:pt>
                <c:pt idx="784">
                  <c:v>1.3687106291364326</c:v>
                </c:pt>
                <c:pt idx="785">
                  <c:v>1.3551019323286286</c:v>
                </c:pt>
                <c:pt idx="786">
                  <c:v>1.3631555165723093</c:v>
                </c:pt>
                <c:pt idx="787">
                  <c:v>1.3707306700688406</c:v>
                </c:pt>
                <c:pt idx="788">
                  <c:v>1.3834090848682983</c:v>
                </c:pt>
                <c:pt idx="789">
                  <c:v>1.38798075645217</c:v>
                </c:pt>
                <c:pt idx="790">
                  <c:v>1.3853493873428484</c:v>
                </c:pt>
                <c:pt idx="791">
                  <c:v>1.3815219413656534</c:v>
                </c:pt>
                <c:pt idx="792">
                  <c:v>1.3789703107141902</c:v>
                </c:pt>
                <c:pt idx="793">
                  <c:v>1.3905589665895857</c:v>
                </c:pt>
                <c:pt idx="794">
                  <c:v>1.3902931717300584</c:v>
                </c:pt>
                <c:pt idx="795">
                  <c:v>1.3878744385083588</c:v>
                </c:pt>
                <c:pt idx="796">
                  <c:v>1.3790500491720488</c:v>
                </c:pt>
                <c:pt idx="797">
                  <c:v>1.3805650798713549</c:v>
                </c:pt>
                <c:pt idx="798">
                  <c:v>1.3637136857773169</c:v>
                </c:pt>
                <c:pt idx="799">
                  <c:v>1.3779602902479862</c:v>
                </c:pt>
                <c:pt idx="800">
                  <c:v>1.3787310953406158</c:v>
                </c:pt>
                <c:pt idx="801">
                  <c:v>1.3803258644977805</c:v>
                </c:pt>
                <c:pt idx="802">
                  <c:v>1.3665045318023548</c:v>
                </c:pt>
                <c:pt idx="803">
                  <c:v>1.3768173723520185</c:v>
                </c:pt>
                <c:pt idx="804">
                  <c:v>1.3578130398958081</c:v>
                </c:pt>
                <c:pt idx="805">
                  <c:v>1.3408021688860534</c:v>
                </c:pt>
                <c:pt idx="806">
                  <c:v>1.3383568561784012</c:v>
                </c:pt>
                <c:pt idx="807">
                  <c:v>1.3304361693644842</c:v>
                </c:pt>
                <c:pt idx="808">
                  <c:v>1.3276984823113518</c:v>
                </c:pt>
                <c:pt idx="809">
                  <c:v>1.3161098264359565</c:v>
                </c:pt>
                <c:pt idx="810">
                  <c:v>1.3282300720304065</c:v>
                </c:pt>
                <c:pt idx="811">
                  <c:v>1.3439917072003822</c:v>
                </c:pt>
                <c:pt idx="812">
                  <c:v>1.3433537995375164</c:v>
                </c:pt>
                <c:pt idx="813">
                  <c:v>1.3382505382345899</c:v>
                </c:pt>
                <c:pt idx="814">
                  <c:v>1.3509289530340476</c:v>
                </c:pt>
                <c:pt idx="815">
                  <c:v>1.3557132605055411</c:v>
                </c:pt>
                <c:pt idx="816">
                  <c:v>1.3342370358557258</c:v>
                </c:pt>
                <c:pt idx="817">
                  <c:v>1.329904579645429</c:v>
                </c:pt>
                <c:pt idx="818">
                  <c:v>1.342343779071312</c:v>
                </c:pt>
                <c:pt idx="819">
                  <c:v>1.3589825372777284</c:v>
                </c:pt>
                <c:pt idx="820">
                  <c:v>1.3730165058607759</c:v>
                </c:pt>
                <c:pt idx="821">
                  <c:v>1.3745315365600821</c:v>
                </c:pt>
                <c:pt idx="822">
                  <c:v>1.3746644339898459</c:v>
                </c:pt>
                <c:pt idx="823">
                  <c:v>1.3825851208037627</c:v>
                </c:pt>
                <c:pt idx="824">
                  <c:v>1.3843659463625966</c:v>
                </c:pt>
                <c:pt idx="825">
                  <c:v>1.3845520027642657</c:v>
                </c:pt>
                <c:pt idx="826">
                  <c:v>1.3909044999069711</c:v>
                </c:pt>
                <c:pt idx="827">
                  <c:v>1.4081280068043476</c:v>
                </c:pt>
                <c:pt idx="828">
                  <c:v>1.4052308428354989</c:v>
                </c:pt>
                <c:pt idx="829">
                  <c:v>1.4072508837679072</c:v>
                </c:pt>
                <c:pt idx="830">
                  <c:v>1.4088722324110241</c:v>
                </c:pt>
                <c:pt idx="831">
                  <c:v>1.4123275655848806</c:v>
                </c:pt>
                <c:pt idx="832">
                  <c:v>1.4082609042341112</c:v>
                </c:pt>
                <c:pt idx="833">
                  <c:v>1.3979746431704003</c:v>
                </c:pt>
                <c:pt idx="834">
                  <c:v>1.4072243042819546</c:v>
                </c:pt>
                <c:pt idx="835">
                  <c:v>1.4082077452622057</c:v>
                </c:pt>
                <c:pt idx="836">
                  <c:v>1.3983467559737388</c:v>
                </c:pt>
                <c:pt idx="837">
                  <c:v>1.3890705153762319</c:v>
                </c:pt>
                <c:pt idx="838">
                  <c:v>1.4017223506897369</c:v>
                </c:pt>
                <c:pt idx="839">
                  <c:v>1.4028652685857046</c:v>
                </c:pt>
                <c:pt idx="840">
                  <c:v>1.4044334582569165</c:v>
                </c:pt>
                <c:pt idx="841">
                  <c:v>1.4211253754352382</c:v>
                </c:pt>
                <c:pt idx="842">
                  <c:v>1.4210987959492856</c:v>
                </c:pt>
                <c:pt idx="843">
                  <c:v>1.4193711293623574</c:v>
                </c:pt>
                <c:pt idx="844">
                  <c:v>1.4237567445445598</c:v>
                </c:pt>
                <c:pt idx="845">
                  <c:v>1.4271854982324637</c:v>
                </c:pt>
                <c:pt idx="846">
                  <c:v>1.4389070515376226</c:v>
                </c:pt>
                <c:pt idx="847">
                  <c:v>1.4418042155064714</c:v>
                </c:pt>
                <c:pt idx="848">
                  <c:v>1.4426813385429118</c:v>
                </c:pt>
                <c:pt idx="849">
                  <c:v>1.4541636764744963</c:v>
                </c:pt>
                <c:pt idx="850">
                  <c:v>1.4578582250219272</c:v>
                </c:pt>
                <c:pt idx="851">
                  <c:v>1.4538978816149686</c:v>
                </c:pt>
                <c:pt idx="852">
                  <c:v>1.447279589612736</c:v>
                </c:pt>
                <c:pt idx="853">
                  <c:v>1.4425750205991008</c:v>
                </c:pt>
                <c:pt idx="854">
                  <c:v>1.4481301331632239</c:v>
                </c:pt>
                <c:pt idx="855">
                  <c:v>1.4499375382080102</c:v>
                </c:pt>
                <c:pt idx="856">
                  <c:v>1.4522233739999459</c:v>
                </c:pt>
                <c:pt idx="857">
                  <c:v>1.4465087845201066</c:v>
                </c:pt>
                <c:pt idx="858">
                  <c:v>1.4494856869468138</c:v>
                </c:pt>
                <c:pt idx="859">
                  <c:v>1.4592403582914699</c:v>
                </c:pt>
                <c:pt idx="860">
                  <c:v>1.465752332349892</c:v>
                </c:pt>
                <c:pt idx="861">
                  <c:v>1.4742046088828638</c:v>
                </c:pt>
                <c:pt idx="862">
                  <c:v>1.4759056959838392</c:v>
                </c:pt>
                <c:pt idx="863">
                  <c:v>1.4773409882252873</c:v>
                </c:pt>
                <c:pt idx="864">
                  <c:v>1.4919597054992952</c:v>
                </c:pt>
                <c:pt idx="865">
                  <c:v>1.4790952342981682</c:v>
                </c:pt>
                <c:pt idx="866">
                  <c:v>1.4884246338675804</c:v>
                </c:pt>
                <c:pt idx="867">
                  <c:v>1.4925178747043024</c:v>
                </c:pt>
                <c:pt idx="868">
                  <c:v>1.5013688435265655</c:v>
                </c:pt>
                <c:pt idx="869">
                  <c:v>1.4803178906519943</c:v>
                </c:pt>
                <c:pt idx="870">
                  <c:v>1.4689418706642206</c:v>
                </c:pt>
                <c:pt idx="871">
                  <c:v>1.4591871993195644</c:v>
                </c:pt>
                <c:pt idx="872">
                  <c:v>1.4742311883688159</c:v>
                </c:pt>
                <c:pt idx="873">
                  <c:v>1.4719187730909273</c:v>
                </c:pt>
                <c:pt idx="874">
                  <c:v>1.4385615182202367</c:v>
                </c:pt>
                <c:pt idx="875">
                  <c:v>1.4310661031815632</c:v>
                </c:pt>
                <c:pt idx="876">
                  <c:v>1.4470935332110666</c:v>
                </c:pt>
                <c:pt idx="877">
                  <c:v>1.4479440767615543</c:v>
                </c:pt>
                <c:pt idx="878">
                  <c:v>1.4406081386385978</c:v>
                </c:pt>
                <c:pt idx="879">
                  <c:v>1.4640246657629632</c:v>
                </c:pt>
                <c:pt idx="880">
                  <c:v>1.4432926667198249</c:v>
                </c:pt>
                <c:pt idx="881">
                  <c:v>1.4164208064216031</c:v>
                </c:pt>
                <c:pt idx="882">
                  <c:v>1.3751694442229481</c:v>
                </c:pt>
                <c:pt idx="883">
                  <c:v>1.3878478590224057</c:v>
                </c:pt>
                <c:pt idx="884">
                  <c:v>1.3785716184248988</c:v>
                </c:pt>
                <c:pt idx="885">
                  <c:v>1.410440422082236</c:v>
                </c:pt>
                <c:pt idx="886">
                  <c:v>1.4166600217951777</c:v>
                </c:pt>
                <c:pt idx="887">
                  <c:v>1.4174042474018542</c:v>
                </c:pt>
                <c:pt idx="888">
                  <c:v>1.4407144565824084</c:v>
                </c:pt>
                <c:pt idx="889">
                  <c:v>1.4452595486803275</c:v>
                </c:pt>
                <c:pt idx="890">
                  <c:v>1.4700316295882829</c:v>
                </c:pt>
                <c:pt idx="891">
                  <c:v>1.4733274858464227</c:v>
                </c:pt>
                <c:pt idx="892">
                  <c:v>1.4874146134013759</c:v>
                </c:pt>
                <c:pt idx="893">
                  <c:v>1.4849958801796765</c:v>
                </c:pt>
                <c:pt idx="894">
                  <c:v>1.4900991414826028</c:v>
                </c:pt>
                <c:pt idx="895">
                  <c:v>1.4784041676633966</c:v>
                </c:pt>
                <c:pt idx="896">
                  <c:v>1.4941126438614667</c:v>
                </c:pt>
                <c:pt idx="897">
                  <c:v>1.4905509927437992</c:v>
                </c:pt>
                <c:pt idx="898">
                  <c:v>1.4925976131621601</c:v>
                </c:pt>
                <c:pt idx="899">
                  <c:v>1.4839327007415664</c:v>
                </c:pt>
                <c:pt idx="900">
                  <c:v>1.4840655981713302</c:v>
                </c:pt>
                <c:pt idx="901">
                  <c:v>1.4982324641841414</c:v>
                </c:pt>
                <c:pt idx="902">
                  <c:v>1.4674002604789611</c:v>
                </c:pt>
                <c:pt idx="903">
                  <c:v>1.4643967785663015</c:v>
                </c:pt>
                <c:pt idx="904">
                  <c:v>1.460835127448634</c:v>
                </c:pt>
                <c:pt idx="905">
                  <c:v>1.4362491029423479</c:v>
                </c:pt>
                <c:pt idx="906">
                  <c:v>1.4523296919437565</c:v>
                </c:pt>
                <c:pt idx="907">
                  <c:v>1.458655609600509</c:v>
                </c:pt>
                <c:pt idx="908">
                  <c:v>1.4736198601919026</c:v>
                </c:pt>
                <c:pt idx="909">
                  <c:v>1.4860324801318332</c:v>
                </c:pt>
                <c:pt idx="910">
                  <c:v>1.4937936900300337</c:v>
                </c:pt>
                <c:pt idx="911">
                  <c:v>1.4959997873641113</c:v>
                </c:pt>
                <c:pt idx="912">
                  <c:v>1.4966111155410244</c:v>
                </c:pt>
                <c:pt idx="913">
                  <c:v>1.4921723413869163</c:v>
                </c:pt>
                <c:pt idx="914">
                  <c:v>1.5176354889296428</c:v>
                </c:pt>
                <c:pt idx="915">
                  <c:v>1.5103792892645442</c:v>
                </c:pt>
                <c:pt idx="916">
                  <c:v>1.5141535762698335</c:v>
                </c:pt>
                <c:pt idx="917">
                  <c:v>1.5184860324801304</c:v>
                </c:pt>
                <c:pt idx="918">
                  <c:v>1.5151370172500849</c:v>
                </c:pt>
                <c:pt idx="919">
                  <c:v>1.5211439810754046</c:v>
                </c:pt>
                <c:pt idx="920">
                  <c:v>1.5189378837413272</c:v>
                </c:pt>
                <c:pt idx="921">
                  <c:v>1.5250245860245051</c:v>
                </c:pt>
                <c:pt idx="922">
                  <c:v>1.5113627302447958</c:v>
                </c:pt>
                <c:pt idx="923">
                  <c:v>1.5120006379076616</c:v>
                </c:pt>
                <c:pt idx="924">
                  <c:v>1.5092363713685766</c:v>
                </c:pt>
                <c:pt idx="925">
                  <c:v>1.5229513861201911</c:v>
                </c:pt>
                <c:pt idx="926">
                  <c:v>1.5091832123966706</c:v>
                </c:pt>
                <c:pt idx="927">
                  <c:v>1.5234563963532928</c:v>
                </c:pt>
                <c:pt idx="928">
                  <c:v>1.5340084522765312</c:v>
                </c:pt>
                <c:pt idx="929">
                  <c:v>1.5313239241953043</c:v>
                </c:pt>
                <c:pt idx="930">
                  <c:v>1.5404938468490001</c:v>
                </c:pt>
                <c:pt idx="931">
                  <c:v>1.5530925231905999</c:v>
                </c:pt>
                <c:pt idx="932">
                  <c:v>1.5410254365680549</c:v>
                </c:pt>
                <c:pt idx="933">
                  <c:v>1.5477234670281459</c:v>
                </c:pt>
                <c:pt idx="934">
                  <c:v>1.5478563644579098</c:v>
                </c:pt>
                <c:pt idx="935">
                  <c:v>1.5538101693113238</c:v>
                </c:pt>
                <c:pt idx="936">
                  <c:v>1.5512585386598603</c:v>
                </c:pt>
                <c:pt idx="937">
                  <c:v>1.5504345745953254</c:v>
                </c:pt>
                <c:pt idx="938">
                  <c:v>1.536267708582514</c:v>
                </c:pt>
                <c:pt idx="939">
                  <c:v>1.5395901443266067</c:v>
                </c:pt>
                <c:pt idx="940">
                  <c:v>1.5390585546075517</c:v>
                </c:pt>
                <c:pt idx="941">
                  <c:v>1.5438162825930928</c:v>
                </c:pt>
                <c:pt idx="942">
                  <c:v>1.5463147542726503</c:v>
                </c:pt>
                <c:pt idx="943">
                  <c:v>1.5416367647449678</c:v>
                </c:pt>
                <c:pt idx="944">
                  <c:v>1.5114158892167007</c:v>
                </c:pt>
                <c:pt idx="945">
                  <c:v>1.5177949658453587</c:v>
                </c:pt>
                <c:pt idx="946">
                  <c:v>1.5145256890731715</c:v>
                </c:pt>
                <c:pt idx="947">
                  <c:v>1.5328389548946106</c:v>
                </c:pt>
                <c:pt idx="948">
                  <c:v>1.5709539377508419</c:v>
                </c:pt>
                <c:pt idx="949">
                  <c:v>1.5831007628312448</c:v>
                </c:pt>
                <c:pt idx="950">
                  <c:v>1.5899582702070525</c:v>
                </c:pt>
                <c:pt idx="951">
                  <c:v>1.5914733009063589</c:v>
                </c:pt>
                <c:pt idx="952">
                  <c:v>1.5865295165191489</c:v>
                </c:pt>
                <c:pt idx="953">
                  <c:v>1.5873003216117787</c:v>
                </c:pt>
                <c:pt idx="954">
                  <c:v>1.5770937990059257</c:v>
                </c:pt>
                <c:pt idx="955">
                  <c:v>1.556893389681842</c:v>
                </c:pt>
                <c:pt idx="956">
                  <c:v>1.5632724663104998</c:v>
                </c:pt>
                <c:pt idx="957">
                  <c:v>1.5689870557903391</c:v>
                </c:pt>
                <c:pt idx="958">
                  <c:v>1.5695186455093939</c:v>
                </c:pt>
                <c:pt idx="959">
                  <c:v>1.5779443425564128</c:v>
                </c:pt>
                <c:pt idx="960">
                  <c:v>1.5828349679717171</c:v>
                </c:pt>
                <c:pt idx="961">
                  <c:v>1.5882040241341706</c:v>
                </c:pt>
                <c:pt idx="962">
                  <c:v>1.5964968237514259</c:v>
                </c:pt>
                <c:pt idx="963">
                  <c:v>1.5916593573080271</c:v>
                </c:pt>
                <c:pt idx="964">
                  <c:v>1.6015469260824466</c:v>
                </c:pt>
                <c:pt idx="965">
                  <c:v>1.6044175105653427</c:v>
                </c:pt>
                <c:pt idx="966">
                  <c:v>1.6051617361720194</c:v>
                </c:pt>
                <c:pt idx="967">
                  <c:v>1.6151290434042973</c:v>
                </c:pt>
                <c:pt idx="968">
                  <c:v>1.6124710948090231</c:v>
                </c:pt>
                <c:pt idx="969">
                  <c:v>1.6155277356935884</c:v>
                </c:pt>
                <c:pt idx="970">
                  <c:v>1.6072083565903803</c:v>
                </c:pt>
                <c:pt idx="971">
                  <c:v>1.6022114132312648</c:v>
                </c:pt>
                <c:pt idx="972">
                  <c:v>1.6145974536852425</c:v>
                </c:pt>
                <c:pt idx="973">
                  <c:v>1.6062780745820344</c:v>
                </c:pt>
                <c:pt idx="974">
                  <c:v>1.6059591207506014</c:v>
                </c:pt>
                <c:pt idx="975">
                  <c:v>1.6128166281264085</c:v>
                </c:pt>
                <c:pt idx="976">
                  <c:v>1.606171756638223</c:v>
                </c:pt>
                <c:pt idx="977">
                  <c:v>1.5583021024373354</c:v>
                </c:pt>
                <c:pt idx="978">
                  <c:v>1.5578236716901861</c:v>
                </c:pt>
                <c:pt idx="979">
                  <c:v>1.5712463120963203</c:v>
                </c:pt>
                <c:pt idx="980">
                  <c:v>1.580655450123591</c:v>
                </c:pt>
                <c:pt idx="981">
                  <c:v>1.5982244903383529</c:v>
                </c:pt>
                <c:pt idx="982">
                  <c:v>1.5983308082821641</c:v>
                </c:pt>
                <c:pt idx="983">
                  <c:v>1.5815059936740785</c:v>
                </c:pt>
                <c:pt idx="984">
                  <c:v>1.5634585227121671</c:v>
                </c:pt>
                <c:pt idx="985">
                  <c:v>1.5577705127182806</c:v>
                </c:pt>
                <c:pt idx="986">
                  <c:v>1.5539430667410856</c:v>
                </c:pt>
                <c:pt idx="987">
                  <c:v>1.57337267097254</c:v>
                </c:pt>
                <c:pt idx="988">
                  <c:v>1.5824362756824246</c:v>
                </c:pt>
                <c:pt idx="989">
                  <c:v>1.5645482816362295</c:v>
                </c:pt>
                <c:pt idx="990">
                  <c:v>1.5668341174281653</c:v>
                </c:pt>
                <c:pt idx="991">
                  <c:v>1.5429125800706978</c:v>
                </c:pt>
                <c:pt idx="992">
                  <c:v>1.5453047338064443</c:v>
                </c:pt>
                <c:pt idx="993">
                  <c:v>1.5474310926826638</c:v>
                </c:pt>
                <c:pt idx="994">
                  <c:v>1.5755787683066167</c:v>
                </c:pt>
                <c:pt idx="995">
                  <c:v>1.5725487069080042</c:v>
                </c:pt>
                <c:pt idx="996">
                  <c:v>1.5883369215639327</c:v>
                </c:pt>
                <c:pt idx="997">
                  <c:v>1.6028759003800819</c:v>
                </c:pt>
                <c:pt idx="998">
                  <c:v>1.6118863461180615</c:v>
                </c:pt>
                <c:pt idx="999">
                  <c:v>1.6206841559684189</c:v>
                </c:pt>
                <c:pt idx="1000">
                  <c:v>1.6159530074688309</c:v>
                </c:pt>
                <c:pt idx="1001">
                  <c:v>1.5930946495494731</c:v>
                </c:pt>
                <c:pt idx="1002">
                  <c:v>1.6067830848151352</c:v>
                </c:pt>
                <c:pt idx="1003">
                  <c:v>1.5995800441219421</c:v>
                </c:pt>
                <c:pt idx="1004">
                  <c:v>1.6081652180846777</c:v>
                </c:pt>
                <c:pt idx="1005">
                  <c:v>1.5996066236078952</c:v>
                </c:pt>
                <c:pt idx="1006">
                  <c:v>1.5888419317970346</c:v>
                </c:pt>
                <c:pt idx="1007">
                  <c:v>1.599500305664084</c:v>
                </c:pt>
                <c:pt idx="1008">
                  <c:v>1.605985700236553</c:v>
                </c:pt>
                <c:pt idx="1009">
                  <c:v>1.6115673922866285</c:v>
                </c:pt>
                <c:pt idx="1010">
                  <c:v>1.5968157775828566</c:v>
                </c:pt>
                <c:pt idx="1011">
                  <c:v>1.6076602078515752</c:v>
                </c:pt>
                <c:pt idx="1012">
                  <c:v>1.6088828642054009</c:v>
                </c:pt>
                <c:pt idx="1013">
                  <c:v>1.6036998644446165</c:v>
                </c:pt>
                <c:pt idx="1014">
                  <c:v>1.6206309969965129</c:v>
                </c:pt>
                <c:pt idx="1015">
                  <c:v>1.6205512585386548</c:v>
                </c:pt>
                <c:pt idx="1016">
                  <c:v>1.6253089865241956</c:v>
                </c:pt>
                <c:pt idx="1017">
                  <c:v>1.6291364325013902</c:v>
                </c:pt>
                <c:pt idx="1018">
                  <c:v>1.6223586635834413</c:v>
                </c:pt>
                <c:pt idx="1019">
                  <c:v>1.5946096802487792</c:v>
                </c:pt>
                <c:pt idx="1020">
                  <c:v>1.5873534805836809</c:v>
                </c:pt>
                <c:pt idx="1021">
                  <c:v>1.5794593732557165</c:v>
                </c:pt>
                <c:pt idx="1022">
                  <c:v>1.5802567578342985</c:v>
                </c:pt>
                <c:pt idx="1023">
                  <c:v>1.5550328256651467</c:v>
                </c:pt>
                <c:pt idx="1024">
                  <c:v>1.5792998963399998</c:v>
                </c:pt>
                <c:pt idx="1025">
                  <c:v>1.5516306514631959</c:v>
                </c:pt>
                <c:pt idx="1026">
                  <c:v>1.5332642266698515</c:v>
                </c:pt>
                <c:pt idx="1027">
                  <c:v>1.549743507960551</c:v>
                </c:pt>
                <c:pt idx="1028">
                  <c:v>1.5222337399994637</c:v>
                </c:pt>
                <c:pt idx="1029">
                  <c:v>1.5307657549902935</c:v>
                </c:pt>
                <c:pt idx="1030">
                  <c:v>1.4899928235387883</c:v>
                </c:pt>
                <c:pt idx="1031">
                  <c:v>1.4776067830848103</c:v>
                </c:pt>
                <c:pt idx="1032">
                  <c:v>1.4854477314408692</c:v>
                </c:pt>
                <c:pt idx="1033">
                  <c:v>1.4656460144060766</c:v>
                </c:pt>
                <c:pt idx="1034">
                  <c:v>1.4959200489062492</c:v>
                </c:pt>
                <c:pt idx="1035">
                  <c:v>1.5074555458097392</c:v>
                </c:pt>
                <c:pt idx="1036">
                  <c:v>1.4911623209207086</c:v>
                </c:pt>
                <c:pt idx="1037">
                  <c:v>1.5074023868378337</c:v>
                </c:pt>
                <c:pt idx="1038">
                  <c:v>1.5030433511415842</c:v>
                </c:pt>
                <c:pt idx="1039">
                  <c:v>1.4990298487627203</c:v>
                </c:pt>
                <c:pt idx="1040">
                  <c:v>1.5258751295749895</c:v>
                </c:pt>
                <c:pt idx="1041">
                  <c:v>1.529543098636468</c:v>
                </c:pt>
                <c:pt idx="1042">
                  <c:v>1.5112829917869346</c:v>
                </c:pt>
                <c:pt idx="1043">
                  <c:v>1.5072694894080707</c:v>
                </c:pt>
                <c:pt idx="1044">
                  <c:v>1.4769157164500397</c:v>
                </c:pt>
                <c:pt idx="1045">
                  <c:v>1.4868298647104123</c:v>
                </c:pt>
                <c:pt idx="1046">
                  <c:v>1.4910294234909456</c:v>
                </c:pt>
                <c:pt idx="1047">
                  <c:v>1.5004651410041687</c:v>
                </c:pt>
                <c:pt idx="1048">
                  <c:v>1.4265210110836417</c:v>
                </c:pt>
                <c:pt idx="1049">
                  <c:v>1.3430082662201273</c:v>
                </c:pt>
                <c:pt idx="1050">
                  <c:v>1.3406161124843807</c:v>
                </c:pt>
                <c:pt idx="1051">
                  <c:v>1.319618318581715</c:v>
                </c:pt>
                <c:pt idx="1052">
                  <c:v>1.4582037583393097</c:v>
                </c:pt>
                <c:pt idx="1053">
                  <c:v>1.394306674108919</c:v>
                </c:pt>
                <c:pt idx="1054">
                  <c:v>1.4191850729606852</c:v>
                </c:pt>
                <c:pt idx="1055">
                  <c:v>1.4329532466842054</c:v>
                </c:pt>
                <c:pt idx="1056">
                  <c:v>1.4289397443053413</c:v>
                </c:pt>
                <c:pt idx="1057">
                  <c:v>1.397177258591815</c:v>
                </c:pt>
                <c:pt idx="1058">
                  <c:v>1.3991707200382706</c:v>
                </c:pt>
                <c:pt idx="1059">
                  <c:v>1.3658666241394855</c:v>
                </c:pt>
                <c:pt idx="1060">
                  <c:v>1.4014033968583011</c:v>
                </c:pt>
                <c:pt idx="1061">
                  <c:v>1.4231188368816907</c:v>
                </c:pt>
                <c:pt idx="1062">
                  <c:v>1.4530739175504308</c:v>
                </c:pt>
                <c:pt idx="1063">
                  <c:v>1.4635728145017635</c:v>
                </c:pt>
                <c:pt idx="1064">
                  <c:v>1.4641309837067713</c:v>
                </c:pt>
                <c:pt idx="1065">
                  <c:v>1.4733540653323725</c:v>
                </c:pt>
                <c:pt idx="1066">
                  <c:v>1.4739388140233325</c:v>
                </c:pt>
                <c:pt idx="1067">
                  <c:v>1.4843845520027601</c:v>
                </c:pt>
                <c:pt idx="1068">
                  <c:v>1.506418945857583</c:v>
                </c:pt>
                <c:pt idx="1069">
                  <c:v>1.4977806129229421</c:v>
                </c:pt>
                <c:pt idx="1070">
                  <c:v>1.4852616750392007</c:v>
                </c:pt>
                <c:pt idx="1071">
                  <c:v>1.4915078542380951</c:v>
                </c:pt>
                <c:pt idx="1072">
                  <c:v>1.501900433245617</c:v>
                </c:pt>
                <c:pt idx="1073">
                  <c:v>1.4999867102570199</c:v>
                </c:pt>
                <c:pt idx="1074">
                  <c:v>1.5495574515588828</c:v>
                </c:pt>
                <c:pt idx="1075">
                  <c:v>1.5597905536506886</c:v>
                </c:pt>
                <c:pt idx="1076">
                  <c:v>1.5617840150971443</c:v>
                </c:pt>
                <c:pt idx="1077">
                  <c:v>1.5694123275655811</c:v>
                </c:pt>
                <c:pt idx="1078">
                  <c:v>1.5793530553119066</c:v>
                </c:pt>
                <c:pt idx="1079">
                  <c:v>1.581080721898835</c:v>
                </c:pt>
                <c:pt idx="1080">
                  <c:v>1.5757648247082867</c:v>
                </c:pt>
                <c:pt idx="1081">
                  <c:v>1.5492119182414978</c:v>
                </c:pt>
                <c:pt idx="1082">
                  <c:v>1.5492119182414978</c:v>
                </c:pt>
                <c:pt idx="1083">
                  <c:v>1.5392446110092197</c:v>
                </c:pt>
                <c:pt idx="1084">
                  <c:v>1.5712463120963207</c:v>
                </c:pt>
                <c:pt idx="1085">
                  <c:v>1.5621561279004832</c:v>
                </c:pt>
                <c:pt idx="1086">
                  <c:v>1.5683225686415192</c:v>
                </c:pt>
                <c:pt idx="1087">
                  <c:v>1.5665683225686384</c:v>
                </c:pt>
                <c:pt idx="1088">
                  <c:v>1.5753927119049487</c:v>
                </c:pt>
                <c:pt idx="1089">
                  <c:v>1.5843765781569754</c:v>
                </c:pt>
                <c:pt idx="1090">
                  <c:v>1.5839513063817312</c:v>
                </c:pt>
                <c:pt idx="1091">
                  <c:v>1.5762964144273417</c:v>
                </c:pt>
                <c:pt idx="1092">
                  <c:v>1.5924833213725613</c:v>
                </c:pt>
                <c:pt idx="1093">
                  <c:v>1.5939186136140093</c:v>
                </c:pt>
                <c:pt idx="1094">
                  <c:v>1.6029556388379416</c:v>
                </c:pt>
                <c:pt idx="1095">
                  <c:v>1.5983839672540701</c:v>
                </c:pt>
                <c:pt idx="1096">
                  <c:v>1.6047364643967752</c:v>
                </c:pt>
                <c:pt idx="1097">
                  <c:v>1.5867953113786746</c:v>
                </c:pt>
                <c:pt idx="1098">
                  <c:v>1.6018924593998316</c:v>
                </c:pt>
                <c:pt idx="1099">
                  <c:v>1.5882040241341697</c:v>
                </c:pt>
                <c:pt idx="1100">
                  <c:v>1.5879648087605953</c:v>
                </c:pt>
                <c:pt idx="1101">
                  <c:v>1.5795656911995286</c:v>
                </c:pt>
                <c:pt idx="1102">
                  <c:v>1.5951678494537878</c:v>
                </c:pt>
                <c:pt idx="1103">
                  <c:v>1.6127900486404552</c:v>
                </c:pt>
                <c:pt idx="1104">
                  <c:v>1.6136937511628484</c:v>
                </c:pt>
                <c:pt idx="1105">
                  <c:v>1.6263190069904006</c:v>
                </c:pt>
                <c:pt idx="1106">
                  <c:v>1.634399170720034</c:v>
                </c:pt>
                <c:pt idx="1107">
                  <c:v>1.64221353959014</c:v>
                </c:pt>
                <c:pt idx="1108">
                  <c:v>1.6416819498710851</c:v>
                </c:pt>
                <c:pt idx="1109">
                  <c:v>1.6491242059378528</c:v>
                </c:pt>
                <c:pt idx="1110">
                  <c:v>1.6621215745687434</c:v>
                </c:pt>
                <c:pt idx="1111">
                  <c:v>1.6497355341147655</c:v>
                </c:pt>
                <c:pt idx="1112">
                  <c:v>1.6488318315923725</c:v>
                </c:pt>
                <c:pt idx="1113">
                  <c:v>1.658719400366792</c:v>
                </c:pt>
                <c:pt idx="1114">
                  <c:v>1.6633973898944749</c:v>
                </c:pt>
                <c:pt idx="1115">
                  <c:v>1.6575499029848717</c:v>
                </c:pt>
                <c:pt idx="1116">
                  <c:v>1.6607128618132478</c:v>
                </c:pt>
                <c:pt idx="1117">
                  <c:v>1.653616139063866</c:v>
                </c:pt>
                <c:pt idx="1118">
                  <c:v>1.6591446721420364</c:v>
                </c:pt>
                <c:pt idx="1119">
                  <c:v>1.6692980357759837</c:v>
                </c:pt>
                <c:pt idx="1120">
                  <c:v>1.6680753794221577</c:v>
                </c:pt>
                <c:pt idx="1121">
                  <c:v>1.6712383382505336</c:v>
                </c:pt>
                <c:pt idx="1122">
                  <c:v>1.6714775536241082</c:v>
                </c:pt>
                <c:pt idx="1123">
                  <c:v>1.6856975786088253</c:v>
                </c:pt>
                <c:pt idx="1124">
                  <c:v>1.6862557478138325</c:v>
                </c:pt>
                <c:pt idx="1125">
                  <c:v>1.6933790500491674</c:v>
                </c:pt>
                <c:pt idx="1126">
                  <c:v>1.6929537782739237</c:v>
                </c:pt>
                <c:pt idx="1127">
                  <c:v>1.6884884246338629</c:v>
                </c:pt>
                <c:pt idx="1128">
                  <c:v>1.6863620657576437</c:v>
                </c:pt>
                <c:pt idx="1129">
                  <c:v>1.6800361481008912</c:v>
                </c:pt>
                <c:pt idx="1130">
                  <c:v>1.6524998006538509</c:v>
                </c:pt>
                <c:pt idx="1131">
                  <c:v>1.6776174148791914</c:v>
                </c:pt>
                <c:pt idx="1132">
                  <c:v>1.6691119793743141</c:v>
                </c:pt>
                <c:pt idx="1133">
                  <c:v>1.6818967121175827</c:v>
                </c:pt>
                <c:pt idx="1134">
                  <c:v>1.6804879993620874</c:v>
                </c:pt>
                <c:pt idx="1135">
                  <c:v>1.693591685936789</c:v>
                </c:pt>
                <c:pt idx="1136">
                  <c:v>1.6902426707067435</c:v>
                </c:pt>
                <c:pt idx="1137">
                  <c:v>1.7082369826967501</c:v>
                </c:pt>
                <c:pt idx="1138">
                  <c:v>1.7140844696063531</c:v>
                </c:pt>
                <c:pt idx="1139">
                  <c:v>1.7142439465220696</c:v>
                </c:pt>
                <c:pt idx="1140">
                  <c:v>1.7102304441432057</c:v>
                </c:pt>
                <c:pt idx="1141">
                  <c:v>1.709858331339867</c:v>
                </c:pt>
                <c:pt idx="1142">
                  <c:v>1.7005820907423601</c:v>
                </c:pt>
                <c:pt idx="1143">
                  <c:v>1.6960635781303941</c:v>
                </c:pt>
                <c:pt idx="1144">
                  <c:v>1.6892592297264921</c:v>
                </c:pt>
                <c:pt idx="1145">
                  <c:v>1.7152008080163681</c:v>
                </c:pt>
                <c:pt idx="1146">
                  <c:v>1.7076522340057898</c:v>
                </c:pt>
                <c:pt idx="1147">
                  <c:v>1.7148021157270774</c:v>
                </c:pt>
                <c:pt idx="1148">
                  <c:v>1.7187093001621303</c:v>
                </c:pt>
                <c:pt idx="1149">
                  <c:v>1.724796002445308</c:v>
                </c:pt>
                <c:pt idx="1150">
                  <c:v>1.7145097413815968</c:v>
                </c:pt>
                <c:pt idx="1151">
                  <c:v>1.7018047470961866</c:v>
                </c:pt>
                <c:pt idx="1152">
                  <c:v>1.7110278287217882</c:v>
                </c:pt>
                <c:pt idx="1153">
                  <c:v>1.7253275921643634</c:v>
                </c:pt>
                <c:pt idx="1154">
                  <c:v>1.7203306488052479</c:v>
                </c:pt>
                <c:pt idx="1155">
                  <c:v>1.724556787071734</c:v>
                </c:pt>
                <c:pt idx="1156">
                  <c:v>1.7285437099646452</c:v>
                </c:pt>
                <c:pt idx="1157">
                  <c:v>1.7335406533237607</c:v>
                </c:pt>
                <c:pt idx="1158">
                  <c:v>1.7479467347101465</c:v>
                </c:pt>
                <c:pt idx="1159">
                  <c:v>1.747361986019186</c:v>
                </c:pt>
                <c:pt idx="1160">
                  <c:v>1.7566648061026457</c:v>
                </c:pt>
                <c:pt idx="1161">
                  <c:v>1.7542460728809464</c:v>
                </c:pt>
                <c:pt idx="1162">
                  <c:v>1.7520665550328216</c:v>
                </c:pt>
                <c:pt idx="1163">
                  <c:v>1.7602530367062661</c:v>
                </c:pt>
                <c:pt idx="1164">
                  <c:v>1.7640804826834611</c:v>
                </c:pt>
                <c:pt idx="1165">
                  <c:v>1.7724264412726218</c:v>
                </c:pt>
                <c:pt idx="1166">
                  <c:v>1.7627780878717767</c:v>
                </c:pt>
                <c:pt idx="1167">
                  <c:v>1.7571698163357481</c:v>
                </c:pt>
                <c:pt idx="1168">
                  <c:v>1.7490630731201617</c:v>
                </c:pt>
                <c:pt idx="1169">
                  <c:v>1.7590835393243456</c:v>
                </c:pt>
                <c:pt idx="1170">
                  <c:v>1.7640273237115554</c:v>
                </c:pt>
                <c:pt idx="1171">
                  <c:v>1.7706721951997406</c:v>
                </c:pt>
                <c:pt idx="1172">
                  <c:v>1.7767057385110134</c:v>
                </c:pt>
                <c:pt idx="1173">
                  <c:v>1.7787523589293743</c:v>
                </c:pt>
                <c:pt idx="1174">
                  <c:v>1.7787257794434215</c:v>
                </c:pt>
                <c:pt idx="1175">
                  <c:v>1.7851048560720797</c:v>
                </c:pt>
                <c:pt idx="1176">
                  <c:v>1.7784865640698471</c:v>
                </c:pt>
                <c:pt idx="1177">
                  <c:v>1.7890917789649907</c:v>
                </c:pt>
                <c:pt idx="1178">
                  <c:v>1.7839087792042061</c:v>
                </c:pt>
                <c:pt idx="1179">
                  <c:v>1.7356935916859328</c:v>
                </c:pt>
                <c:pt idx="1180">
                  <c:v>1.7623262366105799</c:v>
                </c:pt>
                <c:pt idx="1181">
                  <c:v>1.760173298248408</c:v>
                </c:pt>
                <c:pt idx="1182">
                  <c:v>1.767987667118514</c:v>
                </c:pt>
                <c:pt idx="1183">
                  <c:v>1.7559471599819221</c:v>
                </c:pt>
                <c:pt idx="1184">
                  <c:v>1.7659144672142004</c:v>
                </c:pt>
                <c:pt idx="1185">
                  <c:v>1.7842808920075448</c:v>
                </c:pt>
                <c:pt idx="1186">
                  <c:v>1.7842543125215922</c:v>
                </c:pt>
                <c:pt idx="1187">
                  <c:v>1.7749780719240853</c:v>
                </c:pt>
                <c:pt idx="1188">
                  <c:v>1.7855035483613713</c:v>
                </c:pt>
                <c:pt idx="1189">
                  <c:v>1.8000956861494264</c:v>
                </c:pt>
                <c:pt idx="1190">
                  <c:v>1.821332695425667</c:v>
                </c:pt>
                <c:pt idx="1191">
                  <c:v>1.826170161869066</c:v>
                </c:pt>
                <c:pt idx="1192">
                  <c:v>1.8270472849055064</c:v>
                </c:pt>
                <c:pt idx="1193">
                  <c:v>1.8069531935252339</c:v>
                </c:pt>
                <c:pt idx="1194">
                  <c:v>1.812880418892695</c:v>
                </c:pt>
                <c:pt idx="1195">
                  <c:v>1.816282593094646</c:v>
                </c:pt>
                <c:pt idx="1196">
                  <c:v>1.7947532094729253</c:v>
                </c:pt>
                <c:pt idx="1197">
                  <c:v>1.8009728091858668</c:v>
                </c:pt>
                <c:pt idx="1198">
                  <c:v>1.7816495228982234</c:v>
                </c:pt>
                <c:pt idx="1199">
                  <c:v>1.7834037689711044</c:v>
                </c:pt>
                <c:pt idx="1200">
                  <c:v>1.811232490763625</c:v>
                </c:pt>
                <c:pt idx="1201">
                  <c:v>1.8153788905722525</c:v>
                </c:pt>
                <c:pt idx="1202">
                  <c:v>1.816388911038457</c:v>
                </c:pt>
                <c:pt idx="1203">
                  <c:v>1.7862477739680478</c:v>
                </c:pt>
                <c:pt idx="1204">
                  <c:v>1.7859553996225677</c:v>
                </c:pt>
                <c:pt idx="1205">
                  <c:v>1.7693166414161514</c:v>
                </c:pt>
                <c:pt idx="1206">
                  <c:v>1.754458708768569</c:v>
                </c:pt>
                <c:pt idx="1207">
                  <c:v>1.7612364776865179</c:v>
                </c:pt>
                <c:pt idx="1208">
                  <c:v>1.7343911968742489</c:v>
                </c:pt>
                <c:pt idx="1209">
                  <c:v>1.7516678627435307</c:v>
                </c:pt>
                <c:pt idx="1210">
                  <c:v>1.77744996411769</c:v>
                </c:pt>
                <c:pt idx="1211">
                  <c:v>1.7941684607819643</c:v>
                </c:pt>
                <c:pt idx="1212">
                  <c:v>1.8065545012359419</c:v>
                </c:pt>
                <c:pt idx="1213">
                  <c:v>1.816415490524409</c:v>
                </c:pt>
                <c:pt idx="1214">
                  <c:v>1.8081226909071535</c:v>
                </c:pt>
                <c:pt idx="1215">
                  <c:v>1.8114717061371988</c:v>
                </c:pt>
                <c:pt idx="1216">
                  <c:v>1.817744464822046</c:v>
                </c:pt>
                <c:pt idx="1217">
                  <c:v>1.819073439119683</c:v>
                </c:pt>
                <c:pt idx="1218">
                  <c:v>1.8225287722935395</c:v>
                </c:pt>
                <c:pt idx="1219">
                  <c:v>1.8170533981872745</c:v>
                </c:pt>
                <c:pt idx="1220">
                  <c:v>1.8154852085160627</c:v>
                </c:pt>
                <c:pt idx="1221">
                  <c:v>1.8275257156526548</c:v>
                </c:pt>
                <c:pt idx="1222">
                  <c:v>1.8317784334050933</c:v>
                </c:pt>
                <c:pt idx="1223">
                  <c:v>1.8120830343141119</c:v>
                </c:pt>
                <c:pt idx="1224">
                  <c:v>1.8093453472609795</c:v>
                </c:pt>
                <c:pt idx="1225">
                  <c:v>1.8044015628737695</c:v>
                </c:pt>
                <c:pt idx="1226">
                  <c:v>1.7845466868670716</c:v>
                </c:pt>
                <c:pt idx="1227">
                  <c:v>1.7980224862451115</c:v>
                </c:pt>
                <c:pt idx="1228">
                  <c:v>1.8089732344576408</c:v>
                </c:pt>
                <c:pt idx="1229">
                  <c:v>1.8202429365016033</c:v>
                </c:pt>
                <c:pt idx="1230">
                  <c:v>1.8285623156048116</c:v>
                </c:pt>
                <c:pt idx="1231">
                  <c:v>1.8349945512053751</c:v>
                </c:pt>
                <c:pt idx="1232">
                  <c:v>1.834808494803706</c:v>
                </c:pt>
                <c:pt idx="1233">
                  <c:v>1.8282699412593317</c:v>
                </c:pt>
                <c:pt idx="1234">
                  <c:v>1.8260372644393015</c:v>
                </c:pt>
                <c:pt idx="1235">
                  <c:v>1.8125083060893559</c:v>
                </c:pt>
                <c:pt idx="1236">
                  <c:v>1.8158307418334485</c:v>
                </c:pt>
                <c:pt idx="1237">
                  <c:v>1.8279244079419459</c:v>
                </c:pt>
                <c:pt idx="1238">
                  <c:v>1.8387954176966168</c:v>
                </c:pt>
                <c:pt idx="1239">
                  <c:v>1.8328681923291557</c:v>
                </c:pt>
                <c:pt idx="1240">
                  <c:v>1.8326821359274863</c:v>
                </c:pt>
                <c:pt idx="1241">
                  <c:v>1.8448023815219368</c:v>
                </c:pt>
                <c:pt idx="1242">
                  <c:v>1.8476995454907852</c:v>
                </c:pt>
                <c:pt idx="1243">
                  <c:v>1.8440049969433543</c:v>
                </c:pt>
                <c:pt idx="1244">
                  <c:v>1.8349413922334694</c:v>
                </c:pt>
                <c:pt idx="1245">
                  <c:v>1.8399383355925849</c:v>
                </c:pt>
                <c:pt idx="1246">
                  <c:v>1.8383967254073257</c:v>
                </c:pt>
                <c:pt idx="1247">
                  <c:v>1.8009728091858657</c:v>
                </c:pt>
                <c:pt idx="1248">
                  <c:v>1.8217579672009094</c:v>
                </c:pt>
                <c:pt idx="1249">
                  <c:v>1.8312734231719912</c:v>
                </c:pt>
                <c:pt idx="1250">
                  <c:v>1.8319379103208095</c:v>
                </c:pt>
                <c:pt idx="1251">
                  <c:v>1.8412407304042691</c:v>
                </c:pt>
                <c:pt idx="1252">
                  <c:v>1.848576668527226</c:v>
                </c:pt>
                <c:pt idx="1253">
                  <c:v>1.8483906121255567</c:v>
                </c:pt>
                <c:pt idx="1254">
                  <c:v>1.8447226430640784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6-4E64-9EAC-D6BC5F801578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APPL Cumulative 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Sheet1!$A$2:$A$1256</c:f>
              <c:numCache>
                <c:formatCode>m/d/yyyy\ h:mm:ss</c:formatCode>
                <c:ptCount val="1255"/>
                <c:pt idx="0">
                  <c:v>44228.666666666599</c:v>
                </c:pt>
                <c:pt idx="1">
                  <c:v>44229.666666666599</c:v>
                </c:pt>
                <c:pt idx="2">
                  <c:v>44230.666666666599</c:v>
                </c:pt>
                <c:pt idx="3">
                  <c:v>44231.666666666599</c:v>
                </c:pt>
                <c:pt idx="4">
                  <c:v>44232.666666666599</c:v>
                </c:pt>
                <c:pt idx="5">
                  <c:v>44235.666666666599</c:v>
                </c:pt>
                <c:pt idx="6">
                  <c:v>44236.666666666599</c:v>
                </c:pt>
                <c:pt idx="7">
                  <c:v>44237.666666666599</c:v>
                </c:pt>
                <c:pt idx="8">
                  <c:v>44238.666666666599</c:v>
                </c:pt>
                <c:pt idx="9">
                  <c:v>44239.666666666599</c:v>
                </c:pt>
                <c:pt idx="10">
                  <c:v>44243.666666666599</c:v>
                </c:pt>
                <c:pt idx="11">
                  <c:v>44244.666666666599</c:v>
                </c:pt>
                <c:pt idx="12">
                  <c:v>44245.666666666599</c:v>
                </c:pt>
                <c:pt idx="13">
                  <c:v>44246.666666666599</c:v>
                </c:pt>
                <c:pt idx="14">
                  <c:v>44249.666666666599</c:v>
                </c:pt>
                <c:pt idx="15">
                  <c:v>44250.666666666599</c:v>
                </c:pt>
                <c:pt idx="16">
                  <c:v>44251.666666666599</c:v>
                </c:pt>
                <c:pt idx="17">
                  <c:v>44252.666666666599</c:v>
                </c:pt>
                <c:pt idx="18">
                  <c:v>44253.666666666599</c:v>
                </c:pt>
                <c:pt idx="19">
                  <c:v>44256.666666666599</c:v>
                </c:pt>
                <c:pt idx="20">
                  <c:v>44257.666666666599</c:v>
                </c:pt>
                <c:pt idx="21">
                  <c:v>44258.666666666599</c:v>
                </c:pt>
                <c:pt idx="22">
                  <c:v>44259.666666666599</c:v>
                </c:pt>
                <c:pt idx="23">
                  <c:v>44260.666666666599</c:v>
                </c:pt>
                <c:pt idx="24">
                  <c:v>44263.666666666599</c:v>
                </c:pt>
                <c:pt idx="25">
                  <c:v>44264.666666666599</c:v>
                </c:pt>
                <c:pt idx="26">
                  <c:v>44265.666666666599</c:v>
                </c:pt>
                <c:pt idx="27">
                  <c:v>44266.666666666599</c:v>
                </c:pt>
                <c:pt idx="28">
                  <c:v>44267.666666666599</c:v>
                </c:pt>
                <c:pt idx="29">
                  <c:v>44270.666666666599</c:v>
                </c:pt>
                <c:pt idx="30">
                  <c:v>44271.666666666599</c:v>
                </c:pt>
                <c:pt idx="31">
                  <c:v>44272.666666666599</c:v>
                </c:pt>
                <c:pt idx="32">
                  <c:v>44273.666666666599</c:v>
                </c:pt>
                <c:pt idx="33">
                  <c:v>44274.666666666599</c:v>
                </c:pt>
                <c:pt idx="34">
                  <c:v>44277.666666666599</c:v>
                </c:pt>
                <c:pt idx="35">
                  <c:v>44278.666666666599</c:v>
                </c:pt>
                <c:pt idx="36">
                  <c:v>44279.666666666599</c:v>
                </c:pt>
                <c:pt idx="37">
                  <c:v>44280.666666666599</c:v>
                </c:pt>
                <c:pt idx="38">
                  <c:v>44281.666666666599</c:v>
                </c:pt>
                <c:pt idx="39">
                  <c:v>44284.666666666599</c:v>
                </c:pt>
                <c:pt idx="40">
                  <c:v>44285.666666666599</c:v>
                </c:pt>
                <c:pt idx="41">
                  <c:v>44286.666666666599</c:v>
                </c:pt>
                <c:pt idx="42">
                  <c:v>44287.666666666599</c:v>
                </c:pt>
                <c:pt idx="43">
                  <c:v>44291.666666666599</c:v>
                </c:pt>
                <c:pt idx="44">
                  <c:v>44292.666666666599</c:v>
                </c:pt>
                <c:pt idx="45">
                  <c:v>44293.666666666599</c:v>
                </c:pt>
                <c:pt idx="46">
                  <c:v>44294.666666666599</c:v>
                </c:pt>
                <c:pt idx="47">
                  <c:v>44295.666666666599</c:v>
                </c:pt>
                <c:pt idx="48">
                  <c:v>44298.666666666599</c:v>
                </c:pt>
                <c:pt idx="49">
                  <c:v>44299.666666666599</c:v>
                </c:pt>
                <c:pt idx="50">
                  <c:v>44300.666666666599</c:v>
                </c:pt>
                <c:pt idx="51">
                  <c:v>44301.666666666599</c:v>
                </c:pt>
                <c:pt idx="52">
                  <c:v>44302.666666666599</c:v>
                </c:pt>
                <c:pt idx="53">
                  <c:v>44305.666666666599</c:v>
                </c:pt>
                <c:pt idx="54">
                  <c:v>44306.666666666599</c:v>
                </c:pt>
                <c:pt idx="55">
                  <c:v>44307.666666666599</c:v>
                </c:pt>
                <c:pt idx="56">
                  <c:v>44308.666666666599</c:v>
                </c:pt>
                <c:pt idx="57">
                  <c:v>44309.666666666599</c:v>
                </c:pt>
                <c:pt idx="58">
                  <c:v>44312.666666666599</c:v>
                </c:pt>
                <c:pt idx="59">
                  <c:v>44313.666666666599</c:v>
                </c:pt>
                <c:pt idx="60">
                  <c:v>44314.666666666599</c:v>
                </c:pt>
                <c:pt idx="61">
                  <c:v>44315.666666666599</c:v>
                </c:pt>
                <c:pt idx="62">
                  <c:v>44316.666666666599</c:v>
                </c:pt>
                <c:pt idx="63">
                  <c:v>44319.666666666599</c:v>
                </c:pt>
                <c:pt idx="64">
                  <c:v>44320.666666666599</c:v>
                </c:pt>
                <c:pt idx="65">
                  <c:v>44321.666666666599</c:v>
                </c:pt>
                <c:pt idx="66">
                  <c:v>44322.666666666599</c:v>
                </c:pt>
                <c:pt idx="67">
                  <c:v>44323.666666666599</c:v>
                </c:pt>
                <c:pt idx="68">
                  <c:v>44326.666666666599</c:v>
                </c:pt>
                <c:pt idx="69">
                  <c:v>44327.666666666599</c:v>
                </c:pt>
                <c:pt idx="70">
                  <c:v>44328.666666666599</c:v>
                </c:pt>
                <c:pt idx="71">
                  <c:v>44329.666666666599</c:v>
                </c:pt>
                <c:pt idx="72">
                  <c:v>44330.666666666599</c:v>
                </c:pt>
                <c:pt idx="73">
                  <c:v>44333.666666666599</c:v>
                </c:pt>
                <c:pt idx="74">
                  <c:v>44334.666666666599</c:v>
                </c:pt>
                <c:pt idx="75">
                  <c:v>44335.666666666599</c:v>
                </c:pt>
                <c:pt idx="76">
                  <c:v>44336.666666666599</c:v>
                </c:pt>
                <c:pt idx="77">
                  <c:v>44337.666666666599</c:v>
                </c:pt>
                <c:pt idx="78">
                  <c:v>44340.666666666599</c:v>
                </c:pt>
                <c:pt idx="79">
                  <c:v>44341.666666666599</c:v>
                </c:pt>
                <c:pt idx="80">
                  <c:v>44342.666666666599</c:v>
                </c:pt>
                <c:pt idx="81">
                  <c:v>44343.666666666599</c:v>
                </c:pt>
                <c:pt idx="82">
                  <c:v>44344.666666666599</c:v>
                </c:pt>
                <c:pt idx="83">
                  <c:v>44348.666666666599</c:v>
                </c:pt>
                <c:pt idx="84">
                  <c:v>44349.666666666599</c:v>
                </c:pt>
                <c:pt idx="85">
                  <c:v>44350.666666666599</c:v>
                </c:pt>
                <c:pt idx="86">
                  <c:v>44351.666666666599</c:v>
                </c:pt>
                <c:pt idx="87">
                  <c:v>44354.666666666599</c:v>
                </c:pt>
                <c:pt idx="88">
                  <c:v>44355.666666666599</c:v>
                </c:pt>
                <c:pt idx="89">
                  <c:v>44356.666666666599</c:v>
                </c:pt>
                <c:pt idx="90">
                  <c:v>44357.666666666599</c:v>
                </c:pt>
                <c:pt idx="91">
                  <c:v>44358.666666666599</c:v>
                </c:pt>
                <c:pt idx="92">
                  <c:v>44361.666666666599</c:v>
                </c:pt>
                <c:pt idx="93">
                  <c:v>44362.666666666599</c:v>
                </c:pt>
                <c:pt idx="94">
                  <c:v>44363.666666666599</c:v>
                </c:pt>
                <c:pt idx="95">
                  <c:v>44364.666666666599</c:v>
                </c:pt>
                <c:pt idx="96">
                  <c:v>44365.666666666599</c:v>
                </c:pt>
                <c:pt idx="97">
                  <c:v>44368.666666666599</c:v>
                </c:pt>
                <c:pt idx="98">
                  <c:v>44369.666666666599</c:v>
                </c:pt>
                <c:pt idx="99">
                  <c:v>44370.666666666599</c:v>
                </c:pt>
                <c:pt idx="100">
                  <c:v>44371.666666666599</c:v>
                </c:pt>
                <c:pt idx="101">
                  <c:v>44372.666666666599</c:v>
                </c:pt>
                <c:pt idx="102">
                  <c:v>44375.666666666599</c:v>
                </c:pt>
                <c:pt idx="103">
                  <c:v>44376.666666666599</c:v>
                </c:pt>
                <c:pt idx="104">
                  <c:v>44377.666666666599</c:v>
                </c:pt>
                <c:pt idx="105">
                  <c:v>44378.666666666599</c:v>
                </c:pt>
                <c:pt idx="106">
                  <c:v>44379.666666666599</c:v>
                </c:pt>
                <c:pt idx="107">
                  <c:v>44383.666666666599</c:v>
                </c:pt>
                <c:pt idx="108">
                  <c:v>44384.666666666599</c:v>
                </c:pt>
                <c:pt idx="109">
                  <c:v>44385.666666666599</c:v>
                </c:pt>
                <c:pt idx="110">
                  <c:v>44386.666666666599</c:v>
                </c:pt>
                <c:pt idx="111">
                  <c:v>44389.666666666599</c:v>
                </c:pt>
                <c:pt idx="112">
                  <c:v>44390.666666666599</c:v>
                </c:pt>
                <c:pt idx="113">
                  <c:v>44391.666666666599</c:v>
                </c:pt>
                <c:pt idx="114">
                  <c:v>44392.666666666599</c:v>
                </c:pt>
                <c:pt idx="115">
                  <c:v>44393.666666666599</c:v>
                </c:pt>
                <c:pt idx="116">
                  <c:v>44396.666666666599</c:v>
                </c:pt>
                <c:pt idx="117">
                  <c:v>44397.666666666599</c:v>
                </c:pt>
                <c:pt idx="118">
                  <c:v>44398.666666666599</c:v>
                </c:pt>
                <c:pt idx="119">
                  <c:v>44399.666666666599</c:v>
                </c:pt>
                <c:pt idx="120">
                  <c:v>44400.666666666599</c:v>
                </c:pt>
                <c:pt idx="121">
                  <c:v>44403.666666666599</c:v>
                </c:pt>
                <c:pt idx="122">
                  <c:v>44404.666666666599</c:v>
                </c:pt>
                <c:pt idx="123">
                  <c:v>44405.666666666599</c:v>
                </c:pt>
                <c:pt idx="124">
                  <c:v>44406.666666666599</c:v>
                </c:pt>
                <c:pt idx="125">
                  <c:v>44407.666666666599</c:v>
                </c:pt>
                <c:pt idx="126">
                  <c:v>44410.666666666599</c:v>
                </c:pt>
                <c:pt idx="127">
                  <c:v>44411.666666666599</c:v>
                </c:pt>
                <c:pt idx="128">
                  <c:v>44412.666666666599</c:v>
                </c:pt>
                <c:pt idx="129">
                  <c:v>44413.666666666599</c:v>
                </c:pt>
                <c:pt idx="130">
                  <c:v>44414.666666666599</c:v>
                </c:pt>
                <c:pt idx="131">
                  <c:v>44417.666666666599</c:v>
                </c:pt>
                <c:pt idx="132">
                  <c:v>44418.666666666599</c:v>
                </c:pt>
                <c:pt idx="133">
                  <c:v>44419.666666666599</c:v>
                </c:pt>
                <c:pt idx="134">
                  <c:v>44420.666666666599</c:v>
                </c:pt>
                <c:pt idx="135">
                  <c:v>44421.666666666599</c:v>
                </c:pt>
                <c:pt idx="136">
                  <c:v>44424.666666666599</c:v>
                </c:pt>
                <c:pt idx="137">
                  <c:v>44425.666666666599</c:v>
                </c:pt>
                <c:pt idx="138">
                  <c:v>44426.666666666599</c:v>
                </c:pt>
                <c:pt idx="139">
                  <c:v>44427.666666666599</c:v>
                </c:pt>
                <c:pt idx="140">
                  <c:v>44428.666666666599</c:v>
                </c:pt>
                <c:pt idx="141">
                  <c:v>44431.666666666599</c:v>
                </c:pt>
                <c:pt idx="142">
                  <c:v>44432.666666666599</c:v>
                </c:pt>
                <c:pt idx="143">
                  <c:v>44433.666666666599</c:v>
                </c:pt>
                <c:pt idx="144">
                  <c:v>44434.666666666599</c:v>
                </c:pt>
                <c:pt idx="145">
                  <c:v>44435.666666666599</c:v>
                </c:pt>
                <c:pt idx="146">
                  <c:v>44438.666666666599</c:v>
                </c:pt>
                <c:pt idx="147">
                  <c:v>44439.666666666599</c:v>
                </c:pt>
                <c:pt idx="148">
                  <c:v>44440.666666666599</c:v>
                </c:pt>
                <c:pt idx="149">
                  <c:v>44441.666666666599</c:v>
                </c:pt>
                <c:pt idx="150">
                  <c:v>44442.666666666599</c:v>
                </c:pt>
                <c:pt idx="151">
                  <c:v>44446.666666666599</c:v>
                </c:pt>
                <c:pt idx="152">
                  <c:v>44447.666666666599</c:v>
                </c:pt>
                <c:pt idx="153">
                  <c:v>44448.666666666599</c:v>
                </c:pt>
                <c:pt idx="154">
                  <c:v>44449.666666666599</c:v>
                </c:pt>
                <c:pt idx="155">
                  <c:v>44452.666666666599</c:v>
                </c:pt>
                <c:pt idx="156">
                  <c:v>44453.666666666599</c:v>
                </c:pt>
                <c:pt idx="157">
                  <c:v>44454.666666666599</c:v>
                </c:pt>
                <c:pt idx="158">
                  <c:v>44455.666666666599</c:v>
                </c:pt>
                <c:pt idx="159">
                  <c:v>44456.666666666599</c:v>
                </c:pt>
                <c:pt idx="160">
                  <c:v>44459.666666666599</c:v>
                </c:pt>
                <c:pt idx="161">
                  <c:v>44460.666666666599</c:v>
                </c:pt>
                <c:pt idx="162">
                  <c:v>44461.666666666599</c:v>
                </c:pt>
                <c:pt idx="163">
                  <c:v>44462.666666666599</c:v>
                </c:pt>
                <c:pt idx="164">
                  <c:v>44463.666666666599</c:v>
                </c:pt>
                <c:pt idx="165">
                  <c:v>44466.666666666599</c:v>
                </c:pt>
                <c:pt idx="166">
                  <c:v>44467.666666666599</c:v>
                </c:pt>
                <c:pt idx="167">
                  <c:v>44468.666666666599</c:v>
                </c:pt>
                <c:pt idx="168">
                  <c:v>44469.666666666599</c:v>
                </c:pt>
                <c:pt idx="169">
                  <c:v>44470.666666666599</c:v>
                </c:pt>
                <c:pt idx="170">
                  <c:v>44473.666666666599</c:v>
                </c:pt>
                <c:pt idx="171">
                  <c:v>44474.666666666599</c:v>
                </c:pt>
                <c:pt idx="172">
                  <c:v>44475.666666666599</c:v>
                </c:pt>
                <c:pt idx="173">
                  <c:v>44476.666666666599</c:v>
                </c:pt>
                <c:pt idx="174">
                  <c:v>44477.666666666599</c:v>
                </c:pt>
                <c:pt idx="175">
                  <c:v>44480.666666666599</c:v>
                </c:pt>
                <c:pt idx="176">
                  <c:v>44481.666666666599</c:v>
                </c:pt>
                <c:pt idx="177">
                  <c:v>44482.666666666599</c:v>
                </c:pt>
                <c:pt idx="178">
                  <c:v>44483.666666666599</c:v>
                </c:pt>
                <c:pt idx="179">
                  <c:v>44484.666666666599</c:v>
                </c:pt>
                <c:pt idx="180">
                  <c:v>44487.666666666599</c:v>
                </c:pt>
                <c:pt idx="181">
                  <c:v>44488.666666666599</c:v>
                </c:pt>
                <c:pt idx="182">
                  <c:v>44489.666666666599</c:v>
                </c:pt>
                <c:pt idx="183">
                  <c:v>44490.666666666599</c:v>
                </c:pt>
                <c:pt idx="184">
                  <c:v>44491.666666666599</c:v>
                </c:pt>
                <c:pt idx="185">
                  <c:v>44494.666666666599</c:v>
                </c:pt>
                <c:pt idx="186">
                  <c:v>44495.666666666599</c:v>
                </c:pt>
                <c:pt idx="187">
                  <c:v>44496.666666666599</c:v>
                </c:pt>
                <c:pt idx="188">
                  <c:v>44497.666666666599</c:v>
                </c:pt>
                <c:pt idx="189">
                  <c:v>44498.666666666599</c:v>
                </c:pt>
                <c:pt idx="190">
                  <c:v>44501.666666666599</c:v>
                </c:pt>
                <c:pt idx="191">
                  <c:v>44502.666666666599</c:v>
                </c:pt>
                <c:pt idx="192">
                  <c:v>44503.666666666599</c:v>
                </c:pt>
                <c:pt idx="193">
                  <c:v>44504.666666666599</c:v>
                </c:pt>
                <c:pt idx="194">
                  <c:v>44505.666666666599</c:v>
                </c:pt>
                <c:pt idx="195">
                  <c:v>44508.666666666599</c:v>
                </c:pt>
                <c:pt idx="196">
                  <c:v>44509.666666666599</c:v>
                </c:pt>
                <c:pt idx="197">
                  <c:v>44510.666666666599</c:v>
                </c:pt>
                <c:pt idx="198">
                  <c:v>44511.666666666599</c:v>
                </c:pt>
                <c:pt idx="199">
                  <c:v>44512.666666666599</c:v>
                </c:pt>
                <c:pt idx="200">
                  <c:v>44515.666666666599</c:v>
                </c:pt>
                <c:pt idx="201">
                  <c:v>44516.666666666599</c:v>
                </c:pt>
                <c:pt idx="202">
                  <c:v>44517.666666666599</c:v>
                </c:pt>
                <c:pt idx="203">
                  <c:v>44518.666666666599</c:v>
                </c:pt>
                <c:pt idx="204">
                  <c:v>44519.666666666599</c:v>
                </c:pt>
                <c:pt idx="205">
                  <c:v>44522.666666666599</c:v>
                </c:pt>
                <c:pt idx="206">
                  <c:v>44523.666666666599</c:v>
                </c:pt>
                <c:pt idx="207">
                  <c:v>44524.666666666599</c:v>
                </c:pt>
                <c:pt idx="208">
                  <c:v>44526.552083333299</c:v>
                </c:pt>
                <c:pt idx="209">
                  <c:v>44529.666666666599</c:v>
                </c:pt>
                <c:pt idx="210">
                  <c:v>44530.666666666599</c:v>
                </c:pt>
                <c:pt idx="211">
                  <c:v>44531.666666666599</c:v>
                </c:pt>
                <c:pt idx="212">
                  <c:v>44532.666666666599</c:v>
                </c:pt>
                <c:pt idx="213">
                  <c:v>44533.666666666599</c:v>
                </c:pt>
                <c:pt idx="214">
                  <c:v>44536.666666666599</c:v>
                </c:pt>
                <c:pt idx="215">
                  <c:v>44537.666666666599</c:v>
                </c:pt>
                <c:pt idx="216">
                  <c:v>44538.666666666599</c:v>
                </c:pt>
                <c:pt idx="217">
                  <c:v>44539.666666666599</c:v>
                </c:pt>
                <c:pt idx="218">
                  <c:v>44540.666666666599</c:v>
                </c:pt>
                <c:pt idx="219">
                  <c:v>44543.666666666599</c:v>
                </c:pt>
                <c:pt idx="220">
                  <c:v>44544.666666666599</c:v>
                </c:pt>
                <c:pt idx="221">
                  <c:v>44545.666666666599</c:v>
                </c:pt>
                <c:pt idx="222">
                  <c:v>44546.666666666599</c:v>
                </c:pt>
                <c:pt idx="223">
                  <c:v>44547.666666666599</c:v>
                </c:pt>
                <c:pt idx="224">
                  <c:v>44550.666666666599</c:v>
                </c:pt>
                <c:pt idx="225">
                  <c:v>44551.666666666599</c:v>
                </c:pt>
                <c:pt idx="226">
                  <c:v>44552.666666666599</c:v>
                </c:pt>
                <c:pt idx="227">
                  <c:v>44553.666666666599</c:v>
                </c:pt>
                <c:pt idx="228">
                  <c:v>44557.666666666599</c:v>
                </c:pt>
                <c:pt idx="229">
                  <c:v>44558.666666666599</c:v>
                </c:pt>
                <c:pt idx="230">
                  <c:v>44559.666666666599</c:v>
                </c:pt>
                <c:pt idx="231">
                  <c:v>44560.666666666599</c:v>
                </c:pt>
                <c:pt idx="232">
                  <c:v>44561.666666666599</c:v>
                </c:pt>
                <c:pt idx="233">
                  <c:v>44564.666666666599</c:v>
                </c:pt>
                <c:pt idx="234">
                  <c:v>44565.666666666599</c:v>
                </c:pt>
                <c:pt idx="235">
                  <c:v>44566.666666666599</c:v>
                </c:pt>
                <c:pt idx="236">
                  <c:v>44567.666666666599</c:v>
                </c:pt>
                <c:pt idx="237">
                  <c:v>44568.666666666599</c:v>
                </c:pt>
                <c:pt idx="238">
                  <c:v>44571.666666666599</c:v>
                </c:pt>
                <c:pt idx="239">
                  <c:v>44572.666666666599</c:v>
                </c:pt>
                <c:pt idx="240">
                  <c:v>44573.666666666599</c:v>
                </c:pt>
                <c:pt idx="241">
                  <c:v>44574.666666666599</c:v>
                </c:pt>
                <c:pt idx="242">
                  <c:v>44575.666666666599</c:v>
                </c:pt>
                <c:pt idx="243">
                  <c:v>44579.666666666599</c:v>
                </c:pt>
                <c:pt idx="244">
                  <c:v>44580.666666666599</c:v>
                </c:pt>
                <c:pt idx="245">
                  <c:v>44581.666666666599</c:v>
                </c:pt>
                <c:pt idx="246">
                  <c:v>44582.666666666599</c:v>
                </c:pt>
                <c:pt idx="247">
                  <c:v>44585.666666666599</c:v>
                </c:pt>
                <c:pt idx="248">
                  <c:v>44586.666666666599</c:v>
                </c:pt>
                <c:pt idx="249">
                  <c:v>44587.666666666599</c:v>
                </c:pt>
                <c:pt idx="250">
                  <c:v>44588.666666666599</c:v>
                </c:pt>
                <c:pt idx="251">
                  <c:v>44589.666666666599</c:v>
                </c:pt>
                <c:pt idx="252">
                  <c:v>44592.666666666599</c:v>
                </c:pt>
                <c:pt idx="253">
                  <c:v>44593.666666666599</c:v>
                </c:pt>
                <c:pt idx="254">
                  <c:v>44594.666666666599</c:v>
                </c:pt>
                <c:pt idx="255">
                  <c:v>44595.666666666599</c:v>
                </c:pt>
                <c:pt idx="256">
                  <c:v>44596.666666666599</c:v>
                </c:pt>
                <c:pt idx="257">
                  <c:v>44599.666666666599</c:v>
                </c:pt>
                <c:pt idx="258">
                  <c:v>44600.666666666599</c:v>
                </c:pt>
                <c:pt idx="259">
                  <c:v>44601.666666666599</c:v>
                </c:pt>
                <c:pt idx="260">
                  <c:v>44602.666666666599</c:v>
                </c:pt>
                <c:pt idx="261">
                  <c:v>44603.666666666599</c:v>
                </c:pt>
                <c:pt idx="262">
                  <c:v>44606.666666666599</c:v>
                </c:pt>
                <c:pt idx="263">
                  <c:v>44607.666666666599</c:v>
                </c:pt>
                <c:pt idx="264">
                  <c:v>44608.666666666599</c:v>
                </c:pt>
                <c:pt idx="265">
                  <c:v>44609.666666666599</c:v>
                </c:pt>
                <c:pt idx="266">
                  <c:v>44610.666666666599</c:v>
                </c:pt>
                <c:pt idx="267">
                  <c:v>44614.666666666599</c:v>
                </c:pt>
                <c:pt idx="268">
                  <c:v>44615.666666666599</c:v>
                </c:pt>
                <c:pt idx="269">
                  <c:v>44616.666666666599</c:v>
                </c:pt>
                <c:pt idx="270">
                  <c:v>44617.666666666599</c:v>
                </c:pt>
                <c:pt idx="271">
                  <c:v>44620.666666666599</c:v>
                </c:pt>
                <c:pt idx="272">
                  <c:v>44621.666666666599</c:v>
                </c:pt>
                <c:pt idx="273">
                  <c:v>44622.666666666599</c:v>
                </c:pt>
                <c:pt idx="274">
                  <c:v>44623.666666666599</c:v>
                </c:pt>
                <c:pt idx="275">
                  <c:v>44624.666666666599</c:v>
                </c:pt>
                <c:pt idx="276">
                  <c:v>44627.666666666599</c:v>
                </c:pt>
                <c:pt idx="277">
                  <c:v>44628.666666666599</c:v>
                </c:pt>
                <c:pt idx="278">
                  <c:v>44629.666666666599</c:v>
                </c:pt>
                <c:pt idx="279">
                  <c:v>44630.666666666599</c:v>
                </c:pt>
                <c:pt idx="280">
                  <c:v>44631.666666666599</c:v>
                </c:pt>
                <c:pt idx="281">
                  <c:v>44634.666666666599</c:v>
                </c:pt>
                <c:pt idx="282">
                  <c:v>44635.666666666599</c:v>
                </c:pt>
                <c:pt idx="283">
                  <c:v>44636.666666666599</c:v>
                </c:pt>
                <c:pt idx="284">
                  <c:v>44637.666666666599</c:v>
                </c:pt>
                <c:pt idx="285">
                  <c:v>44638.666666666599</c:v>
                </c:pt>
                <c:pt idx="286">
                  <c:v>44641.666666666599</c:v>
                </c:pt>
                <c:pt idx="287">
                  <c:v>44642.666666666599</c:v>
                </c:pt>
                <c:pt idx="288">
                  <c:v>44643.666666666599</c:v>
                </c:pt>
                <c:pt idx="289">
                  <c:v>44644.666666666599</c:v>
                </c:pt>
                <c:pt idx="290">
                  <c:v>44645.666666666599</c:v>
                </c:pt>
                <c:pt idx="291">
                  <c:v>44648.666666666599</c:v>
                </c:pt>
                <c:pt idx="292">
                  <c:v>44649.666666666599</c:v>
                </c:pt>
                <c:pt idx="293">
                  <c:v>44650.666666666599</c:v>
                </c:pt>
                <c:pt idx="294">
                  <c:v>44651.666666666599</c:v>
                </c:pt>
                <c:pt idx="295">
                  <c:v>44652.666666666599</c:v>
                </c:pt>
                <c:pt idx="296">
                  <c:v>44655.666666666599</c:v>
                </c:pt>
                <c:pt idx="297">
                  <c:v>44656.666666666599</c:v>
                </c:pt>
                <c:pt idx="298">
                  <c:v>44657.666666666599</c:v>
                </c:pt>
                <c:pt idx="299">
                  <c:v>44658.666666666599</c:v>
                </c:pt>
                <c:pt idx="300">
                  <c:v>44659.666666666599</c:v>
                </c:pt>
                <c:pt idx="301">
                  <c:v>44662.666666666599</c:v>
                </c:pt>
                <c:pt idx="302">
                  <c:v>44663.666666666599</c:v>
                </c:pt>
                <c:pt idx="303">
                  <c:v>44664.666666666599</c:v>
                </c:pt>
                <c:pt idx="304">
                  <c:v>44665.666666666599</c:v>
                </c:pt>
                <c:pt idx="305">
                  <c:v>44669.666666666599</c:v>
                </c:pt>
                <c:pt idx="306">
                  <c:v>44670.666666666599</c:v>
                </c:pt>
                <c:pt idx="307">
                  <c:v>44671.666666666599</c:v>
                </c:pt>
                <c:pt idx="308">
                  <c:v>44672.666666666599</c:v>
                </c:pt>
                <c:pt idx="309">
                  <c:v>44673.666666666599</c:v>
                </c:pt>
                <c:pt idx="310">
                  <c:v>44676.666666666599</c:v>
                </c:pt>
                <c:pt idx="311">
                  <c:v>44677.666666666599</c:v>
                </c:pt>
                <c:pt idx="312">
                  <c:v>44678.666666666599</c:v>
                </c:pt>
                <c:pt idx="313">
                  <c:v>44679.666666666599</c:v>
                </c:pt>
                <c:pt idx="314">
                  <c:v>44680.666666666599</c:v>
                </c:pt>
                <c:pt idx="315">
                  <c:v>44683.666666666599</c:v>
                </c:pt>
                <c:pt idx="316">
                  <c:v>44684.666666666599</c:v>
                </c:pt>
                <c:pt idx="317">
                  <c:v>44685.666666666599</c:v>
                </c:pt>
                <c:pt idx="318">
                  <c:v>44686.666666666599</c:v>
                </c:pt>
                <c:pt idx="319">
                  <c:v>44687.666666666599</c:v>
                </c:pt>
                <c:pt idx="320">
                  <c:v>44690.666666666599</c:v>
                </c:pt>
                <c:pt idx="321">
                  <c:v>44691.666666666599</c:v>
                </c:pt>
                <c:pt idx="322">
                  <c:v>44692.666666666599</c:v>
                </c:pt>
                <c:pt idx="323">
                  <c:v>44693.666666666599</c:v>
                </c:pt>
                <c:pt idx="324">
                  <c:v>44694.666666666599</c:v>
                </c:pt>
                <c:pt idx="325">
                  <c:v>44697.666666666599</c:v>
                </c:pt>
                <c:pt idx="326">
                  <c:v>44698.666666666599</c:v>
                </c:pt>
                <c:pt idx="327">
                  <c:v>44699.666666666599</c:v>
                </c:pt>
                <c:pt idx="328">
                  <c:v>44700.666666666599</c:v>
                </c:pt>
                <c:pt idx="329">
                  <c:v>44701.666666666599</c:v>
                </c:pt>
                <c:pt idx="330">
                  <c:v>44704.666666666599</c:v>
                </c:pt>
                <c:pt idx="331">
                  <c:v>44705.666666666599</c:v>
                </c:pt>
                <c:pt idx="332">
                  <c:v>44706.666666666599</c:v>
                </c:pt>
                <c:pt idx="333">
                  <c:v>44707.666666666599</c:v>
                </c:pt>
                <c:pt idx="334">
                  <c:v>44708.666666666599</c:v>
                </c:pt>
                <c:pt idx="335">
                  <c:v>44712.666666666599</c:v>
                </c:pt>
                <c:pt idx="336">
                  <c:v>44713.666666666599</c:v>
                </c:pt>
                <c:pt idx="337">
                  <c:v>44714.666666666599</c:v>
                </c:pt>
                <c:pt idx="338">
                  <c:v>44715.666666666599</c:v>
                </c:pt>
                <c:pt idx="339">
                  <c:v>44718.666666666599</c:v>
                </c:pt>
                <c:pt idx="340">
                  <c:v>44719.666666666599</c:v>
                </c:pt>
                <c:pt idx="341">
                  <c:v>44720.666666666599</c:v>
                </c:pt>
                <c:pt idx="342">
                  <c:v>44721.666666666599</c:v>
                </c:pt>
                <c:pt idx="343">
                  <c:v>44722.666666666599</c:v>
                </c:pt>
                <c:pt idx="344">
                  <c:v>44725.666666666599</c:v>
                </c:pt>
                <c:pt idx="345">
                  <c:v>44726.666666666599</c:v>
                </c:pt>
                <c:pt idx="346">
                  <c:v>44727.666666666599</c:v>
                </c:pt>
                <c:pt idx="347">
                  <c:v>44728.666666666599</c:v>
                </c:pt>
                <c:pt idx="348">
                  <c:v>44729.666666666599</c:v>
                </c:pt>
                <c:pt idx="349">
                  <c:v>44733.666666666599</c:v>
                </c:pt>
                <c:pt idx="350">
                  <c:v>44734.666666666599</c:v>
                </c:pt>
                <c:pt idx="351">
                  <c:v>44735.666666666599</c:v>
                </c:pt>
                <c:pt idx="352">
                  <c:v>44736.666666666599</c:v>
                </c:pt>
                <c:pt idx="353">
                  <c:v>44739.666666666599</c:v>
                </c:pt>
                <c:pt idx="354">
                  <c:v>44740.666666666599</c:v>
                </c:pt>
                <c:pt idx="355">
                  <c:v>44741.666666666599</c:v>
                </c:pt>
                <c:pt idx="356">
                  <c:v>44742.666666666599</c:v>
                </c:pt>
                <c:pt idx="357">
                  <c:v>44743.666666666599</c:v>
                </c:pt>
                <c:pt idx="358">
                  <c:v>44747.666666666599</c:v>
                </c:pt>
                <c:pt idx="359">
                  <c:v>44748.666666666599</c:v>
                </c:pt>
                <c:pt idx="360">
                  <c:v>44749.666666666599</c:v>
                </c:pt>
                <c:pt idx="361">
                  <c:v>44750.666666666599</c:v>
                </c:pt>
                <c:pt idx="362">
                  <c:v>44753.666666666599</c:v>
                </c:pt>
                <c:pt idx="363">
                  <c:v>44754.666666666599</c:v>
                </c:pt>
                <c:pt idx="364">
                  <c:v>44755.666666666599</c:v>
                </c:pt>
                <c:pt idx="365">
                  <c:v>44756.666666666599</c:v>
                </c:pt>
                <c:pt idx="366">
                  <c:v>44757.666666666599</c:v>
                </c:pt>
                <c:pt idx="367">
                  <c:v>44760.666666666599</c:v>
                </c:pt>
                <c:pt idx="368">
                  <c:v>44761.666666666599</c:v>
                </c:pt>
                <c:pt idx="369">
                  <c:v>44762.666666666599</c:v>
                </c:pt>
                <c:pt idx="370">
                  <c:v>44763.666666666599</c:v>
                </c:pt>
                <c:pt idx="371">
                  <c:v>44764.666666666599</c:v>
                </c:pt>
                <c:pt idx="372">
                  <c:v>44767.666666666599</c:v>
                </c:pt>
                <c:pt idx="373">
                  <c:v>44768.666666666599</c:v>
                </c:pt>
                <c:pt idx="374">
                  <c:v>44769.666666666599</c:v>
                </c:pt>
                <c:pt idx="375">
                  <c:v>44770.666666666599</c:v>
                </c:pt>
                <c:pt idx="376">
                  <c:v>44771.666666666599</c:v>
                </c:pt>
                <c:pt idx="377">
                  <c:v>44774.666666666599</c:v>
                </c:pt>
                <c:pt idx="378">
                  <c:v>44775.666666666599</c:v>
                </c:pt>
                <c:pt idx="379">
                  <c:v>44776.666666666599</c:v>
                </c:pt>
                <c:pt idx="380">
                  <c:v>44777.666666666599</c:v>
                </c:pt>
                <c:pt idx="381">
                  <c:v>44778.666666666599</c:v>
                </c:pt>
                <c:pt idx="382">
                  <c:v>44781.666666666599</c:v>
                </c:pt>
                <c:pt idx="383">
                  <c:v>44782.666666666599</c:v>
                </c:pt>
                <c:pt idx="384">
                  <c:v>44783.666666666599</c:v>
                </c:pt>
                <c:pt idx="385">
                  <c:v>44784.666666666599</c:v>
                </c:pt>
                <c:pt idx="386">
                  <c:v>44785.666666666599</c:v>
                </c:pt>
                <c:pt idx="387">
                  <c:v>44788.666666666599</c:v>
                </c:pt>
                <c:pt idx="388">
                  <c:v>44789.666666666599</c:v>
                </c:pt>
                <c:pt idx="389">
                  <c:v>44790.666666666599</c:v>
                </c:pt>
                <c:pt idx="390">
                  <c:v>44791.666666666599</c:v>
                </c:pt>
                <c:pt idx="391">
                  <c:v>44792.666666666599</c:v>
                </c:pt>
                <c:pt idx="392">
                  <c:v>44795.666666666599</c:v>
                </c:pt>
                <c:pt idx="393">
                  <c:v>44796.666666666599</c:v>
                </c:pt>
                <c:pt idx="394">
                  <c:v>44797.666666666599</c:v>
                </c:pt>
                <c:pt idx="395">
                  <c:v>44798.666666666599</c:v>
                </c:pt>
                <c:pt idx="396">
                  <c:v>44799.666666666599</c:v>
                </c:pt>
                <c:pt idx="397">
                  <c:v>44802.666666666599</c:v>
                </c:pt>
                <c:pt idx="398">
                  <c:v>44803.666666666599</c:v>
                </c:pt>
                <c:pt idx="399">
                  <c:v>44804.666666666599</c:v>
                </c:pt>
                <c:pt idx="400">
                  <c:v>44805.666666666599</c:v>
                </c:pt>
                <c:pt idx="401">
                  <c:v>44806.666666666599</c:v>
                </c:pt>
                <c:pt idx="402">
                  <c:v>44810.666666666599</c:v>
                </c:pt>
                <c:pt idx="403">
                  <c:v>44811.666666666599</c:v>
                </c:pt>
                <c:pt idx="404">
                  <c:v>44812.666666666599</c:v>
                </c:pt>
                <c:pt idx="405">
                  <c:v>44813.666666666599</c:v>
                </c:pt>
                <c:pt idx="406">
                  <c:v>44816.666666666599</c:v>
                </c:pt>
                <c:pt idx="407">
                  <c:v>44817.666666666599</c:v>
                </c:pt>
                <c:pt idx="408">
                  <c:v>44818.666666666599</c:v>
                </c:pt>
                <c:pt idx="409">
                  <c:v>44819.666666666599</c:v>
                </c:pt>
                <c:pt idx="410">
                  <c:v>44820.666666666599</c:v>
                </c:pt>
                <c:pt idx="411">
                  <c:v>44823.666666666599</c:v>
                </c:pt>
                <c:pt idx="412">
                  <c:v>44824.666666666599</c:v>
                </c:pt>
                <c:pt idx="413">
                  <c:v>44825.666666666599</c:v>
                </c:pt>
                <c:pt idx="414">
                  <c:v>44826.666666666599</c:v>
                </c:pt>
                <c:pt idx="415">
                  <c:v>44827.666666666599</c:v>
                </c:pt>
                <c:pt idx="416">
                  <c:v>44830.666666666599</c:v>
                </c:pt>
                <c:pt idx="417">
                  <c:v>44831.666666666599</c:v>
                </c:pt>
                <c:pt idx="418">
                  <c:v>44832.666666666599</c:v>
                </c:pt>
                <c:pt idx="419">
                  <c:v>44833.666666666599</c:v>
                </c:pt>
                <c:pt idx="420">
                  <c:v>44834.666666666599</c:v>
                </c:pt>
                <c:pt idx="421">
                  <c:v>44837.666666666599</c:v>
                </c:pt>
                <c:pt idx="422">
                  <c:v>44838.666666666599</c:v>
                </c:pt>
                <c:pt idx="423">
                  <c:v>44839.666666666599</c:v>
                </c:pt>
                <c:pt idx="424">
                  <c:v>44840.666666666599</c:v>
                </c:pt>
                <c:pt idx="425">
                  <c:v>44841.666666666599</c:v>
                </c:pt>
                <c:pt idx="426">
                  <c:v>44844.666666666599</c:v>
                </c:pt>
                <c:pt idx="427">
                  <c:v>44845.666666666599</c:v>
                </c:pt>
                <c:pt idx="428">
                  <c:v>44846.666666666599</c:v>
                </c:pt>
                <c:pt idx="429">
                  <c:v>44847.666666666599</c:v>
                </c:pt>
                <c:pt idx="430">
                  <c:v>44848.666666666599</c:v>
                </c:pt>
                <c:pt idx="431">
                  <c:v>44851.666666666599</c:v>
                </c:pt>
                <c:pt idx="432">
                  <c:v>44852.666666666599</c:v>
                </c:pt>
                <c:pt idx="433">
                  <c:v>44853.666666666599</c:v>
                </c:pt>
                <c:pt idx="434">
                  <c:v>44854.666666666599</c:v>
                </c:pt>
                <c:pt idx="435">
                  <c:v>44855.666666666599</c:v>
                </c:pt>
                <c:pt idx="436">
                  <c:v>44858.666666666599</c:v>
                </c:pt>
                <c:pt idx="437">
                  <c:v>44859.666666666599</c:v>
                </c:pt>
                <c:pt idx="438">
                  <c:v>44860.666666666599</c:v>
                </c:pt>
                <c:pt idx="439">
                  <c:v>44861.666666666599</c:v>
                </c:pt>
                <c:pt idx="440">
                  <c:v>44862.666666666599</c:v>
                </c:pt>
                <c:pt idx="441">
                  <c:v>44865.666666666599</c:v>
                </c:pt>
                <c:pt idx="442">
                  <c:v>44866.666666666599</c:v>
                </c:pt>
                <c:pt idx="443">
                  <c:v>44867.666666666599</c:v>
                </c:pt>
                <c:pt idx="444">
                  <c:v>44868.666666666599</c:v>
                </c:pt>
                <c:pt idx="445">
                  <c:v>44869.666666666599</c:v>
                </c:pt>
                <c:pt idx="446">
                  <c:v>44872.666666666599</c:v>
                </c:pt>
                <c:pt idx="447">
                  <c:v>44873.666666666599</c:v>
                </c:pt>
                <c:pt idx="448">
                  <c:v>44874.666666666599</c:v>
                </c:pt>
                <c:pt idx="449">
                  <c:v>44875.666666666599</c:v>
                </c:pt>
                <c:pt idx="450">
                  <c:v>44876.666666666599</c:v>
                </c:pt>
                <c:pt idx="451">
                  <c:v>44879.666666666599</c:v>
                </c:pt>
                <c:pt idx="452">
                  <c:v>44880.666666666599</c:v>
                </c:pt>
                <c:pt idx="453">
                  <c:v>44881.666666666599</c:v>
                </c:pt>
                <c:pt idx="454">
                  <c:v>44882.666666666599</c:v>
                </c:pt>
                <c:pt idx="455">
                  <c:v>44883.666666666599</c:v>
                </c:pt>
                <c:pt idx="456">
                  <c:v>44886.666666666599</c:v>
                </c:pt>
                <c:pt idx="457">
                  <c:v>44887.666666666599</c:v>
                </c:pt>
                <c:pt idx="458">
                  <c:v>44888.666666666599</c:v>
                </c:pt>
                <c:pt idx="459">
                  <c:v>44890.552083333299</c:v>
                </c:pt>
                <c:pt idx="460">
                  <c:v>44893.666666666599</c:v>
                </c:pt>
                <c:pt idx="461">
                  <c:v>44894.666666666599</c:v>
                </c:pt>
                <c:pt idx="462">
                  <c:v>44895.666666666599</c:v>
                </c:pt>
                <c:pt idx="463">
                  <c:v>44896.666666666599</c:v>
                </c:pt>
                <c:pt idx="464">
                  <c:v>44897.666666666599</c:v>
                </c:pt>
                <c:pt idx="465">
                  <c:v>44900.666666666599</c:v>
                </c:pt>
                <c:pt idx="466">
                  <c:v>44901.666666666599</c:v>
                </c:pt>
                <c:pt idx="467">
                  <c:v>44902.666666666599</c:v>
                </c:pt>
                <c:pt idx="468">
                  <c:v>44903.666666666599</c:v>
                </c:pt>
                <c:pt idx="469">
                  <c:v>44904.666666666599</c:v>
                </c:pt>
                <c:pt idx="470">
                  <c:v>44907.666666666599</c:v>
                </c:pt>
                <c:pt idx="471">
                  <c:v>44908.666666666599</c:v>
                </c:pt>
                <c:pt idx="472">
                  <c:v>44909.666666666599</c:v>
                </c:pt>
                <c:pt idx="473">
                  <c:v>44910.666666666599</c:v>
                </c:pt>
                <c:pt idx="474">
                  <c:v>44911.666666666599</c:v>
                </c:pt>
                <c:pt idx="475">
                  <c:v>44914.666666666599</c:v>
                </c:pt>
                <c:pt idx="476">
                  <c:v>44915.666666666599</c:v>
                </c:pt>
                <c:pt idx="477">
                  <c:v>44916.666666666599</c:v>
                </c:pt>
                <c:pt idx="478">
                  <c:v>44917.666666666599</c:v>
                </c:pt>
                <c:pt idx="479">
                  <c:v>44918.666666666599</c:v>
                </c:pt>
                <c:pt idx="480">
                  <c:v>44922.666666666599</c:v>
                </c:pt>
                <c:pt idx="481">
                  <c:v>44923.666666666599</c:v>
                </c:pt>
                <c:pt idx="482">
                  <c:v>44924.666666666599</c:v>
                </c:pt>
                <c:pt idx="483">
                  <c:v>44925.666666666599</c:v>
                </c:pt>
                <c:pt idx="484">
                  <c:v>44929.666666666599</c:v>
                </c:pt>
                <c:pt idx="485">
                  <c:v>44930.666666666599</c:v>
                </c:pt>
                <c:pt idx="486">
                  <c:v>44931.666666666599</c:v>
                </c:pt>
                <c:pt idx="487">
                  <c:v>44932.666666666599</c:v>
                </c:pt>
                <c:pt idx="488">
                  <c:v>44935.666666666599</c:v>
                </c:pt>
                <c:pt idx="489">
                  <c:v>44936.666666666599</c:v>
                </c:pt>
                <c:pt idx="490">
                  <c:v>44937.666666666599</c:v>
                </c:pt>
                <c:pt idx="491">
                  <c:v>44938.666666666599</c:v>
                </c:pt>
                <c:pt idx="492">
                  <c:v>44939.666666666599</c:v>
                </c:pt>
                <c:pt idx="493">
                  <c:v>44943.666666666599</c:v>
                </c:pt>
                <c:pt idx="494">
                  <c:v>44944.666666666599</c:v>
                </c:pt>
                <c:pt idx="495">
                  <c:v>44945.666666666599</c:v>
                </c:pt>
                <c:pt idx="496">
                  <c:v>44946.666666666599</c:v>
                </c:pt>
                <c:pt idx="497">
                  <c:v>44949.666666666599</c:v>
                </c:pt>
                <c:pt idx="498">
                  <c:v>44950.666666666599</c:v>
                </c:pt>
                <c:pt idx="499">
                  <c:v>44951.666666666599</c:v>
                </c:pt>
                <c:pt idx="500">
                  <c:v>44952.666666666599</c:v>
                </c:pt>
                <c:pt idx="501">
                  <c:v>44953.666666666599</c:v>
                </c:pt>
                <c:pt idx="502">
                  <c:v>44956.666666666599</c:v>
                </c:pt>
                <c:pt idx="503">
                  <c:v>44957.666666666599</c:v>
                </c:pt>
                <c:pt idx="504">
                  <c:v>44958.666666666599</c:v>
                </c:pt>
                <c:pt idx="505">
                  <c:v>44959.666666666599</c:v>
                </c:pt>
                <c:pt idx="506">
                  <c:v>44960.666666666599</c:v>
                </c:pt>
                <c:pt idx="507">
                  <c:v>44963.666666666599</c:v>
                </c:pt>
                <c:pt idx="508">
                  <c:v>44964.666666666599</c:v>
                </c:pt>
                <c:pt idx="509">
                  <c:v>44965.666666666599</c:v>
                </c:pt>
                <c:pt idx="510">
                  <c:v>44966.666666666599</c:v>
                </c:pt>
                <c:pt idx="511">
                  <c:v>44967.666666666599</c:v>
                </c:pt>
                <c:pt idx="512">
                  <c:v>44970.666666666599</c:v>
                </c:pt>
                <c:pt idx="513">
                  <c:v>44971.666666666599</c:v>
                </c:pt>
                <c:pt idx="514">
                  <c:v>44972.666666666599</c:v>
                </c:pt>
                <c:pt idx="515">
                  <c:v>44973.666666666599</c:v>
                </c:pt>
                <c:pt idx="516">
                  <c:v>44974.666666666599</c:v>
                </c:pt>
                <c:pt idx="517">
                  <c:v>44978.666666666599</c:v>
                </c:pt>
                <c:pt idx="518">
                  <c:v>44979.666666666599</c:v>
                </c:pt>
                <c:pt idx="519">
                  <c:v>44980.666666666599</c:v>
                </c:pt>
                <c:pt idx="520">
                  <c:v>44981.666666666599</c:v>
                </c:pt>
                <c:pt idx="521">
                  <c:v>44984.666666666599</c:v>
                </c:pt>
                <c:pt idx="522">
                  <c:v>44985.666666666599</c:v>
                </c:pt>
                <c:pt idx="523">
                  <c:v>44986.666666666599</c:v>
                </c:pt>
                <c:pt idx="524">
                  <c:v>44987.666666666599</c:v>
                </c:pt>
                <c:pt idx="525">
                  <c:v>44988.666666666599</c:v>
                </c:pt>
                <c:pt idx="526">
                  <c:v>44991.666666666599</c:v>
                </c:pt>
                <c:pt idx="527">
                  <c:v>44992.666666666599</c:v>
                </c:pt>
                <c:pt idx="528">
                  <c:v>44993.666666666599</c:v>
                </c:pt>
                <c:pt idx="529">
                  <c:v>44994.666666666599</c:v>
                </c:pt>
                <c:pt idx="530">
                  <c:v>44995.666666666599</c:v>
                </c:pt>
                <c:pt idx="531">
                  <c:v>44998.666666666599</c:v>
                </c:pt>
                <c:pt idx="532">
                  <c:v>44999.666666666599</c:v>
                </c:pt>
                <c:pt idx="533">
                  <c:v>45000.666666666599</c:v>
                </c:pt>
                <c:pt idx="534">
                  <c:v>45001.666666666599</c:v>
                </c:pt>
                <c:pt idx="535">
                  <c:v>45002.666666666599</c:v>
                </c:pt>
                <c:pt idx="536">
                  <c:v>45005.666666666599</c:v>
                </c:pt>
                <c:pt idx="537">
                  <c:v>45006.666666666599</c:v>
                </c:pt>
                <c:pt idx="538">
                  <c:v>45007.666666666599</c:v>
                </c:pt>
                <c:pt idx="539">
                  <c:v>45008.666666666599</c:v>
                </c:pt>
                <c:pt idx="540">
                  <c:v>45009.666666666599</c:v>
                </c:pt>
                <c:pt idx="541">
                  <c:v>45012.666666666599</c:v>
                </c:pt>
                <c:pt idx="542">
                  <c:v>45013.666666666599</c:v>
                </c:pt>
                <c:pt idx="543">
                  <c:v>45014.666666666599</c:v>
                </c:pt>
                <c:pt idx="544">
                  <c:v>45015.666666666599</c:v>
                </c:pt>
                <c:pt idx="545">
                  <c:v>45016.666666666599</c:v>
                </c:pt>
                <c:pt idx="546">
                  <c:v>45019.666666666599</c:v>
                </c:pt>
                <c:pt idx="547">
                  <c:v>45020.666666666599</c:v>
                </c:pt>
                <c:pt idx="548">
                  <c:v>45021.666666666599</c:v>
                </c:pt>
                <c:pt idx="549">
                  <c:v>45022.666666666599</c:v>
                </c:pt>
                <c:pt idx="550">
                  <c:v>45026.666666666599</c:v>
                </c:pt>
                <c:pt idx="551">
                  <c:v>45027.666666666599</c:v>
                </c:pt>
                <c:pt idx="552">
                  <c:v>45028.666666666599</c:v>
                </c:pt>
                <c:pt idx="553">
                  <c:v>45029.666666666599</c:v>
                </c:pt>
                <c:pt idx="554">
                  <c:v>45030.666666666599</c:v>
                </c:pt>
                <c:pt idx="555">
                  <c:v>45033.666666666599</c:v>
                </c:pt>
                <c:pt idx="556">
                  <c:v>45034.666666666599</c:v>
                </c:pt>
                <c:pt idx="557">
                  <c:v>45035.666666666599</c:v>
                </c:pt>
                <c:pt idx="558">
                  <c:v>45036.666666666599</c:v>
                </c:pt>
                <c:pt idx="559">
                  <c:v>45037.666666666599</c:v>
                </c:pt>
                <c:pt idx="560">
                  <c:v>45040.666666666599</c:v>
                </c:pt>
                <c:pt idx="561">
                  <c:v>45041.666666666599</c:v>
                </c:pt>
                <c:pt idx="562">
                  <c:v>45042.666666666599</c:v>
                </c:pt>
                <c:pt idx="563">
                  <c:v>45043.666666666599</c:v>
                </c:pt>
                <c:pt idx="564">
                  <c:v>45044.666666666599</c:v>
                </c:pt>
                <c:pt idx="565">
                  <c:v>45047.666666666599</c:v>
                </c:pt>
                <c:pt idx="566">
                  <c:v>45048.666666666599</c:v>
                </c:pt>
                <c:pt idx="567">
                  <c:v>45049.666666666599</c:v>
                </c:pt>
                <c:pt idx="568">
                  <c:v>45050.666666666599</c:v>
                </c:pt>
                <c:pt idx="569">
                  <c:v>45051.666666666599</c:v>
                </c:pt>
                <c:pt idx="570">
                  <c:v>45054.666666666599</c:v>
                </c:pt>
                <c:pt idx="571">
                  <c:v>45055.666666666599</c:v>
                </c:pt>
                <c:pt idx="572">
                  <c:v>45056.666666666599</c:v>
                </c:pt>
                <c:pt idx="573">
                  <c:v>45057.666666666599</c:v>
                </c:pt>
                <c:pt idx="574">
                  <c:v>45058.666666666599</c:v>
                </c:pt>
                <c:pt idx="575">
                  <c:v>45061.666666666599</c:v>
                </c:pt>
                <c:pt idx="576">
                  <c:v>45062.666666666599</c:v>
                </c:pt>
                <c:pt idx="577">
                  <c:v>45063.666666666599</c:v>
                </c:pt>
                <c:pt idx="578">
                  <c:v>45064.666666666599</c:v>
                </c:pt>
                <c:pt idx="579">
                  <c:v>45065.666666666599</c:v>
                </c:pt>
                <c:pt idx="580">
                  <c:v>45068.666666666599</c:v>
                </c:pt>
                <c:pt idx="581">
                  <c:v>45069.666666666599</c:v>
                </c:pt>
                <c:pt idx="582">
                  <c:v>45070.666666666599</c:v>
                </c:pt>
                <c:pt idx="583">
                  <c:v>45071.666666666599</c:v>
                </c:pt>
                <c:pt idx="584">
                  <c:v>45072.666666666599</c:v>
                </c:pt>
                <c:pt idx="585">
                  <c:v>45076.666666666599</c:v>
                </c:pt>
                <c:pt idx="586">
                  <c:v>45077.666666666599</c:v>
                </c:pt>
                <c:pt idx="587">
                  <c:v>45078.666666666599</c:v>
                </c:pt>
                <c:pt idx="588">
                  <c:v>45079.666666666599</c:v>
                </c:pt>
                <c:pt idx="589">
                  <c:v>45082.666666666599</c:v>
                </c:pt>
                <c:pt idx="590">
                  <c:v>45083.666666666599</c:v>
                </c:pt>
                <c:pt idx="591">
                  <c:v>45084.666666666599</c:v>
                </c:pt>
                <c:pt idx="592">
                  <c:v>45085.666666666599</c:v>
                </c:pt>
                <c:pt idx="593">
                  <c:v>45086.666666666599</c:v>
                </c:pt>
                <c:pt idx="594">
                  <c:v>45089.666666666599</c:v>
                </c:pt>
                <c:pt idx="595">
                  <c:v>45090.666666666599</c:v>
                </c:pt>
                <c:pt idx="596">
                  <c:v>45091.666666666599</c:v>
                </c:pt>
                <c:pt idx="597">
                  <c:v>45092.666666666599</c:v>
                </c:pt>
                <c:pt idx="598">
                  <c:v>45093.666666666599</c:v>
                </c:pt>
                <c:pt idx="599">
                  <c:v>45097.666666666599</c:v>
                </c:pt>
                <c:pt idx="600">
                  <c:v>45098.666666666599</c:v>
                </c:pt>
                <c:pt idx="601">
                  <c:v>45099.666666666599</c:v>
                </c:pt>
                <c:pt idx="602">
                  <c:v>45100.666666666599</c:v>
                </c:pt>
                <c:pt idx="603">
                  <c:v>45103.666666666599</c:v>
                </c:pt>
                <c:pt idx="604">
                  <c:v>45104.666666666599</c:v>
                </c:pt>
                <c:pt idx="605">
                  <c:v>45105.666666666599</c:v>
                </c:pt>
                <c:pt idx="606">
                  <c:v>45106.666666666599</c:v>
                </c:pt>
                <c:pt idx="607">
                  <c:v>45107.666666666599</c:v>
                </c:pt>
                <c:pt idx="608">
                  <c:v>45110.552083333299</c:v>
                </c:pt>
                <c:pt idx="609">
                  <c:v>45112.666666666599</c:v>
                </c:pt>
                <c:pt idx="610">
                  <c:v>45113.666666666599</c:v>
                </c:pt>
                <c:pt idx="611">
                  <c:v>45114.666666666599</c:v>
                </c:pt>
                <c:pt idx="612">
                  <c:v>45117.666666666599</c:v>
                </c:pt>
                <c:pt idx="613">
                  <c:v>45118.666666666599</c:v>
                </c:pt>
                <c:pt idx="614">
                  <c:v>45119.666666666599</c:v>
                </c:pt>
                <c:pt idx="615">
                  <c:v>45120.666666666599</c:v>
                </c:pt>
                <c:pt idx="616">
                  <c:v>45121.666666666599</c:v>
                </c:pt>
                <c:pt idx="617">
                  <c:v>45124.666666666599</c:v>
                </c:pt>
                <c:pt idx="618">
                  <c:v>45125.666666666599</c:v>
                </c:pt>
                <c:pt idx="619">
                  <c:v>45126.666666666599</c:v>
                </c:pt>
                <c:pt idx="620">
                  <c:v>45127.666666666599</c:v>
                </c:pt>
                <c:pt idx="621">
                  <c:v>45128.666666666599</c:v>
                </c:pt>
                <c:pt idx="622">
                  <c:v>45131.666666666599</c:v>
                </c:pt>
                <c:pt idx="623">
                  <c:v>45132.666666666599</c:v>
                </c:pt>
                <c:pt idx="624">
                  <c:v>45133.666666666599</c:v>
                </c:pt>
                <c:pt idx="625">
                  <c:v>45134.666666666599</c:v>
                </c:pt>
                <c:pt idx="626">
                  <c:v>45135.666666666599</c:v>
                </c:pt>
                <c:pt idx="627">
                  <c:v>45138.666666666599</c:v>
                </c:pt>
                <c:pt idx="628">
                  <c:v>45139.666666666599</c:v>
                </c:pt>
                <c:pt idx="629">
                  <c:v>45140.666666666599</c:v>
                </c:pt>
                <c:pt idx="630">
                  <c:v>45141.666666666599</c:v>
                </c:pt>
                <c:pt idx="631">
                  <c:v>45142.666666666599</c:v>
                </c:pt>
                <c:pt idx="632">
                  <c:v>45145.666666666599</c:v>
                </c:pt>
                <c:pt idx="633">
                  <c:v>45146.666666666599</c:v>
                </c:pt>
                <c:pt idx="634">
                  <c:v>45147.666666666599</c:v>
                </c:pt>
                <c:pt idx="635">
                  <c:v>45148.666666666599</c:v>
                </c:pt>
                <c:pt idx="636">
                  <c:v>45149.666666666599</c:v>
                </c:pt>
                <c:pt idx="637">
                  <c:v>45152.666666666599</c:v>
                </c:pt>
                <c:pt idx="638">
                  <c:v>45153.666666666599</c:v>
                </c:pt>
                <c:pt idx="639">
                  <c:v>45154.666666666599</c:v>
                </c:pt>
                <c:pt idx="640">
                  <c:v>45155.666666666599</c:v>
                </c:pt>
                <c:pt idx="641">
                  <c:v>45156.666666666599</c:v>
                </c:pt>
                <c:pt idx="642">
                  <c:v>45159.666666666599</c:v>
                </c:pt>
                <c:pt idx="643">
                  <c:v>45160.666666666599</c:v>
                </c:pt>
                <c:pt idx="644">
                  <c:v>45161.666666666599</c:v>
                </c:pt>
                <c:pt idx="645">
                  <c:v>45162.666666666599</c:v>
                </c:pt>
                <c:pt idx="646">
                  <c:v>45163.666666666599</c:v>
                </c:pt>
                <c:pt idx="647">
                  <c:v>45166.666666666599</c:v>
                </c:pt>
                <c:pt idx="648">
                  <c:v>45167.666666666599</c:v>
                </c:pt>
                <c:pt idx="649">
                  <c:v>45168.666666666599</c:v>
                </c:pt>
                <c:pt idx="650">
                  <c:v>45169.666666666599</c:v>
                </c:pt>
                <c:pt idx="651">
                  <c:v>45170.666666666599</c:v>
                </c:pt>
                <c:pt idx="652">
                  <c:v>45174.666666666599</c:v>
                </c:pt>
                <c:pt idx="653">
                  <c:v>45175.666666666599</c:v>
                </c:pt>
                <c:pt idx="654">
                  <c:v>45176.666666666599</c:v>
                </c:pt>
                <c:pt idx="655">
                  <c:v>45177.666666666599</c:v>
                </c:pt>
                <c:pt idx="656">
                  <c:v>45180.666666666599</c:v>
                </c:pt>
                <c:pt idx="657">
                  <c:v>45181.666666666599</c:v>
                </c:pt>
                <c:pt idx="658">
                  <c:v>45182.666666666599</c:v>
                </c:pt>
                <c:pt idx="659">
                  <c:v>45183.666666666599</c:v>
                </c:pt>
                <c:pt idx="660">
                  <c:v>45184.666666666599</c:v>
                </c:pt>
                <c:pt idx="661">
                  <c:v>45187.666666666599</c:v>
                </c:pt>
                <c:pt idx="662">
                  <c:v>45188.666666666599</c:v>
                </c:pt>
                <c:pt idx="663">
                  <c:v>45189.666666666599</c:v>
                </c:pt>
                <c:pt idx="664">
                  <c:v>45190.666666666599</c:v>
                </c:pt>
                <c:pt idx="665">
                  <c:v>45191.666666666599</c:v>
                </c:pt>
                <c:pt idx="666">
                  <c:v>45194.666666666599</c:v>
                </c:pt>
                <c:pt idx="667">
                  <c:v>45195.666666666599</c:v>
                </c:pt>
                <c:pt idx="668">
                  <c:v>45196.666666666599</c:v>
                </c:pt>
                <c:pt idx="669">
                  <c:v>45197.666666666599</c:v>
                </c:pt>
                <c:pt idx="670">
                  <c:v>45198.666666666599</c:v>
                </c:pt>
                <c:pt idx="671">
                  <c:v>45201.666666666599</c:v>
                </c:pt>
                <c:pt idx="672">
                  <c:v>45202.666666666599</c:v>
                </c:pt>
                <c:pt idx="673">
                  <c:v>45203.666666666599</c:v>
                </c:pt>
                <c:pt idx="674">
                  <c:v>45204.666666666599</c:v>
                </c:pt>
                <c:pt idx="675">
                  <c:v>45205.666666666599</c:v>
                </c:pt>
                <c:pt idx="676">
                  <c:v>45208.666666666599</c:v>
                </c:pt>
                <c:pt idx="677">
                  <c:v>45209.666666666599</c:v>
                </c:pt>
                <c:pt idx="678">
                  <c:v>45210.666666666599</c:v>
                </c:pt>
                <c:pt idx="679">
                  <c:v>45211.666666666599</c:v>
                </c:pt>
                <c:pt idx="680">
                  <c:v>45212.666666666599</c:v>
                </c:pt>
                <c:pt idx="681">
                  <c:v>45215.666666666599</c:v>
                </c:pt>
                <c:pt idx="682">
                  <c:v>45216.666666666599</c:v>
                </c:pt>
                <c:pt idx="683">
                  <c:v>45217.666666666599</c:v>
                </c:pt>
                <c:pt idx="684">
                  <c:v>45218.666666666599</c:v>
                </c:pt>
                <c:pt idx="685">
                  <c:v>45219.666666666599</c:v>
                </c:pt>
                <c:pt idx="686">
                  <c:v>45222.666666666599</c:v>
                </c:pt>
                <c:pt idx="687">
                  <c:v>45223.666666666599</c:v>
                </c:pt>
                <c:pt idx="688">
                  <c:v>45224.666666666599</c:v>
                </c:pt>
                <c:pt idx="689">
                  <c:v>45225.666666666599</c:v>
                </c:pt>
                <c:pt idx="690">
                  <c:v>45226.666666666599</c:v>
                </c:pt>
                <c:pt idx="691">
                  <c:v>45229.666666666599</c:v>
                </c:pt>
                <c:pt idx="692">
                  <c:v>45230.666666666599</c:v>
                </c:pt>
                <c:pt idx="693">
                  <c:v>45231.666666666599</c:v>
                </c:pt>
                <c:pt idx="694">
                  <c:v>45232.666666666599</c:v>
                </c:pt>
                <c:pt idx="695">
                  <c:v>45233.666666666599</c:v>
                </c:pt>
                <c:pt idx="696">
                  <c:v>45236.666666666599</c:v>
                </c:pt>
                <c:pt idx="697">
                  <c:v>45237.666666666599</c:v>
                </c:pt>
                <c:pt idx="698">
                  <c:v>45238.666666666599</c:v>
                </c:pt>
                <c:pt idx="699">
                  <c:v>45239.666666666599</c:v>
                </c:pt>
                <c:pt idx="700">
                  <c:v>45240.666666666599</c:v>
                </c:pt>
                <c:pt idx="701">
                  <c:v>45243.666666666599</c:v>
                </c:pt>
                <c:pt idx="702">
                  <c:v>45244.666666666599</c:v>
                </c:pt>
                <c:pt idx="703">
                  <c:v>45245.666666666599</c:v>
                </c:pt>
                <c:pt idx="704">
                  <c:v>45246.666666666599</c:v>
                </c:pt>
                <c:pt idx="705">
                  <c:v>45247.666666666599</c:v>
                </c:pt>
                <c:pt idx="706">
                  <c:v>45250.666666666599</c:v>
                </c:pt>
                <c:pt idx="707">
                  <c:v>45251.666666666599</c:v>
                </c:pt>
                <c:pt idx="708">
                  <c:v>45252.666666666599</c:v>
                </c:pt>
                <c:pt idx="709">
                  <c:v>45254.552083333299</c:v>
                </c:pt>
                <c:pt idx="710">
                  <c:v>45257.666666666599</c:v>
                </c:pt>
                <c:pt idx="711">
                  <c:v>45258.666666666599</c:v>
                </c:pt>
                <c:pt idx="712">
                  <c:v>45259.666666666599</c:v>
                </c:pt>
                <c:pt idx="713">
                  <c:v>45260.666666666599</c:v>
                </c:pt>
                <c:pt idx="714">
                  <c:v>45261.666666666599</c:v>
                </c:pt>
                <c:pt idx="715">
                  <c:v>45264.666666666599</c:v>
                </c:pt>
                <c:pt idx="716">
                  <c:v>45265.666666666599</c:v>
                </c:pt>
                <c:pt idx="717">
                  <c:v>45266.666666666599</c:v>
                </c:pt>
                <c:pt idx="718">
                  <c:v>45267.666666666599</c:v>
                </c:pt>
                <c:pt idx="719">
                  <c:v>45268.666666666599</c:v>
                </c:pt>
                <c:pt idx="720">
                  <c:v>45271.666666666599</c:v>
                </c:pt>
                <c:pt idx="721">
                  <c:v>45272.666666666599</c:v>
                </c:pt>
                <c:pt idx="722">
                  <c:v>45273.666666666599</c:v>
                </c:pt>
                <c:pt idx="723">
                  <c:v>45274.666666666599</c:v>
                </c:pt>
                <c:pt idx="724">
                  <c:v>45275.666666666599</c:v>
                </c:pt>
                <c:pt idx="725">
                  <c:v>45278.666666666599</c:v>
                </c:pt>
                <c:pt idx="726">
                  <c:v>45279.666666666599</c:v>
                </c:pt>
                <c:pt idx="727">
                  <c:v>45280.666666666599</c:v>
                </c:pt>
                <c:pt idx="728">
                  <c:v>45281.666666666599</c:v>
                </c:pt>
                <c:pt idx="729">
                  <c:v>45282.666666666599</c:v>
                </c:pt>
                <c:pt idx="730">
                  <c:v>45286.666666666599</c:v>
                </c:pt>
                <c:pt idx="731">
                  <c:v>45287.666666666599</c:v>
                </c:pt>
                <c:pt idx="732">
                  <c:v>45288.666666666599</c:v>
                </c:pt>
                <c:pt idx="733">
                  <c:v>45289.666666666599</c:v>
                </c:pt>
                <c:pt idx="734">
                  <c:v>45293.666666666599</c:v>
                </c:pt>
                <c:pt idx="735">
                  <c:v>45294.666666666599</c:v>
                </c:pt>
                <c:pt idx="736">
                  <c:v>45295.666666666599</c:v>
                </c:pt>
                <c:pt idx="737">
                  <c:v>45296.666666666599</c:v>
                </c:pt>
                <c:pt idx="738">
                  <c:v>45299.666666666599</c:v>
                </c:pt>
                <c:pt idx="739">
                  <c:v>45300.666666666599</c:v>
                </c:pt>
                <c:pt idx="740">
                  <c:v>45301.666666666599</c:v>
                </c:pt>
                <c:pt idx="741">
                  <c:v>45302.666666666599</c:v>
                </c:pt>
                <c:pt idx="742">
                  <c:v>45303.666666666599</c:v>
                </c:pt>
                <c:pt idx="743">
                  <c:v>45307.666666666599</c:v>
                </c:pt>
                <c:pt idx="744">
                  <c:v>45308.666666666599</c:v>
                </c:pt>
                <c:pt idx="745">
                  <c:v>45309.666666666599</c:v>
                </c:pt>
                <c:pt idx="746">
                  <c:v>45310.666666666599</c:v>
                </c:pt>
                <c:pt idx="747">
                  <c:v>45313.666666666599</c:v>
                </c:pt>
                <c:pt idx="748">
                  <c:v>45314.666666666599</c:v>
                </c:pt>
                <c:pt idx="749">
                  <c:v>45315.666666666599</c:v>
                </c:pt>
                <c:pt idx="750">
                  <c:v>45316.666666666599</c:v>
                </c:pt>
                <c:pt idx="751">
                  <c:v>45317.666666666599</c:v>
                </c:pt>
                <c:pt idx="752">
                  <c:v>45320.666666666599</c:v>
                </c:pt>
                <c:pt idx="753">
                  <c:v>45321.666666666599</c:v>
                </c:pt>
                <c:pt idx="754">
                  <c:v>45322.666666666599</c:v>
                </c:pt>
                <c:pt idx="755">
                  <c:v>45323.666666666599</c:v>
                </c:pt>
                <c:pt idx="756">
                  <c:v>45324.666666666599</c:v>
                </c:pt>
                <c:pt idx="757">
                  <c:v>45327.666666666599</c:v>
                </c:pt>
                <c:pt idx="758">
                  <c:v>45328.666666666599</c:v>
                </c:pt>
                <c:pt idx="759">
                  <c:v>45329.666666666599</c:v>
                </c:pt>
                <c:pt idx="760">
                  <c:v>45330.666666666599</c:v>
                </c:pt>
                <c:pt idx="761">
                  <c:v>45331.666666666599</c:v>
                </c:pt>
                <c:pt idx="762">
                  <c:v>45334.666666666599</c:v>
                </c:pt>
                <c:pt idx="763">
                  <c:v>45335.666666666599</c:v>
                </c:pt>
                <c:pt idx="764">
                  <c:v>45336.666666666599</c:v>
                </c:pt>
                <c:pt idx="765">
                  <c:v>45337.666666666599</c:v>
                </c:pt>
                <c:pt idx="766">
                  <c:v>45338.666666666599</c:v>
                </c:pt>
                <c:pt idx="767">
                  <c:v>45342.666666666599</c:v>
                </c:pt>
                <c:pt idx="768">
                  <c:v>45343.666666666599</c:v>
                </c:pt>
                <c:pt idx="769">
                  <c:v>45344.666666666599</c:v>
                </c:pt>
                <c:pt idx="770">
                  <c:v>45345.666666666599</c:v>
                </c:pt>
                <c:pt idx="771">
                  <c:v>45348.666666666599</c:v>
                </c:pt>
                <c:pt idx="772">
                  <c:v>45349.666666666599</c:v>
                </c:pt>
                <c:pt idx="773">
                  <c:v>45350.666666666599</c:v>
                </c:pt>
                <c:pt idx="774">
                  <c:v>45351.666666666599</c:v>
                </c:pt>
                <c:pt idx="775">
                  <c:v>45352.666666666599</c:v>
                </c:pt>
                <c:pt idx="776">
                  <c:v>45355.666666666599</c:v>
                </c:pt>
                <c:pt idx="777">
                  <c:v>45356.666666666599</c:v>
                </c:pt>
                <c:pt idx="778">
                  <c:v>45357.666666666599</c:v>
                </c:pt>
                <c:pt idx="779">
                  <c:v>45358.666666666599</c:v>
                </c:pt>
                <c:pt idx="780">
                  <c:v>45359.666666666599</c:v>
                </c:pt>
                <c:pt idx="781">
                  <c:v>45362.666666666599</c:v>
                </c:pt>
                <c:pt idx="782">
                  <c:v>45363.666666666599</c:v>
                </c:pt>
                <c:pt idx="783">
                  <c:v>45364.666666666599</c:v>
                </c:pt>
                <c:pt idx="784">
                  <c:v>45365.666666666599</c:v>
                </c:pt>
                <c:pt idx="785">
                  <c:v>45366.666666666599</c:v>
                </c:pt>
                <c:pt idx="786">
                  <c:v>45369.666666666599</c:v>
                </c:pt>
                <c:pt idx="787">
                  <c:v>45370.666666666599</c:v>
                </c:pt>
                <c:pt idx="788">
                  <c:v>45371.666666666599</c:v>
                </c:pt>
                <c:pt idx="789">
                  <c:v>45372.666666666599</c:v>
                </c:pt>
                <c:pt idx="790">
                  <c:v>45373.666666666599</c:v>
                </c:pt>
                <c:pt idx="791">
                  <c:v>45376.666666666599</c:v>
                </c:pt>
                <c:pt idx="792">
                  <c:v>45377.666666666599</c:v>
                </c:pt>
                <c:pt idx="793">
                  <c:v>45378.666666666599</c:v>
                </c:pt>
                <c:pt idx="794">
                  <c:v>45379.666666666599</c:v>
                </c:pt>
                <c:pt idx="795">
                  <c:v>45383.666666666599</c:v>
                </c:pt>
                <c:pt idx="796">
                  <c:v>45384.666666666599</c:v>
                </c:pt>
                <c:pt idx="797">
                  <c:v>45385.666666666599</c:v>
                </c:pt>
                <c:pt idx="798">
                  <c:v>45386.666666666599</c:v>
                </c:pt>
                <c:pt idx="799">
                  <c:v>45387.666666666599</c:v>
                </c:pt>
                <c:pt idx="800">
                  <c:v>45390.666666666599</c:v>
                </c:pt>
                <c:pt idx="801">
                  <c:v>45391.666666666599</c:v>
                </c:pt>
                <c:pt idx="802">
                  <c:v>45392.666666666599</c:v>
                </c:pt>
                <c:pt idx="803">
                  <c:v>45393.666666666599</c:v>
                </c:pt>
                <c:pt idx="804">
                  <c:v>45394.666666666599</c:v>
                </c:pt>
                <c:pt idx="805">
                  <c:v>45397.666666666599</c:v>
                </c:pt>
                <c:pt idx="806">
                  <c:v>45398.666666666599</c:v>
                </c:pt>
                <c:pt idx="807">
                  <c:v>45399.666666666599</c:v>
                </c:pt>
                <c:pt idx="808">
                  <c:v>45400.666666666599</c:v>
                </c:pt>
                <c:pt idx="809">
                  <c:v>45401.666666666599</c:v>
                </c:pt>
                <c:pt idx="810">
                  <c:v>45404.666666666599</c:v>
                </c:pt>
                <c:pt idx="811">
                  <c:v>45405.666666666599</c:v>
                </c:pt>
                <c:pt idx="812">
                  <c:v>45406.666666666599</c:v>
                </c:pt>
                <c:pt idx="813">
                  <c:v>45407.666666666599</c:v>
                </c:pt>
                <c:pt idx="814">
                  <c:v>45408.666666666599</c:v>
                </c:pt>
                <c:pt idx="815">
                  <c:v>45411.666666666599</c:v>
                </c:pt>
                <c:pt idx="816">
                  <c:v>45412.666666666599</c:v>
                </c:pt>
                <c:pt idx="817">
                  <c:v>45413.666666666599</c:v>
                </c:pt>
                <c:pt idx="818">
                  <c:v>45414.666666666599</c:v>
                </c:pt>
                <c:pt idx="819">
                  <c:v>45415.666666666599</c:v>
                </c:pt>
                <c:pt idx="820">
                  <c:v>45418.666666666599</c:v>
                </c:pt>
                <c:pt idx="821">
                  <c:v>45419.666666666599</c:v>
                </c:pt>
                <c:pt idx="822">
                  <c:v>45420.666666666599</c:v>
                </c:pt>
                <c:pt idx="823">
                  <c:v>45421.666666666599</c:v>
                </c:pt>
                <c:pt idx="824">
                  <c:v>45422.666666666599</c:v>
                </c:pt>
                <c:pt idx="825">
                  <c:v>45425.666666666599</c:v>
                </c:pt>
                <c:pt idx="826">
                  <c:v>45426.666666666599</c:v>
                </c:pt>
                <c:pt idx="827">
                  <c:v>45427.666666666599</c:v>
                </c:pt>
                <c:pt idx="828">
                  <c:v>45428.666666666599</c:v>
                </c:pt>
                <c:pt idx="829">
                  <c:v>45429.666666666599</c:v>
                </c:pt>
                <c:pt idx="830">
                  <c:v>45432.666666666599</c:v>
                </c:pt>
                <c:pt idx="831">
                  <c:v>45433.666666666599</c:v>
                </c:pt>
                <c:pt idx="832">
                  <c:v>45434.666666666599</c:v>
                </c:pt>
                <c:pt idx="833">
                  <c:v>45435.666666666599</c:v>
                </c:pt>
                <c:pt idx="834">
                  <c:v>45436.666666666599</c:v>
                </c:pt>
                <c:pt idx="835">
                  <c:v>45440.666666666599</c:v>
                </c:pt>
                <c:pt idx="836">
                  <c:v>45441.666666666599</c:v>
                </c:pt>
                <c:pt idx="837">
                  <c:v>45442.666666666599</c:v>
                </c:pt>
                <c:pt idx="838">
                  <c:v>45443.666666666599</c:v>
                </c:pt>
                <c:pt idx="839">
                  <c:v>45446.666666666599</c:v>
                </c:pt>
                <c:pt idx="840">
                  <c:v>45447.666666666599</c:v>
                </c:pt>
                <c:pt idx="841">
                  <c:v>45448.666666666599</c:v>
                </c:pt>
                <c:pt idx="842">
                  <c:v>45449.666666666599</c:v>
                </c:pt>
                <c:pt idx="843">
                  <c:v>45450.666666666599</c:v>
                </c:pt>
                <c:pt idx="844">
                  <c:v>45453.666666666599</c:v>
                </c:pt>
                <c:pt idx="845">
                  <c:v>45454.666666666599</c:v>
                </c:pt>
                <c:pt idx="846">
                  <c:v>45455.666666666599</c:v>
                </c:pt>
                <c:pt idx="847">
                  <c:v>45456.666666666599</c:v>
                </c:pt>
                <c:pt idx="848">
                  <c:v>45457.666666666599</c:v>
                </c:pt>
                <c:pt idx="849">
                  <c:v>45460.666666666599</c:v>
                </c:pt>
                <c:pt idx="850">
                  <c:v>45461.666666666599</c:v>
                </c:pt>
                <c:pt idx="851">
                  <c:v>45463.666666666599</c:v>
                </c:pt>
                <c:pt idx="852">
                  <c:v>45464.666666666599</c:v>
                </c:pt>
                <c:pt idx="853">
                  <c:v>45467.666666666599</c:v>
                </c:pt>
                <c:pt idx="854">
                  <c:v>45468.666666666599</c:v>
                </c:pt>
                <c:pt idx="855">
                  <c:v>45469.666666666599</c:v>
                </c:pt>
                <c:pt idx="856">
                  <c:v>45470.666666666599</c:v>
                </c:pt>
                <c:pt idx="857">
                  <c:v>45471.666666666599</c:v>
                </c:pt>
                <c:pt idx="858">
                  <c:v>45474.666666666599</c:v>
                </c:pt>
                <c:pt idx="859">
                  <c:v>45475.666666666599</c:v>
                </c:pt>
                <c:pt idx="860">
                  <c:v>45476.552083333299</c:v>
                </c:pt>
                <c:pt idx="861">
                  <c:v>45478.666666666599</c:v>
                </c:pt>
                <c:pt idx="862">
                  <c:v>45481.666666666599</c:v>
                </c:pt>
                <c:pt idx="863">
                  <c:v>45482.666666666599</c:v>
                </c:pt>
                <c:pt idx="864">
                  <c:v>45483.666666666599</c:v>
                </c:pt>
                <c:pt idx="865">
                  <c:v>45484.666666666599</c:v>
                </c:pt>
                <c:pt idx="866">
                  <c:v>45485.666666666599</c:v>
                </c:pt>
                <c:pt idx="867">
                  <c:v>45488.666666666599</c:v>
                </c:pt>
                <c:pt idx="868">
                  <c:v>45489.666666666599</c:v>
                </c:pt>
                <c:pt idx="869">
                  <c:v>45490.666666666599</c:v>
                </c:pt>
                <c:pt idx="870">
                  <c:v>45491.666666666599</c:v>
                </c:pt>
                <c:pt idx="871">
                  <c:v>45492.666666666599</c:v>
                </c:pt>
                <c:pt idx="872">
                  <c:v>45495.666666666599</c:v>
                </c:pt>
                <c:pt idx="873">
                  <c:v>45496.666666666599</c:v>
                </c:pt>
                <c:pt idx="874">
                  <c:v>45497.666666666599</c:v>
                </c:pt>
                <c:pt idx="875">
                  <c:v>45498.666666666599</c:v>
                </c:pt>
                <c:pt idx="876">
                  <c:v>45499.666666666599</c:v>
                </c:pt>
                <c:pt idx="877">
                  <c:v>45502.666666666599</c:v>
                </c:pt>
                <c:pt idx="878">
                  <c:v>45503.666666666599</c:v>
                </c:pt>
                <c:pt idx="879">
                  <c:v>45504.666666666599</c:v>
                </c:pt>
                <c:pt idx="880">
                  <c:v>45505.666666666599</c:v>
                </c:pt>
                <c:pt idx="881">
                  <c:v>45506.666666666599</c:v>
                </c:pt>
                <c:pt idx="882">
                  <c:v>45509.666666666599</c:v>
                </c:pt>
                <c:pt idx="883">
                  <c:v>45510.666666666599</c:v>
                </c:pt>
                <c:pt idx="884">
                  <c:v>45511.666666666599</c:v>
                </c:pt>
                <c:pt idx="885">
                  <c:v>45512.666666666599</c:v>
                </c:pt>
                <c:pt idx="886">
                  <c:v>45513.666666666599</c:v>
                </c:pt>
                <c:pt idx="887">
                  <c:v>45516.666666666599</c:v>
                </c:pt>
                <c:pt idx="888">
                  <c:v>45517.666666666599</c:v>
                </c:pt>
                <c:pt idx="889">
                  <c:v>45518.666666666599</c:v>
                </c:pt>
                <c:pt idx="890">
                  <c:v>45519.666666666599</c:v>
                </c:pt>
                <c:pt idx="891">
                  <c:v>45520.666666666599</c:v>
                </c:pt>
                <c:pt idx="892">
                  <c:v>45523.666666666599</c:v>
                </c:pt>
                <c:pt idx="893">
                  <c:v>45524.666666666599</c:v>
                </c:pt>
                <c:pt idx="894">
                  <c:v>45525.666666666599</c:v>
                </c:pt>
                <c:pt idx="895">
                  <c:v>45526.666666666599</c:v>
                </c:pt>
                <c:pt idx="896">
                  <c:v>45527.666666666599</c:v>
                </c:pt>
                <c:pt idx="897">
                  <c:v>45530.666666666599</c:v>
                </c:pt>
                <c:pt idx="898">
                  <c:v>45531.666666666599</c:v>
                </c:pt>
                <c:pt idx="899">
                  <c:v>45532.666666666599</c:v>
                </c:pt>
                <c:pt idx="900">
                  <c:v>45533.666666666599</c:v>
                </c:pt>
                <c:pt idx="901">
                  <c:v>45534.666666666599</c:v>
                </c:pt>
                <c:pt idx="902">
                  <c:v>45538.666666666599</c:v>
                </c:pt>
                <c:pt idx="903">
                  <c:v>45539.666666666599</c:v>
                </c:pt>
                <c:pt idx="904">
                  <c:v>45540.666666666599</c:v>
                </c:pt>
                <c:pt idx="905">
                  <c:v>45541.666666666599</c:v>
                </c:pt>
                <c:pt idx="906">
                  <c:v>45544.666666666599</c:v>
                </c:pt>
                <c:pt idx="907">
                  <c:v>45545.666666666599</c:v>
                </c:pt>
                <c:pt idx="908">
                  <c:v>45546.666666666599</c:v>
                </c:pt>
                <c:pt idx="909">
                  <c:v>45547.666666666599</c:v>
                </c:pt>
                <c:pt idx="910">
                  <c:v>45548.666666666599</c:v>
                </c:pt>
                <c:pt idx="911">
                  <c:v>45551.666666666599</c:v>
                </c:pt>
                <c:pt idx="912">
                  <c:v>45552.666666666599</c:v>
                </c:pt>
                <c:pt idx="913">
                  <c:v>45553.666666666599</c:v>
                </c:pt>
                <c:pt idx="914">
                  <c:v>45554.666666666599</c:v>
                </c:pt>
                <c:pt idx="915">
                  <c:v>45555.666666666599</c:v>
                </c:pt>
                <c:pt idx="916">
                  <c:v>45558.666666666599</c:v>
                </c:pt>
                <c:pt idx="917">
                  <c:v>45559.666666666599</c:v>
                </c:pt>
                <c:pt idx="918">
                  <c:v>45560.666666666599</c:v>
                </c:pt>
                <c:pt idx="919">
                  <c:v>45561.666666666599</c:v>
                </c:pt>
                <c:pt idx="920">
                  <c:v>45562.666666666599</c:v>
                </c:pt>
                <c:pt idx="921">
                  <c:v>45565.666666666599</c:v>
                </c:pt>
                <c:pt idx="922">
                  <c:v>45566.666666666599</c:v>
                </c:pt>
                <c:pt idx="923">
                  <c:v>45567.666666666599</c:v>
                </c:pt>
                <c:pt idx="924">
                  <c:v>45568.666666666599</c:v>
                </c:pt>
                <c:pt idx="925">
                  <c:v>45569.666666666599</c:v>
                </c:pt>
                <c:pt idx="926">
                  <c:v>45572.666666666599</c:v>
                </c:pt>
                <c:pt idx="927">
                  <c:v>45573.666666666599</c:v>
                </c:pt>
                <c:pt idx="928">
                  <c:v>45574.666666666599</c:v>
                </c:pt>
                <c:pt idx="929">
                  <c:v>45575.666666666599</c:v>
                </c:pt>
                <c:pt idx="930">
                  <c:v>45576.666666666599</c:v>
                </c:pt>
                <c:pt idx="931">
                  <c:v>45579.666666666599</c:v>
                </c:pt>
                <c:pt idx="932">
                  <c:v>45580.666666666599</c:v>
                </c:pt>
                <c:pt idx="933">
                  <c:v>45581.666666666599</c:v>
                </c:pt>
                <c:pt idx="934">
                  <c:v>45582.666666666599</c:v>
                </c:pt>
                <c:pt idx="935">
                  <c:v>45583.666666666599</c:v>
                </c:pt>
                <c:pt idx="936">
                  <c:v>45586.666666666599</c:v>
                </c:pt>
                <c:pt idx="937">
                  <c:v>45587.666666666599</c:v>
                </c:pt>
                <c:pt idx="938">
                  <c:v>45588.666666666599</c:v>
                </c:pt>
                <c:pt idx="939">
                  <c:v>45589.666666666599</c:v>
                </c:pt>
                <c:pt idx="940">
                  <c:v>45590.666666666599</c:v>
                </c:pt>
                <c:pt idx="941">
                  <c:v>45593.666666666599</c:v>
                </c:pt>
                <c:pt idx="942">
                  <c:v>45594.666666666599</c:v>
                </c:pt>
                <c:pt idx="943">
                  <c:v>45595.666666666599</c:v>
                </c:pt>
                <c:pt idx="944">
                  <c:v>45596.666666666599</c:v>
                </c:pt>
                <c:pt idx="945">
                  <c:v>45597.666666666599</c:v>
                </c:pt>
                <c:pt idx="946">
                  <c:v>45600.666666666599</c:v>
                </c:pt>
                <c:pt idx="947">
                  <c:v>45601.666666666599</c:v>
                </c:pt>
                <c:pt idx="948">
                  <c:v>45602.666666666599</c:v>
                </c:pt>
                <c:pt idx="949">
                  <c:v>45603.666666666599</c:v>
                </c:pt>
                <c:pt idx="950">
                  <c:v>45604.666666666599</c:v>
                </c:pt>
                <c:pt idx="951">
                  <c:v>45607.666666666599</c:v>
                </c:pt>
                <c:pt idx="952">
                  <c:v>45608.666666666599</c:v>
                </c:pt>
                <c:pt idx="953">
                  <c:v>45609.666666666599</c:v>
                </c:pt>
                <c:pt idx="954">
                  <c:v>45610.666666666599</c:v>
                </c:pt>
                <c:pt idx="955">
                  <c:v>45611.666666666599</c:v>
                </c:pt>
                <c:pt idx="956">
                  <c:v>45614.666666666599</c:v>
                </c:pt>
                <c:pt idx="957">
                  <c:v>45615.666666666599</c:v>
                </c:pt>
                <c:pt idx="958">
                  <c:v>45616.666666666599</c:v>
                </c:pt>
                <c:pt idx="959">
                  <c:v>45617.666666666599</c:v>
                </c:pt>
                <c:pt idx="960">
                  <c:v>45618.666666666599</c:v>
                </c:pt>
                <c:pt idx="961">
                  <c:v>45621.666666666599</c:v>
                </c:pt>
                <c:pt idx="962">
                  <c:v>45622.666666666599</c:v>
                </c:pt>
                <c:pt idx="963">
                  <c:v>45623.666666666599</c:v>
                </c:pt>
                <c:pt idx="964">
                  <c:v>45625.552083333299</c:v>
                </c:pt>
                <c:pt idx="965">
                  <c:v>45628.666666666599</c:v>
                </c:pt>
                <c:pt idx="966">
                  <c:v>45629.666666666599</c:v>
                </c:pt>
                <c:pt idx="967">
                  <c:v>45630.666666666599</c:v>
                </c:pt>
                <c:pt idx="968">
                  <c:v>45631.666666666599</c:v>
                </c:pt>
                <c:pt idx="969">
                  <c:v>45632.666666666599</c:v>
                </c:pt>
                <c:pt idx="970">
                  <c:v>45635.666666666599</c:v>
                </c:pt>
                <c:pt idx="971">
                  <c:v>45636.666666666599</c:v>
                </c:pt>
                <c:pt idx="972">
                  <c:v>45637.666666666599</c:v>
                </c:pt>
                <c:pt idx="973">
                  <c:v>45638.666666666599</c:v>
                </c:pt>
                <c:pt idx="974">
                  <c:v>45639.666666666599</c:v>
                </c:pt>
                <c:pt idx="975">
                  <c:v>45642.666666666599</c:v>
                </c:pt>
                <c:pt idx="976">
                  <c:v>45643.666666666599</c:v>
                </c:pt>
                <c:pt idx="977">
                  <c:v>45644.666666666599</c:v>
                </c:pt>
                <c:pt idx="978">
                  <c:v>45645.666666666599</c:v>
                </c:pt>
                <c:pt idx="979">
                  <c:v>45646.666666666599</c:v>
                </c:pt>
                <c:pt idx="980">
                  <c:v>45649.666666666599</c:v>
                </c:pt>
                <c:pt idx="981">
                  <c:v>45650.541666666599</c:v>
                </c:pt>
                <c:pt idx="982">
                  <c:v>45652.666666666599</c:v>
                </c:pt>
                <c:pt idx="983">
                  <c:v>45653.666666666599</c:v>
                </c:pt>
                <c:pt idx="984">
                  <c:v>45656.666666666599</c:v>
                </c:pt>
                <c:pt idx="985">
                  <c:v>45657.666666666599</c:v>
                </c:pt>
                <c:pt idx="986">
                  <c:v>45659.666666666599</c:v>
                </c:pt>
                <c:pt idx="987">
                  <c:v>45660.666666666599</c:v>
                </c:pt>
                <c:pt idx="988">
                  <c:v>45663.666666666599</c:v>
                </c:pt>
                <c:pt idx="989">
                  <c:v>45664.666666666599</c:v>
                </c:pt>
                <c:pt idx="990">
                  <c:v>45665.666666666599</c:v>
                </c:pt>
                <c:pt idx="991">
                  <c:v>45667.666666666599</c:v>
                </c:pt>
                <c:pt idx="992">
                  <c:v>45670.666666666599</c:v>
                </c:pt>
                <c:pt idx="993">
                  <c:v>45671.666666666599</c:v>
                </c:pt>
                <c:pt idx="994">
                  <c:v>45672.666666666599</c:v>
                </c:pt>
                <c:pt idx="995">
                  <c:v>45673.666666666599</c:v>
                </c:pt>
                <c:pt idx="996">
                  <c:v>45674.666666666599</c:v>
                </c:pt>
                <c:pt idx="997">
                  <c:v>45678.666666666599</c:v>
                </c:pt>
                <c:pt idx="998">
                  <c:v>45679.666666666599</c:v>
                </c:pt>
                <c:pt idx="999">
                  <c:v>45680.666666666599</c:v>
                </c:pt>
                <c:pt idx="1000">
                  <c:v>45681.666666666599</c:v>
                </c:pt>
                <c:pt idx="1001">
                  <c:v>45684.666666666599</c:v>
                </c:pt>
                <c:pt idx="1002">
                  <c:v>45685.666666666599</c:v>
                </c:pt>
                <c:pt idx="1003">
                  <c:v>45686.666666666599</c:v>
                </c:pt>
                <c:pt idx="1004">
                  <c:v>45687.666666666599</c:v>
                </c:pt>
                <c:pt idx="1005">
                  <c:v>45688.666666666599</c:v>
                </c:pt>
                <c:pt idx="1006">
                  <c:v>45691.666666666599</c:v>
                </c:pt>
                <c:pt idx="1007">
                  <c:v>45692.666666666599</c:v>
                </c:pt>
                <c:pt idx="1008">
                  <c:v>45693.666666666599</c:v>
                </c:pt>
                <c:pt idx="1009">
                  <c:v>45694.666666666599</c:v>
                </c:pt>
                <c:pt idx="1010">
                  <c:v>45695.666666666599</c:v>
                </c:pt>
                <c:pt idx="1011">
                  <c:v>45698.666666666599</c:v>
                </c:pt>
                <c:pt idx="1012">
                  <c:v>45699.666666666599</c:v>
                </c:pt>
                <c:pt idx="1013">
                  <c:v>45700.666666666599</c:v>
                </c:pt>
                <c:pt idx="1014">
                  <c:v>45701.666666666599</c:v>
                </c:pt>
                <c:pt idx="1015">
                  <c:v>45702.666666666599</c:v>
                </c:pt>
                <c:pt idx="1016">
                  <c:v>45706.666666666599</c:v>
                </c:pt>
                <c:pt idx="1017">
                  <c:v>45707.666666666599</c:v>
                </c:pt>
                <c:pt idx="1018">
                  <c:v>45708.666666666599</c:v>
                </c:pt>
                <c:pt idx="1019">
                  <c:v>45709.666666666599</c:v>
                </c:pt>
                <c:pt idx="1020">
                  <c:v>45712.666666666599</c:v>
                </c:pt>
                <c:pt idx="1021">
                  <c:v>45713.666666666599</c:v>
                </c:pt>
                <c:pt idx="1022">
                  <c:v>45714.666666666599</c:v>
                </c:pt>
                <c:pt idx="1023">
                  <c:v>45715.666666666599</c:v>
                </c:pt>
                <c:pt idx="1024">
                  <c:v>45716.666666666599</c:v>
                </c:pt>
                <c:pt idx="1025">
                  <c:v>45719.666666666599</c:v>
                </c:pt>
                <c:pt idx="1026">
                  <c:v>45720.666666666599</c:v>
                </c:pt>
                <c:pt idx="1027">
                  <c:v>45721.666666666599</c:v>
                </c:pt>
                <c:pt idx="1028">
                  <c:v>45722.666666666599</c:v>
                </c:pt>
                <c:pt idx="1029">
                  <c:v>45723.666666666599</c:v>
                </c:pt>
                <c:pt idx="1030">
                  <c:v>45726.666666666599</c:v>
                </c:pt>
                <c:pt idx="1031">
                  <c:v>45727.666666666599</c:v>
                </c:pt>
                <c:pt idx="1032">
                  <c:v>45728.666666666599</c:v>
                </c:pt>
                <c:pt idx="1033">
                  <c:v>45729.666666666599</c:v>
                </c:pt>
                <c:pt idx="1034">
                  <c:v>45730.666666666599</c:v>
                </c:pt>
                <c:pt idx="1035">
                  <c:v>45733.666666666599</c:v>
                </c:pt>
                <c:pt idx="1036">
                  <c:v>45734.666666666599</c:v>
                </c:pt>
                <c:pt idx="1037">
                  <c:v>45735.666666666599</c:v>
                </c:pt>
                <c:pt idx="1038">
                  <c:v>45736.666666666599</c:v>
                </c:pt>
                <c:pt idx="1039">
                  <c:v>45737.666666666599</c:v>
                </c:pt>
                <c:pt idx="1040">
                  <c:v>45740.666666666599</c:v>
                </c:pt>
                <c:pt idx="1041">
                  <c:v>45741.666666666599</c:v>
                </c:pt>
                <c:pt idx="1042">
                  <c:v>45742.666666666599</c:v>
                </c:pt>
                <c:pt idx="1043">
                  <c:v>45743.666666666599</c:v>
                </c:pt>
                <c:pt idx="1044">
                  <c:v>45744.666666666599</c:v>
                </c:pt>
                <c:pt idx="1045">
                  <c:v>45747.666666666599</c:v>
                </c:pt>
                <c:pt idx="1046">
                  <c:v>45748.666666666599</c:v>
                </c:pt>
                <c:pt idx="1047">
                  <c:v>45749.666666666599</c:v>
                </c:pt>
                <c:pt idx="1048">
                  <c:v>45750.666666666599</c:v>
                </c:pt>
                <c:pt idx="1049">
                  <c:v>45751.666666666599</c:v>
                </c:pt>
                <c:pt idx="1050">
                  <c:v>45754.666666666599</c:v>
                </c:pt>
                <c:pt idx="1051">
                  <c:v>45755.666666666599</c:v>
                </c:pt>
                <c:pt idx="1052">
                  <c:v>45756.666666666599</c:v>
                </c:pt>
                <c:pt idx="1053">
                  <c:v>45757.666666666599</c:v>
                </c:pt>
                <c:pt idx="1054">
                  <c:v>45758.666666666599</c:v>
                </c:pt>
                <c:pt idx="1055">
                  <c:v>45761.666666666599</c:v>
                </c:pt>
                <c:pt idx="1056">
                  <c:v>45762.666666666599</c:v>
                </c:pt>
                <c:pt idx="1057">
                  <c:v>45763.666666666599</c:v>
                </c:pt>
                <c:pt idx="1058">
                  <c:v>45764.666666666599</c:v>
                </c:pt>
                <c:pt idx="1059">
                  <c:v>45768.666666666599</c:v>
                </c:pt>
                <c:pt idx="1060">
                  <c:v>45769.666666666599</c:v>
                </c:pt>
                <c:pt idx="1061">
                  <c:v>45770.666666666599</c:v>
                </c:pt>
                <c:pt idx="1062">
                  <c:v>45771.666666666599</c:v>
                </c:pt>
                <c:pt idx="1063">
                  <c:v>45772.666666666599</c:v>
                </c:pt>
                <c:pt idx="1064">
                  <c:v>45775.666666666599</c:v>
                </c:pt>
                <c:pt idx="1065">
                  <c:v>45776.666666666599</c:v>
                </c:pt>
                <c:pt idx="1066">
                  <c:v>45777.666666666599</c:v>
                </c:pt>
                <c:pt idx="1067">
                  <c:v>45778.666666666599</c:v>
                </c:pt>
                <c:pt idx="1068">
                  <c:v>45779.666666666599</c:v>
                </c:pt>
                <c:pt idx="1069">
                  <c:v>45782.666666666599</c:v>
                </c:pt>
                <c:pt idx="1070">
                  <c:v>45783.666666666599</c:v>
                </c:pt>
                <c:pt idx="1071">
                  <c:v>45784.666666666599</c:v>
                </c:pt>
                <c:pt idx="1072">
                  <c:v>45785.666666666599</c:v>
                </c:pt>
                <c:pt idx="1073">
                  <c:v>45786.666666666599</c:v>
                </c:pt>
                <c:pt idx="1074">
                  <c:v>45789.666666666599</c:v>
                </c:pt>
                <c:pt idx="1075">
                  <c:v>45790.666666666599</c:v>
                </c:pt>
                <c:pt idx="1076">
                  <c:v>45791.666666666599</c:v>
                </c:pt>
                <c:pt idx="1077">
                  <c:v>45792.666666666599</c:v>
                </c:pt>
                <c:pt idx="1078">
                  <c:v>45793.666666666599</c:v>
                </c:pt>
                <c:pt idx="1079">
                  <c:v>45796.666666666599</c:v>
                </c:pt>
                <c:pt idx="1080">
                  <c:v>45797.666666666599</c:v>
                </c:pt>
                <c:pt idx="1081">
                  <c:v>45798.666666666599</c:v>
                </c:pt>
                <c:pt idx="1082">
                  <c:v>45799.666666666599</c:v>
                </c:pt>
                <c:pt idx="1083">
                  <c:v>45800.666666666599</c:v>
                </c:pt>
                <c:pt idx="1084">
                  <c:v>45804.666666666599</c:v>
                </c:pt>
                <c:pt idx="1085">
                  <c:v>45805.666666666599</c:v>
                </c:pt>
                <c:pt idx="1086">
                  <c:v>45806.666666666599</c:v>
                </c:pt>
                <c:pt idx="1087">
                  <c:v>45807.666666666599</c:v>
                </c:pt>
                <c:pt idx="1088">
                  <c:v>45810.666666666599</c:v>
                </c:pt>
                <c:pt idx="1089">
                  <c:v>45811.666666666599</c:v>
                </c:pt>
                <c:pt idx="1090">
                  <c:v>45812.666666666599</c:v>
                </c:pt>
                <c:pt idx="1091">
                  <c:v>45813.666666666599</c:v>
                </c:pt>
                <c:pt idx="1092">
                  <c:v>45814.666666666599</c:v>
                </c:pt>
                <c:pt idx="1093">
                  <c:v>45817.666666666599</c:v>
                </c:pt>
                <c:pt idx="1094">
                  <c:v>45818.666666666599</c:v>
                </c:pt>
                <c:pt idx="1095">
                  <c:v>45819.666666666599</c:v>
                </c:pt>
                <c:pt idx="1096">
                  <c:v>45820.666666666599</c:v>
                </c:pt>
                <c:pt idx="1097">
                  <c:v>45821.666666666599</c:v>
                </c:pt>
                <c:pt idx="1098">
                  <c:v>45824.666666666599</c:v>
                </c:pt>
                <c:pt idx="1099">
                  <c:v>45825.666666666599</c:v>
                </c:pt>
                <c:pt idx="1100">
                  <c:v>45826.666666666599</c:v>
                </c:pt>
                <c:pt idx="1101">
                  <c:v>45828.666666666599</c:v>
                </c:pt>
                <c:pt idx="1102">
                  <c:v>45831.666666666599</c:v>
                </c:pt>
                <c:pt idx="1103">
                  <c:v>45832.666666666599</c:v>
                </c:pt>
                <c:pt idx="1104">
                  <c:v>45833.666666666599</c:v>
                </c:pt>
                <c:pt idx="1105">
                  <c:v>45834.666666666599</c:v>
                </c:pt>
                <c:pt idx="1106">
                  <c:v>45835.666666666599</c:v>
                </c:pt>
                <c:pt idx="1107">
                  <c:v>45838.666666666599</c:v>
                </c:pt>
                <c:pt idx="1108">
                  <c:v>45839.666666666599</c:v>
                </c:pt>
                <c:pt idx="1109">
                  <c:v>45840.666666666599</c:v>
                </c:pt>
                <c:pt idx="1110">
                  <c:v>45841.552083333299</c:v>
                </c:pt>
                <c:pt idx="1111">
                  <c:v>45845.666666666599</c:v>
                </c:pt>
                <c:pt idx="1112">
                  <c:v>45846.666666666599</c:v>
                </c:pt>
                <c:pt idx="1113">
                  <c:v>45847.666666666599</c:v>
                </c:pt>
                <c:pt idx="1114">
                  <c:v>45848.666666666599</c:v>
                </c:pt>
                <c:pt idx="1115">
                  <c:v>45849.666666666599</c:v>
                </c:pt>
                <c:pt idx="1116">
                  <c:v>45852.666666666599</c:v>
                </c:pt>
                <c:pt idx="1117">
                  <c:v>45853.666666666599</c:v>
                </c:pt>
                <c:pt idx="1118">
                  <c:v>45854.666666666599</c:v>
                </c:pt>
                <c:pt idx="1119">
                  <c:v>45855.666666666599</c:v>
                </c:pt>
                <c:pt idx="1120">
                  <c:v>45856.666666666599</c:v>
                </c:pt>
                <c:pt idx="1121">
                  <c:v>45859.666666666599</c:v>
                </c:pt>
                <c:pt idx="1122">
                  <c:v>45860.666666666599</c:v>
                </c:pt>
                <c:pt idx="1123">
                  <c:v>45861.666666666599</c:v>
                </c:pt>
                <c:pt idx="1124">
                  <c:v>45862.666666666599</c:v>
                </c:pt>
                <c:pt idx="1125">
                  <c:v>45863.666666666599</c:v>
                </c:pt>
                <c:pt idx="1126">
                  <c:v>45866.666666666599</c:v>
                </c:pt>
                <c:pt idx="1127">
                  <c:v>45867.666666666599</c:v>
                </c:pt>
                <c:pt idx="1128">
                  <c:v>45868.666666666599</c:v>
                </c:pt>
                <c:pt idx="1129">
                  <c:v>45869.666666666599</c:v>
                </c:pt>
                <c:pt idx="1130">
                  <c:v>45870.666666666599</c:v>
                </c:pt>
                <c:pt idx="1131">
                  <c:v>45873.666666666599</c:v>
                </c:pt>
                <c:pt idx="1132">
                  <c:v>45874.666666666599</c:v>
                </c:pt>
                <c:pt idx="1133">
                  <c:v>45875.666666666599</c:v>
                </c:pt>
                <c:pt idx="1134">
                  <c:v>45876.666666666599</c:v>
                </c:pt>
                <c:pt idx="1135">
                  <c:v>45877.666666666599</c:v>
                </c:pt>
                <c:pt idx="1136">
                  <c:v>45880.666666666599</c:v>
                </c:pt>
                <c:pt idx="1137">
                  <c:v>45881.666666666599</c:v>
                </c:pt>
                <c:pt idx="1138">
                  <c:v>45882.666666666599</c:v>
                </c:pt>
                <c:pt idx="1139">
                  <c:v>45883.666666666599</c:v>
                </c:pt>
                <c:pt idx="1140">
                  <c:v>45884.666666666599</c:v>
                </c:pt>
                <c:pt idx="1141">
                  <c:v>45887.666666666599</c:v>
                </c:pt>
                <c:pt idx="1142">
                  <c:v>45888.666666666599</c:v>
                </c:pt>
                <c:pt idx="1143">
                  <c:v>45889.666666666599</c:v>
                </c:pt>
                <c:pt idx="1144">
                  <c:v>45890.666666666599</c:v>
                </c:pt>
                <c:pt idx="1145">
                  <c:v>45891.666666666599</c:v>
                </c:pt>
                <c:pt idx="1146">
                  <c:v>45894.666666666599</c:v>
                </c:pt>
                <c:pt idx="1147">
                  <c:v>45895.666666666599</c:v>
                </c:pt>
                <c:pt idx="1148">
                  <c:v>45896.666666666599</c:v>
                </c:pt>
                <c:pt idx="1149">
                  <c:v>45897.666666666599</c:v>
                </c:pt>
                <c:pt idx="1150">
                  <c:v>45898.666666666599</c:v>
                </c:pt>
                <c:pt idx="1151">
                  <c:v>45902.666666666599</c:v>
                </c:pt>
                <c:pt idx="1152">
                  <c:v>45903.666666666599</c:v>
                </c:pt>
                <c:pt idx="1153">
                  <c:v>45904.666666666599</c:v>
                </c:pt>
                <c:pt idx="1154">
                  <c:v>45905.666666666599</c:v>
                </c:pt>
                <c:pt idx="1155">
                  <c:v>45908.666666666599</c:v>
                </c:pt>
                <c:pt idx="1156">
                  <c:v>45909.666666666599</c:v>
                </c:pt>
                <c:pt idx="1157">
                  <c:v>45910.666666666599</c:v>
                </c:pt>
                <c:pt idx="1158">
                  <c:v>45911.666666666599</c:v>
                </c:pt>
                <c:pt idx="1159">
                  <c:v>45912.666666666599</c:v>
                </c:pt>
                <c:pt idx="1160">
                  <c:v>45915.666666666599</c:v>
                </c:pt>
                <c:pt idx="1161">
                  <c:v>45916.666666666599</c:v>
                </c:pt>
                <c:pt idx="1162">
                  <c:v>45917.666666666599</c:v>
                </c:pt>
                <c:pt idx="1163">
                  <c:v>45918.666666666599</c:v>
                </c:pt>
                <c:pt idx="1164">
                  <c:v>45919.666666666599</c:v>
                </c:pt>
                <c:pt idx="1165">
                  <c:v>45922.666666666599</c:v>
                </c:pt>
                <c:pt idx="1166">
                  <c:v>45923.666666666599</c:v>
                </c:pt>
                <c:pt idx="1167">
                  <c:v>45924.666666666599</c:v>
                </c:pt>
                <c:pt idx="1168">
                  <c:v>45925.666666666599</c:v>
                </c:pt>
                <c:pt idx="1169">
                  <c:v>45926.666666666599</c:v>
                </c:pt>
                <c:pt idx="1170">
                  <c:v>45929.666666666599</c:v>
                </c:pt>
                <c:pt idx="1171">
                  <c:v>45930.666666666599</c:v>
                </c:pt>
                <c:pt idx="1172">
                  <c:v>45931.666666666599</c:v>
                </c:pt>
                <c:pt idx="1173">
                  <c:v>45932.666666666599</c:v>
                </c:pt>
                <c:pt idx="1174">
                  <c:v>45933.666666666599</c:v>
                </c:pt>
                <c:pt idx="1175">
                  <c:v>45936.666666666599</c:v>
                </c:pt>
                <c:pt idx="1176">
                  <c:v>45937.666666666599</c:v>
                </c:pt>
                <c:pt idx="1177">
                  <c:v>45938.666666666599</c:v>
                </c:pt>
                <c:pt idx="1178">
                  <c:v>45939.666666666599</c:v>
                </c:pt>
                <c:pt idx="1179">
                  <c:v>45940.666666666599</c:v>
                </c:pt>
                <c:pt idx="1180">
                  <c:v>45943.666666666599</c:v>
                </c:pt>
                <c:pt idx="1181">
                  <c:v>45944.666666666599</c:v>
                </c:pt>
                <c:pt idx="1182">
                  <c:v>45945.666666666599</c:v>
                </c:pt>
                <c:pt idx="1183">
                  <c:v>45946.666666666599</c:v>
                </c:pt>
                <c:pt idx="1184">
                  <c:v>45947.666666666599</c:v>
                </c:pt>
                <c:pt idx="1185">
                  <c:v>45950.666666666599</c:v>
                </c:pt>
                <c:pt idx="1186">
                  <c:v>45951.666666666599</c:v>
                </c:pt>
                <c:pt idx="1187">
                  <c:v>45952.666666666599</c:v>
                </c:pt>
                <c:pt idx="1188">
                  <c:v>45953.666666666599</c:v>
                </c:pt>
                <c:pt idx="1189">
                  <c:v>45954.666666666599</c:v>
                </c:pt>
                <c:pt idx="1190">
                  <c:v>45957.666666666599</c:v>
                </c:pt>
                <c:pt idx="1191">
                  <c:v>45958.666666666599</c:v>
                </c:pt>
                <c:pt idx="1192">
                  <c:v>45959.666666666599</c:v>
                </c:pt>
                <c:pt idx="1193">
                  <c:v>45960.666666666599</c:v>
                </c:pt>
                <c:pt idx="1194">
                  <c:v>45961.666666666599</c:v>
                </c:pt>
                <c:pt idx="1195">
                  <c:v>45964.666666666599</c:v>
                </c:pt>
                <c:pt idx="1196">
                  <c:v>45965.666666666599</c:v>
                </c:pt>
                <c:pt idx="1197">
                  <c:v>45966.666666666599</c:v>
                </c:pt>
                <c:pt idx="1198">
                  <c:v>45967.666666666599</c:v>
                </c:pt>
                <c:pt idx="1199">
                  <c:v>45968.666666666599</c:v>
                </c:pt>
                <c:pt idx="1200">
                  <c:v>45971.666666666599</c:v>
                </c:pt>
                <c:pt idx="1201">
                  <c:v>45972.666666666599</c:v>
                </c:pt>
                <c:pt idx="1202">
                  <c:v>45973.666666666599</c:v>
                </c:pt>
                <c:pt idx="1203">
                  <c:v>45974.666666666599</c:v>
                </c:pt>
                <c:pt idx="1204">
                  <c:v>45975.666666666599</c:v>
                </c:pt>
                <c:pt idx="1205">
                  <c:v>45978.666666666599</c:v>
                </c:pt>
                <c:pt idx="1206">
                  <c:v>45979.666666666599</c:v>
                </c:pt>
                <c:pt idx="1207">
                  <c:v>45980.666666666599</c:v>
                </c:pt>
                <c:pt idx="1208">
                  <c:v>45981.666666666599</c:v>
                </c:pt>
                <c:pt idx="1209">
                  <c:v>45982.666666666599</c:v>
                </c:pt>
                <c:pt idx="1210">
                  <c:v>45985.666666666599</c:v>
                </c:pt>
                <c:pt idx="1211">
                  <c:v>45986.666666666599</c:v>
                </c:pt>
                <c:pt idx="1212">
                  <c:v>45987.666666666599</c:v>
                </c:pt>
                <c:pt idx="1213">
                  <c:v>45989.552083333299</c:v>
                </c:pt>
                <c:pt idx="1214">
                  <c:v>45992.666666666599</c:v>
                </c:pt>
                <c:pt idx="1215">
                  <c:v>45993.666666666599</c:v>
                </c:pt>
                <c:pt idx="1216">
                  <c:v>45994.666666666599</c:v>
                </c:pt>
                <c:pt idx="1217">
                  <c:v>45995.666666666599</c:v>
                </c:pt>
                <c:pt idx="1218">
                  <c:v>45996.666666666599</c:v>
                </c:pt>
                <c:pt idx="1219">
                  <c:v>45999.666666666599</c:v>
                </c:pt>
                <c:pt idx="1220">
                  <c:v>46000.666666666599</c:v>
                </c:pt>
                <c:pt idx="1221">
                  <c:v>46001.666666666599</c:v>
                </c:pt>
                <c:pt idx="1222">
                  <c:v>46002.666666666599</c:v>
                </c:pt>
                <c:pt idx="1223">
                  <c:v>46003.666666666599</c:v>
                </c:pt>
                <c:pt idx="1224">
                  <c:v>46006.666666666599</c:v>
                </c:pt>
                <c:pt idx="1225">
                  <c:v>46007.666666666599</c:v>
                </c:pt>
                <c:pt idx="1226">
                  <c:v>46008.666666666599</c:v>
                </c:pt>
                <c:pt idx="1227">
                  <c:v>46009.666666666599</c:v>
                </c:pt>
                <c:pt idx="1228">
                  <c:v>46010.666666666599</c:v>
                </c:pt>
                <c:pt idx="1229">
                  <c:v>46013.666666666599</c:v>
                </c:pt>
                <c:pt idx="1230">
                  <c:v>46014.666666666599</c:v>
                </c:pt>
                <c:pt idx="1231">
                  <c:v>46015.541666666599</c:v>
                </c:pt>
                <c:pt idx="1232">
                  <c:v>46017.666666666599</c:v>
                </c:pt>
                <c:pt idx="1233">
                  <c:v>46020.666666666599</c:v>
                </c:pt>
                <c:pt idx="1234">
                  <c:v>46021.666666666599</c:v>
                </c:pt>
                <c:pt idx="1235">
                  <c:v>46022.666666666599</c:v>
                </c:pt>
                <c:pt idx="1236">
                  <c:v>46024.666666666599</c:v>
                </c:pt>
                <c:pt idx="1237">
                  <c:v>46027.666666666599</c:v>
                </c:pt>
                <c:pt idx="1238">
                  <c:v>46028.666666666599</c:v>
                </c:pt>
                <c:pt idx="1239">
                  <c:v>46029.666666666599</c:v>
                </c:pt>
                <c:pt idx="1240">
                  <c:v>46030.666666666599</c:v>
                </c:pt>
                <c:pt idx="1241">
                  <c:v>46031.666666666599</c:v>
                </c:pt>
                <c:pt idx="1242">
                  <c:v>46034.666666666599</c:v>
                </c:pt>
                <c:pt idx="1243">
                  <c:v>46035.666666666599</c:v>
                </c:pt>
                <c:pt idx="1244">
                  <c:v>46036.666666666599</c:v>
                </c:pt>
                <c:pt idx="1245">
                  <c:v>46037.666666666599</c:v>
                </c:pt>
                <c:pt idx="1246">
                  <c:v>46038.666666666599</c:v>
                </c:pt>
                <c:pt idx="1247">
                  <c:v>46042.666666666599</c:v>
                </c:pt>
                <c:pt idx="1248">
                  <c:v>46043.666666666599</c:v>
                </c:pt>
                <c:pt idx="1249">
                  <c:v>46044.666666666599</c:v>
                </c:pt>
                <c:pt idx="1250">
                  <c:v>46045.666666666599</c:v>
                </c:pt>
                <c:pt idx="1251">
                  <c:v>46048.666666666599</c:v>
                </c:pt>
                <c:pt idx="1252">
                  <c:v>46049.666666666599</c:v>
                </c:pt>
                <c:pt idx="1253">
                  <c:v>46050.666666666599</c:v>
                </c:pt>
                <c:pt idx="1254">
                  <c:v>46051.666666666599</c:v>
                </c:pt>
              </c:numCache>
            </c:numRef>
          </c:cat>
          <c:val>
            <c:numRef>
              <c:f>Sheet1!$P$2:$P$1256</c:f>
              <c:numCache>
                <c:formatCode>General</c:formatCode>
                <c:ptCount val="1255"/>
                <c:pt idx="0">
                  <c:v>1</c:v>
                </c:pt>
                <c:pt idx="1">
                  <c:v>1.0293579380814399</c:v>
                </c:pt>
                <c:pt idx="2">
                  <c:v>1.0213512276955927</c:v>
                </c:pt>
                <c:pt idx="3">
                  <c:v>1.0476589903919478</c:v>
                </c:pt>
                <c:pt idx="4">
                  <c:v>1.0428549641604394</c:v>
                </c:pt>
                <c:pt idx="5">
                  <c:v>1.0439987799298462</c:v>
                </c:pt>
                <c:pt idx="6">
                  <c:v>1.0371358853134058</c:v>
                </c:pt>
                <c:pt idx="7">
                  <c:v>1.0324081134665246</c:v>
                </c:pt>
                <c:pt idx="8">
                  <c:v>1.0304254994662196</c:v>
                </c:pt>
                <c:pt idx="9">
                  <c:v>1.0322556046972704</c:v>
                </c:pt>
                <c:pt idx="10">
                  <c:v>1.0156321488485591</c:v>
                </c:pt>
                <c:pt idx="11">
                  <c:v>0.99771236846118683</c:v>
                </c:pt>
                <c:pt idx="12">
                  <c:v>0.98909562299832265</c:v>
                </c:pt>
                <c:pt idx="13">
                  <c:v>0.99031569315235657</c:v>
                </c:pt>
                <c:pt idx="14">
                  <c:v>0.96080524630166264</c:v>
                </c:pt>
                <c:pt idx="15">
                  <c:v>0.95973768491688305</c:v>
                </c:pt>
                <c:pt idx="16">
                  <c:v>0.9558487113009001</c:v>
                </c:pt>
                <c:pt idx="17">
                  <c:v>0.92260179960347743</c:v>
                </c:pt>
                <c:pt idx="18">
                  <c:v>0.92466066798840973</c:v>
                </c:pt>
                <c:pt idx="19">
                  <c:v>0.97445478114991657</c:v>
                </c:pt>
                <c:pt idx="20">
                  <c:v>0.95409486045447656</c:v>
                </c:pt>
                <c:pt idx="21">
                  <c:v>0.93076101875857897</c:v>
                </c:pt>
                <c:pt idx="22">
                  <c:v>0.91604392252554556</c:v>
                </c:pt>
                <c:pt idx="23">
                  <c:v>0.92588073814244354</c:v>
                </c:pt>
                <c:pt idx="24">
                  <c:v>0.8872960195211228</c:v>
                </c:pt>
                <c:pt idx="25">
                  <c:v>0.92336434344974883</c:v>
                </c:pt>
                <c:pt idx="26">
                  <c:v>0.91490010675613898</c:v>
                </c:pt>
                <c:pt idx="27">
                  <c:v>0.92999847491230792</c:v>
                </c:pt>
                <c:pt idx="28">
                  <c:v>0.92290681714198619</c:v>
                </c:pt>
                <c:pt idx="29">
                  <c:v>0.94547811499161249</c:v>
                </c:pt>
                <c:pt idx="30">
                  <c:v>0.95752630776269687</c:v>
                </c:pt>
                <c:pt idx="31">
                  <c:v>0.95134970260790053</c:v>
                </c:pt>
                <c:pt idx="32">
                  <c:v>0.91909409791063035</c:v>
                </c:pt>
                <c:pt idx="33">
                  <c:v>0.91497636114076608</c:v>
                </c:pt>
                <c:pt idx="34">
                  <c:v>0.94090285191398559</c:v>
                </c:pt>
                <c:pt idx="35">
                  <c:v>0.93442122922068072</c:v>
                </c:pt>
                <c:pt idx="36">
                  <c:v>0.91573890498703725</c:v>
                </c:pt>
                <c:pt idx="37">
                  <c:v>0.91955162421839309</c:v>
                </c:pt>
                <c:pt idx="38">
                  <c:v>0.92427939606527409</c:v>
                </c:pt>
                <c:pt idx="39">
                  <c:v>0.92565197498856222</c:v>
                </c:pt>
                <c:pt idx="40">
                  <c:v>0.91429007167912202</c:v>
                </c:pt>
                <c:pt idx="41">
                  <c:v>0.93144730822022326</c:v>
                </c:pt>
                <c:pt idx="42">
                  <c:v>0.93792893091352814</c:v>
                </c:pt>
                <c:pt idx="43">
                  <c:v>0.96004270245539192</c:v>
                </c:pt>
                <c:pt idx="44">
                  <c:v>0.96240658837883253</c:v>
                </c:pt>
                <c:pt idx="45">
                  <c:v>0.97529357938081529</c:v>
                </c:pt>
                <c:pt idx="46">
                  <c:v>0.99405215799908586</c:v>
                </c:pt>
                <c:pt idx="47">
                  <c:v>1.0141833155406446</c:v>
                </c:pt>
                <c:pt idx="48">
                  <c:v>1.0007625438462722</c:v>
                </c:pt>
                <c:pt idx="49">
                  <c:v>1.0250876925423222</c:v>
                </c:pt>
                <c:pt idx="50">
                  <c:v>1.0067866402318144</c:v>
                </c:pt>
                <c:pt idx="51">
                  <c:v>1.025621473234712</c:v>
                </c:pt>
                <c:pt idx="52">
                  <c:v>1.0230288241573899</c:v>
                </c:pt>
                <c:pt idx="53">
                  <c:v>1.0282141223120338</c:v>
                </c:pt>
                <c:pt idx="54">
                  <c:v>1.0150221137715427</c:v>
                </c:pt>
                <c:pt idx="55">
                  <c:v>1.0179960347720001</c:v>
                </c:pt>
                <c:pt idx="56">
                  <c:v>1.00610035077017</c:v>
                </c:pt>
                <c:pt idx="57">
                  <c:v>1.0242488943114236</c:v>
                </c:pt>
                <c:pt idx="58">
                  <c:v>1.0272990696965085</c:v>
                </c:pt>
                <c:pt idx="59">
                  <c:v>1.0247826750038136</c:v>
                </c:pt>
                <c:pt idx="60">
                  <c:v>1.0186060698490174</c:v>
                </c:pt>
                <c:pt idx="61">
                  <c:v>1.0178435260027461</c:v>
                </c:pt>
                <c:pt idx="62">
                  <c:v>1.0024401403080687</c:v>
                </c:pt>
                <c:pt idx="63">
                  <c:v>1.0106756138477972</c:v>
                </c:pt>
                <c:pt idx="64">
                  <c:v>0.97491230745767976</c:v>
                </c:pt>
                <c:pt idx="65">
                  <c:v>0.97681866707335763</c:v>
                </c:pt>
                <c:pt idx="66">
                  <c:v>0.98932438615220486</c:v>
                </c:pt>
                <c:pt idx="67">
                  <c:v>0.99290834222967939</c:v>
                </c:pt>
                <c:pt idx="68">
                  <c:v>0.96728686899496819</c:v>
                </c:pt>
                <c:pt idx="69">
                  <c:v>0.96011895684001924</c:v>
                </c:pt>
                <c:pt idx="70">
                  <c:v>0.93617508006710481</c:v>
                </c:pt>
                <c:pt idx="71">
                  <c:v>0.95295104468507041</c:v>
                </c:pt>
                <c:pt idx="72">
                  <c:v>0.97186213207259531</c:v>
                </c:pt>
                <c:pt idx="73">
                  <c:v>0.96286411468659561</c:v>
                </c:pt>
                <c:pt idx="74">
                  <c:v>0.95203599206954515</c:v>
                </c:pt>
                <c:pt idx="75">
                  <c:v>0.95081592191551123</c:v>
                </c:pt>
                <c:pt idx="76">
                  <c:v>0.97079457068781561</c:v>
                </c:pt>
                <c:pt idx="77">
                  <c:v>0.95645874637791783</c:v>
                </c:pt>
                <c:pt idx="78">
                  <c:v>0.96919322861064616</c:v>
                </c:pt>
                <c:pt idx="79">
                  <c:v>0.96766814091810394</c:v>
                </c:pt>
                <c:pt idx="80">
                  <c:v>0.9672868689949683</c:v>
                </c:pt>
                <c:pt idx="81">
                  <c:v>0.95531493060851114</c:v>
                </c:pt>
                <c:pt idx="82">
                  <c:v>0.95020588683849438</c:v>
                </c:pt>
                <c:pt idx="83">
                  <c:v>0.94768949214579956</c:v>
                </c:pt>
                <c:pt idx="84">
                  <c:v>0.95363733414671459</c:v>
                </c:pt>
                <c:pt idx="85">
                  <c:v>0.94204666768339296</c:v>
                </c:pt>
                <c:pt idx="86">
                  <c:v>0.95996644807076525</c:v>
                </c:pt>
                <c:pt idx="87">
                  <c:v>0.96004270245539236</c:v>
                </c:pt>
                <c:pt idx="88">
                  <c:v>0.96644807076407002</c:v>
                </c:pt>
                <c:pt idx="89">
                  <c:v>0.9694219917645277</c:v>
                </c:pt>
                <c:pt idx="90">
                  <c:v>0.96164404453256191</c:v>
                </c:pt>
                <c:pt idx="91">
                  <c:v>0.97109958822632436</c:v>
                </c:pt>
                <c:pt idx="92">
                  <c:v>0.99496721061461169</c:v>
                </c:pt>
                <c:pt idx="93">
                  <c:v>0.98856184230593391</c:v>
                </c:pt>
                <c:pt idx="94">
                  <c:v>0.99245081592191708</c:v>
                </c:pt>
                <c:pt idx="95">
                  <c:v>1.0049565350007641</c:v>
                </c:pt>
                <c:pt idx="96">
                  <c:v>0.99481470184535781</c:v>
                </c:pt>
                <c:pt idx="97">
                  <c:v>1.0088455086167472</c:v>
                </c:pt>
                <c:pt idx="98">
                  <c:v>1.0216562452341025</c:v>
                </c:pt>
                <c:pt idx="99">
                  <c:v>1.0195211224645431</c:v>
                </c:pt>
                <c:pt idx="100">
                  <c:v>1.0173097453103568</c:v>
                </c:pt>
                <c:pt idx="101">
                  <c:v>1.0150221137715434</c:v>
                </c:pt>
                <c:pt idx="102">
                  <c:v>1.0277565960042716</c:v>
                </c:pt>
                <c:pt idx="103">
                  <c:v>1.0395760256214748</c:v>
                </c:pt>
                <c:pt idx="104">
                  <c:v>1.0443800518529831</c:v>
                </c:pt>
                <c:pt idx="105">
                  <c:v>1.0467439377764236</c:v>
                </c:pt>
                <c:pt idx="106">
                  <c:v>1.0672563672411179</c:v>
                </c:pt>
                <c:pt idx="107">
                  <c:v>1.082964770474304</c:v>
                </c:pt>
                <c:pt idx="108">
                  <c:v>1.1024096385542184</c:v>
                </c:pt>
                <c:pt idx="109">
                  <c:v>1.0922678053988122</c:v>
                </c:pt>
                <c:pt idx="110">
                  <c:v>1.106527375324083</c:v>
                </c:pt>
                <c:pt idx="111">
                  <c:v>1.1018758578618288</c:v>
                </c:pt>
                <c:pt idx="112">
                  <c:v>1.11056885770932</c:v>
                </c:pt>
                <c:pt idx="113">
                  <c:v>1.1373341467134381</c:v>
                </c:pt>
                <c:pt idx="114">
                  <c:v>1.1322251029434212</c:v>
                </c:pt>
                <c:pt idx="115">
                  <c:v>1.1162879365563538</c:v>
                </c:pt>
                <c:pt idx="116">
                  <c:v>1.0862437090132702</c:v>
                </c:pt>
                <c:pt idx="117">
                  <c:v>1.1144578313253035</c:v>
                </c:pt>
                <c:pt idx="118">
                  <c:v>1.1087387524782699</c:v>
                </c:pt>
                <c:pt idx="119">
                  <c:v>1.1194143663260661</c:v>
                </c:pt>
                <c:pt idx="120">
                  <c:v>1.1328351380204384</c:v>
                </c:pt>
                <c:pt idx="121">
                  <c:v>1.1361140765594047</c:v>
                </c:pt>
                <c:pt idx="122">
                  <c:v>1.119185603172185</c:v>
                </c:pt>
                <c:pt idx="123">
                  <c:v>1.105536068323931</c:v>
                </c:pt>
                <c:pt idx="124">
                  <c:v>1.1105688577093207</c:v>
                </c:pt>
                <c:pt idx="125">
                  <c:v>1.1122464541711174</c:v>
                </c:pt>
                <c:pt idx="126">
                  <c:v>1.1096538050937954</c:v>
                </c:pt>
                <c:pt idx="127">
                  <c:v>1.1236846118651846</c:v>
                </c:pt>
                <c:pt idx="128">
                  <c:v>1.1205581820954726</c:v>
                </c:pt>
                <c:pt idx="129">
                  <c:v>1.121396980326371</c:v>
                </c:pt>
                <c:pt idx="130">
                  <c:v>1.1143815769406762</c:v>
                </c:pt>
                <c:pt idx="131">
                  <c:v>1.1140003050175407</c:v>
                </c:pt>
                <c:pt idx="132">
                  <c:v>1.1102638401708118</c:v>
                </c:pt>
                <c:pt idx="133">
                  <c:v>1.112246454171117</c:v>
                </c:pt>
                <c:pt idx="134">
                  <c:v>1.1353515327131329</c:v>
                </c:pt>
                <c:pt idx="135">
                  <c:v>1.1369528747903024</c:v>
                </c:pt>
                <c:pt idx="136">
                  <c:v>1.1523562604849797</c:v>
                </c:pt>
                <c:pt idx="137">
                  <c:v>1.1452646027146578</c:v>
                </c:pt>
                <c:pt idx="138">
                  <c:v>1.1160591734024723</c:v>
                </c:pt>
                <c:pt idx="139">
                  <c:v>1.1186518224797941</c:v>
                </c:pt>
                <c:pt idx="140">
                  <c:v>1.1300137257892344</c:v>
                </c:pt>
                <c:pt idx="141">
                  <c:v>1.1416043922525561</c:v>
                </c:pt>
                <c:pt idx="142">
                  <c:v>1.1409181027909121</c:v>
                </c:pt>
                <c:pt idx="143">
                  <c:v>1.1313100503278954</c:v>
                </c:pt>
                <c:pt idx="144">
                  <c:v>1.1250571907884719</c:v>
                </c:pt>
                <c:pt idx="145">
                  <c:v>1.1331401555589462</c:v>
                </c:pt>
                <c:pt idx="146">
                  <c:v>1.1676071374104027</c:v>
                </c:pt>
                <c:pt idx="147">
                  <c:v>1.1577703217935047</c:v>
                </c:pt>
                <c:pt idx="148">
                  <c:v>1.1629556199481483</c:v>
                </c:pt>
                <c:pt idx="149">
                  <c:v>1.1716486197956395</c:v>
                </c:pt>
                <c:pt idx="150">
                  <c:v>1.176605154796402</c:v>
                </c:pt>
                <c:pt idx="151">
                  <c:v>1.1948299527222825</c:v>
                </c:pt>
                <c:pt idx="152">
                  <c:v>1.1827817599511983</c:v>
                </c:pt>
                <c:pt idx="153">
                  <c:v>1.1748513039499782</c:v>
                </c:pt>
                <c:pt idx="154">
                  <c:v>1.1359615677901489</c:v>
                </c:pt>
                <c:pt idx="155">
                  <c:v>1.1403843220985217</c:v>
                </c:pt>
                <c:pt idx="156">
                  <c:v>1.129479945096844</c:v>
                </c:pt>
                <c:pt idx="157">
                  <c:v>1.1364190940979115</c:v>
                </c:pt>
                <c:pt idx="158">
                  <c:v>1.1345889888668608</c:v>
                </c:pt>
                <c:pt idx="159">
                  <c:v>1.1137715418636582</c:v>
                </c:pt>
                <c:pt idx="160">
                  <c:v>1.0899801738599979</c:v>
                </c:pt>
                <c:pt idx="161">
                  <c:v>1.0937166387067268</c:v>
                </c:pt>
                <c:pt idx="162">
                  <c:v>1.1121701997864886</c:v>
                </c:pt>
                <c:pt idx="163">
                  <c:v>1.1196431294799463</c:v>
                </c:pt>
                <c:pt idx="164">
                  <c:v>1.12032941894159</c:v>
                </c:pt>
                <c:pt idx="165">
                  <c:v>1.108509989324387</c:v>
                </c:pt>
                <c:pt idx="166">
                  <c:v>1.0821259722434049</c:v>
                </c:pt>
                <c:pt idx="167">
                  <c:v>1.0891413756290997</c:v>
                </c:pt>
                <c:pt idx="168">
                  <c:v>1.0789995424736931</c:v>
                </c:pt>
                <c:pt idx="169">
                  <c:v>1.0877687967058116</c:v>
                </c:pt>
                <c:pt idx="170">
                  <c:v>1.0610035077016937</c:v>
                </c:pt>
                <c:pt idx="171">
                  <c:v>1.0760256214732358</c:v>
                </c:pt>
                <c:pt idx="172">
                  <c:v>1.0828122617050491</c:v>
                </c:pt>
                <c:pt idx="173">
                  <c:v>1.0926490773219468</c:v>
                </c:pt>
                <c:pt idx="174">
                  <c:v>1.0896751563214895</c:v>
                </c:pt>
                <c:pt idx="175">
                  <c:v>1.0889888668598453</c:v>
                </c:pt>
                <c:pt idx="176">
                  <c:v>1.07907579685832</c:v>
                </c:pt>
                <c:pt idx="177">
                  <c:v>1.074500533780693</c:v>
                </c:pt>
                <c:pt idx="178">
                  <c:v>1.096233033399421</c:v>
                </c:pt>
                <c:pt idx="179">
                  <c:v>1.1044685069391498</c:v>
                </c:pt>
                <c:pt idx="180">
                  <c:v>1.1175080067103866</c:v>
                </c:pt>
                <c:pt idx="181">
                  <c:v>1.1343602257129792</c:v>
                </c:pt>
                <c:pt idx="182">
                  <c:v>1.1381729449443352</c:v>
                </c:pt>
                <c:pt idx="183">
                  <c:v>1.1398505414061317</c:v>
                </c:pt>
                <c:pt idx="184">
                  <c:v>1.1338264450205895</c:v>
                </c:pt>
                <c:pt idx="185">
                  <c:v>1.1334451730974537</c:v>
                </c:pt>
                <c:pt idx="186">
                  <c:v>1.1386304712520976</c:v>
                </c:pt>
                <c:pt idx="187">
                  <c:v>1.1350465151746232</c:v>
                </c:pt>
                <c:pt idx="188">
                  <c:v>1.1634131462559103</c:v>
                </c:pt>
                <c:pt idx="189">
                  <c:v>1.1422906817141993</c:v>
                </c:pt>
                <c:pt idx="190">
                  <c:v>1.1358853134055216</c:v>
                </c:pt>
                <c:pt idx="191">
                  <c:v>1.1439682781759961</c:v>
                </c:pt>
                <c:pt idx="192">
                  <c:v>1.1551776727161822</c:v>
                </c:pt>
                <c:pt idx="193">
                  <c:v>1.1511361903309449</c:v>
                </c:pt>
                <c:pt idx="194">
                  <c:v>1.1535763306390128</c:v>
                </c:pt>
                <c:pt idx="195">
                  <c:v>1.147170962330335</c:v>
                </c:pt>
                <c:pt idx="196">
                  <c:v>1.1499923745615384</c:v>
                </c:pt>
                <c:pt idx="197">
                  <c:v>1.1279548574043017</c:v>
                </c:pt>
                <c:pt idx="198">
                  <c:v>1.1275735854811662</c:v>
                </c:pt>
                <c:pt idx="199">
                  <c:v>1.143739515022115</c:v>
                </c:pt>
                <c:pt idx="200">
                  <c:v>1.1438157694067421</c:v>
                </c:pt>
                <c:pt idx="201">
                  <c:v>1.1514412078694536</c:v>
                </c:pt>
                <c:pt idx="202">
                  <c:v>1.1704285496416056</c:v>
                </c:pt>
                <c:pt idx="203">
                  <c:v>1.2038279701082824</c:v>
                </c:pt>
                <c:pt idx="204">
                  <c:v>1.2242641451883496</c:v>
                </c:pt>
                <c:pt idx="205">
                  <c:v>1.227848101265824</c:v>
                </c:pt>
                <c:pt idx="206">
                  <c:v>1.2308220222662813</c:v>
                </c:pt>
                <c:pt idx="207">
                  <c:v>1.2348635046515186</c:v>
                </c:pt>
                <c:pt idx="208">
                  <c:v>1.195745005337808</c:v>
                </c:pt>
                <c:pt idx="209">
                  <c:v>1.2219002592649091</c:v>
                </c:pt>
                <c:pt idx="210">
                  <c:v>1.2604849778862299</c:v>
                </c:pt>
                <c:pt idx="211">
                  <c:v>1.2564434955009929</c:v>
                </c:pt>
                <c:pt idx="212">
                  <c:v>1.2487418026536541</c:v>
                </c:pt>
                <c:pt idx="213">
                  <c:v>1.234100960805248</c:v>
                </c:pt>
                <c:pt idx="214">
                  <c:v>1.2606374866554844</c:v>
                </c:pt>
                <c:pt idx="215">
                  <c:v>1.3053225560469746</c:v>
                </c:pt>
                <c:pt idx="216">
                  <c:v>1.3350617660515498</c:v>
                </c:pt>
                <c:pt idx="217">
                  <c:v>1.3310965380509396</c:v>
                </c:pt>
                <c:pt idx="218">
                  <c:v>1.3683849321335992</c:v>
                </c:pt>
                <c:pt idx="219">
                  <c:v>1.3400945554369392</c:v>
                </c:pt>
                <c:pt idx="220">
                  <c:v>1.329342687204516</c:v>
                </c:pt>
                <c:pt idx="221">
                  <c:v>1.3672411163641927</c:v>
                </c:pt>
                <c:pt idx="222">
                  <c:v>1.3135580295867026</c:v>
                </c:pt>
                <c:pt idx="223">
                  <c:v>1.3050175385084657</c:v>
                </c:pt>
                <c:pt idx="224">
                  <c:v>1.2944181790452967</c:v>
                </c:pt>
                <c:pt idx="225">
                  <c:v>1.3191245996644825</c:v>
                </c:pt>
                <c:pt idx="226">
                  <c:v>1.3393320115906679</c:v>
                </c:pt>
                <c:pt idx="227">
                  <c:v>1.3442122922068034</c:v>
                </c:pt>
                <c:pt idx="228">
                  <c:v>1.3750953179807857</c:v>
                </c:pt>
                <c:pt idx="229">
                  <c:v>1.3671648619795655</c:v>
                </c:pt>
                <c:pt idx="230">
                  <c:v>1.3678511514412095</c:v>
                </c:pt>
                <c:pt idx="231">
                  <c:v>1.3588531340552097</c:v>
                </c:pt>
                <c:pt idx="232">
                  <c:v>1.3540491078237014</c:v>
                </c:pt>
                <c:pt idx="233">
                  <c:v>1.3879060545981408</c:v>
                </c:pt>
                <c:pt idx="234">
                  <c:v>1.3702912917492769</c:v>
                </c:pt>
                <c:pt idx="235">
                  <c:v>1.3338416958975152</c:v>
                </c:pt>
                <c:pt idx="236">
                  <c:v>1.3115754155863975</c:v>
                </c:pt>
                <c:pt idx="237">
                  <c:v>1.3128717401250585</c:v>
                </c:pt>
                <c:pt idx="238">
                  <c:v>1.3130242488943127</c:v>
                </c:pt>
                <c:pt idx="239">
                  <c:v>1.3350617660515494</c:v>
                </c:pt>
                <c:pt idx="240">
                  <c:v>1.3384932133597696</c:v>
                </c:pt>
                <c:pt idx="241">
                  <c:v>1.3130242488943127</c:v>
                </c:pt>
                <c:pt idx="242">
                  <c:v>1.3197346347414987</c:v>
                </c:pt>
                <c:pt idx="243">
                  <c:v>1.2947994509684317</c:v>
                </c:pt>
                <c:pt idx="244">
                  <c:v>1.2675766356565512</c:v>
                </c:pt>
                <c:pt idx="245">
                  <c:v>1.2544608815006872</c:v>
                </c:pt>
                <c:pt idx="246">
                  <c:v>1.2384474607289928</c:v>
                </c:pt>
                <c:pt idx="247">
                  <c:v>1.2324233643434508</c:v>
                </c:pt>
                <c:pt idx="248">
                  <c:v>1.2183925575720616</c:v>
                </c:pt>
                <c:pt idx="249">
                  <c:v>1.2177062681104176</c:v>
                </c:pt>
                <c:pt idx="250">
                  <c:v>1.2141223120329432</c:v>
                </c:pt>
                <c:pt idx="251">
                  <c:v>1.2988409333536695</c:v>
                </c:pt>
                <c:pt idx="252">
                  <c:v>1.332774134512736</c:v>
                </c:pt>
                <c:pt idx="253">
                  <c:v>1.3314778099740752</c:v>
                </c:pt>
                <c:pt idx="254">
                  <c:v>1.3408570992832105</c:v>
                </c:pt>
                <c:pt idx="255">
                  <c:v>1.3184383102028383</c:v>
                </c:pt>
                <c:pt idx="256">
                  <c:v>1.3145493365868552</c:v>
                </c:pt>
                <c:pt idx="257">
                  <c:v>1.3089827665090759</c:v>
                </c:pt>
                <c:pt idx="258">
                  <c:v>1.3331554064358717</c:v>
                </c:pt>
                <c:pt idx="259">
                  <c:v>1.3442122922068034</c:v>
                </c:pt>
                <c:pt idx="260">
                  <c:v>1.3124904682019232</c:v>
                </c:pt>
                <c:pt idx="261">
                  <c:v>1.2859539423516866</c:v>
                </c:pt>
                <c:pt idx="262">
                  <c:v>1.2877840475827373</c:v>
                </c:pt>
                <c:pt idx="263">
                  <c:v>1.3175995119719397</c:v>
                </c:pt>
                <c:pt idx="264">
                  <c:v>1.3157694067408889</c:v>
                </c:pt>
                <c:pt idx="265">
                  <c:v>1.2877840475827371</c:v>
                </c:pt>
                <c:pt idx="266">
                  <c:v>1.2757358548116529</c:v>
                </c:pt>
                <c:pt idx="267">
                  <c:v>1.2530120481927722</c:v>
                </c:pt>
                <c:pt idx="268">
                  <c:v>1.2206039347262478</c:v>
                </c:pt>
                <c:pt idx="269">
                  <c:v>1.2409638554216882</c:v>
                </c:pt>
                <c:pt idx="270">
                  <c:v>1.2570535305780095</c:v>
                </c:pt>
                <c:pt idx="271">
                  <c:v>1.2591123989629418</c:v>
                </c:pt>
                <c:pt idx="272">
                  <c:v>1.2444715571145353</c:v>
                </c:pt>
                <c:pt idx="273">
                  <c:v>1.2700930303492466</c:v>
                </c:pt>
                <c:pt idx="274">
                  <c:v>1.2675766356565517</c:v>
                </c:pt>
                <c:pt idx="275">
                  <c:v>1.244242793960654</c:v>
                </c:pt>
                <c:pt idx="276">
                  <c:v>1.2147323471099603</c:v>
                </c:pt>
                <c:pt idx="277">
                  <c:v>1.2005490315693166</c:v>
                </c:pt>
                <c:pt idx="278">
                  <c:v>1.2425651974988574</c:v>
                </c:pt>
                <c:pt idx="279">
                  <c:v>1.2087845051090451</c:v>
                </c:pt>
                <c:pt idx="280">
                  <c:v>1.179884093335368</c:v>
                </c:pt>
                <c:pt idx="281">
                  <c:v>1.1485435412536233</c:v>
                </c:pt>
                <c:pt idx="282">
                  <c:v>1.1826292511819441</c:v>
                </c:pt>
                <c:pt idx="283">
                  <c:v>1.2169437242641463</c:v>
                </c:pt>
                <c:pt idx="284">
                  <c:v>1.2247979258807391</c:v>
                </c:pt>
                <c:pt idx="285">
                  <c:v>1.25041939911545</c:v>
                </c:pt>
                <c:pt idx="286">
                  <c:v>1.2610950129632463</c:v>
                </c:pt>
                <c:pt idx="287">
                  <c:v>1.2873265212749743</c:v>
                </c:pt>
                <c:pt idx="288">
                  <c:v>1.2979258807381435</c:v>
                </c:pt>
                <c:pt idx="289">
                  <c:v>1.3273600732042101</c:v>
                </c:pt>
                <c:pt idx="290">
                  <c:v>1.3323166082049729</c:v>
                </c:pt>
                <c:pt idx="291">
                  <c:v>1.3390269940521591</c:v>
                </c:pt>
                <c:pt idx="292">
                  <c:v>1.3646484672868702</c:v>
                </c:pt>
                <c:pt idx="293">
                  <c:v>1.3555741955162435</c:v>
                </c:pt>
                <c:pt idx="294">
                  <c:v>1.3314778099740747</c:v>
                </c:pt>
                <c:pt idx="295">
                  <c:v>1.3291901784352611</c:v>
                </c:pt>
                <c:pt idx="296">
                  <c:v>1.36068323928626</c:v>
                </c:pt>
                <c:pt idx="297">
                  <c:v>1.3349092572822947</c:v>
                </c:pt>
                <c:pt idx="298">
                  <c:v>1.3102790910477362</c:v>
                </c:pt>
                <c:pt idx="299">
                  <c:v>1.3126429769711767</c:v>
                </c:pt>
                <c:pt idx="300">
                  <c:v>1.297010828122618</c:v>
                </c:pt>
                <c:pt idx="301">
                  <c:v>1.2639164251944495</c:v>
                </c:pt>
                <c:pt idx="302">
                  <c:v>1.2784810126582284</c:v>
                </c:pt>
                <c:pt idx="303">
                  <c:v>1.2993747140460583</c:v>
                </c:pt>
                <c:pt idx="304">
                  <c:v>1.2604087235016019</c:v>
                </c:pt>
                <c:pt idx="305">
                  <c:v>1.2587311270398054</c:v>
                </c:pt>
                <c:pt idx="306">
                  <c:v>1.2764983986579237</c:v>
                </c:pt>
                <c:pt idx="307">
                  <c:v>1.2752020741192627</c:v>
                </c:pt>
                <c:pt idx="308">
                  <c:v>1.2690254689644662</c:v>
                </c:pt>
                <c:pt idx="309">
                  <c:v>1.2337196888821114</c:v>
                </c:pt>
                <c:pt idx="310">
                  <c:v>1.242031416806467</c:v>
                </c:pt>
                <c:pt idx="311">
                  <c:v>1.1956687509531805</c:v>
                </c:pt>
                <c:pt idx="312">
                  <c:v>1.1939149001067568</c:v>
                </c:pt>
                <c:pt idx="313">
                  <c:v>1.2478267500381277</c:v>
                </c:pt>
                <c:pt idx="314">
                  <c:v>1.2021503736464854</c:v>
                </c:pt>
                <c:pt idx="315">
                  <c:v>1.2045142595699261</c:v>
                </c:pt>
                <c:pt idx="316">
                  <c:v>1.2161049260332475</c:v>
                </c:pt>
                <c:pt idx="317">
                  <c:v>1.2659752935793815</c:v>
                </c:pt>
                <c:pt idx="318">
                  <c:v>1.1954399877992992</c:v>
                </c:pt>
                <c:pt idx="319">
                  <c:v>1.1993289614152822</c:v>
                </c:pt>
                <c:pt idx="320">
                  <c:v>1.1595241726399277</c:v>
                </c:pt>
                <c:pt idx="321">
                  <c:v>1.178206496873571</c:v>
                </c:pt>
                <c:pt idx="322">
                  <c:v>1.1171267347872511</c:v>
                </c:pt>
                <c:pt idx="323">
                  <c:v>1.0870825072441674</c:v>
                </c:pt>
                <c:pt idx="324">
                  <c:v>1.1217782522495054</c:v>
                </c:pt>
                <c:pt idx="325">
                  <c:v>1.1098063138630481</c:v>
                </c:pt>
                <c:pt idx="326">
                  <c:v>1.1380204361750812</c:v>
                </c:pt>
                <c:pt idx="327">
                  <c:v>1.0738142443190493</c:v>
                </c:pt>
                <c:pt idx="328">
                  <c:v>1.04735397285344</c:v>
                </c:pt>
                <c:pt idx="329">
                  <c:v>1.0491840780844908</c:v>
                </c:pt>
                <c:pt idx="330">
                  <c:v>1.0912764983986589</c:v>
                </c:pt>
                <c:pt idx="331">
                  <c:v>1.070306542626202</c:v>
                </c:pt>
                <c:pt idx="332">
                  <c:v>1.0715266127802359</c:v>
                </c:pt>
                <c:pt idx="333">
                  <c:v>1.0963855421686757</c:v>
                </c:pt>
                <c:pt idx="334">
                  <c:v>1.1410706115601654</c:v>
                </c:pt>
                <c:pt idx="335">
                  <c:v>1.1349702607899963</c:v>
                </c:pt>
                <c:pt idx="336">
                  <c:v>1.1339789537898439</c:v>
                </c:pt>
                <c:pt idx="337">
                  <c:v>1.153042549946623</c:v>
                </c:pt>
                <c:pt idx="338">
                  <c:v>1.1085862437090142</c:v>
                </c:pt>
                <c:pt idx="339">
                  <c:v>1.1143815769406749</c:v>
                </c:pt>
                <c:pt idx="340">
                  <c:v>1.1339789537898437</c:v>
                </c:pt>
                <c:pt idx="341">
                  <c:v>1.1282598749428101</c:v>
                </c:pt>
                <c:pt idx="342">
                  <c:v>1.0876925423211841</c:v>
                </c:pt>
                <c:pt idx="343">
                  <c:v>1.0456763763916432</c:v>
                </c:pt>
                <c:pt idx="344">
                  <c:v>1.0056428244624074</c:v>
                </c:pt>
                <c:pt idx="345">
                  <c:v>1.0123532103095936</c:v>
                </c:pt>
                <c:pt idx="346">
                  <c:v>1.0327131310050337</c:v>
                </c:pt>
                <c:pt idx="347">
                  <c:v>0.99176452646027236</c:v>
                </c:pt>
                <c:pt idx="348">
                  <c:v>1.0032026841543398</c:v>
                </c:pt>
                <c:pt idx="349">
                  <c:v>1.0360683239286268</c:v>
                </c:pt>
                <c:pt idx="350">
                  <c:v>1.0321030959280166</c:v>
                </c:pt>
                <c:pt idx="351">
                  <c:v>1.0543693762391346</c:v>
                </c:pt>
                <c:pt idx="352">
                  <c:v>1.0802196126277268</c:v>
                </c:pt>
                <c:pt idx="353">
                  <c:v>1.0802196126277268</c:v>
                </c:pt>
                <c:pt idx="354">
                  <c:v>1.0480402623150837</c:v>
                </c:pt>
                <c:pt idx="355">
                  <c:v>1.0616897971633374</c:v>
                </c:pt>
                <c:pt idx="356">
                  <c:v>1.0425499466219315</c:v>
                </c:pt>
                <c:pt idx="357">
                  <c:v>1.0594021656245241</c:v>
                </c:pt>
                <c:pt idx="358">
                  <c:v>1.0794570687814555</c:v>
                </c:pt>
                <c:pt idx="359">
                  <c:v>1.0898276650907432</c:v>
                </c:pt>
                <c:pt idx="360">
                  <c:v>1.1159829190178443</c:v>
                </c:pt>
                <c:pt idx="361">
                  <c:v>1.1212444715571153</c:v>
                </c:pt>
                <c:pt idx="362">
                  <c:v>1.1046972700930311</c:v>
                </c:pt>
                <c:pt idx="363">
                  <c:v>1.1122464541711157</c:v>
                </c:pt>
                <c:pt idx="364">
                  <c:v>1.1094250419399123</c:v>
                </c:pt>
                <c:pt idx="365">
                  <c:v>1.1321488485587929</c:v>
                </c:pt>
                <c:pt idx="366">
                  <c:v>1.1451120939454025</c:v>
                </c:pt>
                <c:pt idx="367">
                  <c:v>1.1214732347109966</c:v>
                </c:pt>
                <c:pt idx="368">
                  <c:v>1.1514412078694534</c:v>
                </c:pt>
                <c:pt idx="369">
                  <c:v>1.1669971023333849</c:v>
                </c:pt>
                <c:pt idx="370">
                  <c:v>1.1846118651822488</c:v>
                </c:pt>
                <c:pt idx="371">
                  <c:v>1.1750038127192324</c:v>
                </c:pt>
                <c:pt idx="372">
                  <c:v>1.166310812871741</c:v>
                </c:pt>
                <c:pt idx="373">
                  <c:v>1.1560164709470804</c:v>
                </c:pt>
                <c:pt idx="374">
                  <c:v>1.1955924965685536</c:v>
                </c:pt>
                <c:pt idx="375">
                  <c:v>1.1998627421076722</c:v>
                </c:pt>
                <c:pt idx="376">
                  <c:v>1.2392100045752641</c:v>
                </c:pt>
                <c:pt idx="377">
                  <c:v>1.2315845661125524</c:v>
                </c:pt>
                <c:pt idx="378">
                  <c:v>1.220146408418485</c:v>
                </c:pt>
                <c:pt idx="379">
                  <c:v>1.2668140918102802</c:v>
                </c:pt>
                <c:pt idx="380">
                  <c:v>1.2643739515022125</c:v>
                </c:pt>
                <c:pt idx="381">
                  <c:v>1.2608662498093652</c:v>
                </c:pt>
                <c:pt idx="382">
                  <c:v>1.2572060393472637</c:v>
                </c:pt>
                <c:pt idx="383">
                  <c:v>1.2575873112703992</c:v>
                </c:pt>
                <c:pt idx="384">
                  <c:v>1.2905292054293136</c:v>
                </c:pt>
                <c:pt idx="385">
                  <c:v>1.28481012658228</c:v>
                </c:pt>
                <c:pt idx="386">
                  <c:v>1.3123379594326687</c:v>
                </c:pt>
                <c:pt idx="387">
                  <c:v>1.3206496873570244</c:v>
                </c:pt>
                <c:pt idx="388">
                  <c:v>1.3194296172029907</c:v>
                </c:pt>
                <c:pt idx="389">
                  <c:v>1.3310202836663125</c:v>
                </c:pt>
                <c:pt idx="390">
                  <c:v>1.3279701082812279</c:v>
                </c:pt>
                <c:pt idx="391">
                  <c:v>1.3079152051242964</c:v>
                </c:pt>
                <c:pt idx="392">
                  <c:v>1.2777947231965854</c:v>
                </c:pt>
                <c:pt idx="393">
                  <c:v>1.2752020741192633</c:v>
                </c:pt>
                <c:pt idx="394">
                  <c:v>1.277489705658077</c:v>
                </c:pt>
                <c:pt idx="395">
                  <c:v>1.2965533018148561</c:v>
                </c:pt>
                <c:pt idx="396">
                  <c:v>1.2476742412688746</c:v>
                </c:pt>
                <c:pt idx="397">
                  <c:v>1.2305932591124005</c:v>
                </c:pt>
                <c:pt idx="398">
                  <c:v>1.2117584261095029</c:v>
                </c:pt>
                <c:pt idx="399">
                  <c:v>1.1988714351075203</c:v>
                </c:pt>
                <c:pt idx="400">
                  <c:v>1.2045142595699267</c:v>
                </c:pt>
                <c:pt idx="401">
                  <c:v>1.1881195668750966</c:v>
                </c:pt>
                <c:pt idx="402">
                  <c:v>1.1783590056428257</c:v>
                </c:pt>
                <c:pt idx="403">
                  <c:v>1.1892633826445034</c:v>
                </c:pt>
                <c:pt idx="404">
                  <c:v>1.177825224950436</c:v>
                </c:pt>
                <c:pt idx="405">
                  <c:v>1.2000152508769266</c:v>
                </c:pt>
                <c:pt idx="406">
                  <c:v>1.2462254079609589</c:v>
                </c:pt>
                <c:pt idx="407">
                  <c:v>1.1730974531035545</c:v>
                </c:pt>
                <c:pt idx="408">
                  <c:v>1.1843068476437404</c:v>
                </c:pt>
                <c:pt idx="409">
                  <c:v>1.1618880585633682</c:v>
                </c:pt>
                <c:pt idx="410">
                  <c:v>1.1491535763306395</c:v>
                </c:pt>
                <c:pt idx="411">
                  <c:v>1.1779777337196895</c:v>
                </c:pt>
                <c:pt idx="412">
                  <c:v>1.1964312947994518</c:v>
                </c:pt>
                <c:pt idx="413">
                  <c:v>1.1721824004880288</c:v>
                </c:pt>
                <c:pt idx="414">
                  <c:v>1.1647094707945715</c:v>
                </c:pt>
                <c:pt idx="415">
                  <c:v>1.1470947079457077</c:v>
                </c:pt>
                <c:pt idx="416">
                  <c:v>1.1496873570230295</c:v>
                </c:pt>
                <c:pt idx="417">
                  <c:v>1.1572365411011138</c:v>
                </c:pt>
                <c:pt idx="418">
                  <c:v>1.1425956992527078</c:v>
                </c:pt>
                <c:pt idx="419">
                  <c:v>1.0864724721671501</c:v>
                </c:pt>
                <c:pt idx="420">
                  <c:v>1.0538355955467444</c:v>
                </c:pt>
                <c:pt idx="421">
                  <c:v>1.0862437090132688</c:v>
                </c:pt>
                <c:pt idx="422">
                  <c:v>1.1140765594021662</c:v>
                </c:pt>
                <c:pt idx="423">
                  <c:v>1.1163641909409796</c:v>
                </c:pt>
                <c:pt idx="424">
                  <c:v>1.1089675156321495</c:v>
                </c:pt>
                <c:pt idx="425">
                  <c:v>1.0682476742412694</c:v>
                </c:pt>
                <c:pt idx="426">
                  <c:v>1.0707640689339641</c:v>
                </c:pt>
                <c:pt idx="427">
                  <c:v>1.0597834375476596</c:v>
                </c:pt>
                <c:pt idx="428">
                  <c:v>1.0549031569315244</c:v>
                </c:pt>
                <c:pt idx="429">
                  <c:v>1.0903614457831334</c:v>
                </c:pt>
                <c:pt idx="430">
                  <c:v>1.0552081744700328</c:v>
                </c:pt>
                <c:pt idx="431">
                  <c:v>1.0859386914747606</c:v>
                </c:pt>
                <c:pt idx="432">
                  <c:v>1.0961567790147941</c:v>
                </c:pt>
                <c:pt idx="433">
                  <c:v>1.0969955772456925</c:v>
                </c:pt>
                <c:pt idx="434">
                  <c:v>1.0934116211682179</c:v>
                </c:pt>
                <c:pt idx="435">
                  <c:v>1.1229983224035389</c:v>
                </c:pt>
                <c:pt idx="436">
                  <c:v>1.13962177825225</c:v>
                </c:pt>
                <c:pt idx="437">
                  <c:v>1.1616592954094866</c:v>
                </c:pt>
                <c:pt idx="438">
                  <c:v>1.1388592344059787</c:v>
                </c:pt>
                <c:pt idx="439">
                  <c:v>1.1041634894006411</c:v>
                </c:pt>
                <c:pt idx="440">
                  <c:v>1.1875857861827062</c:v>
                </c:pt>
                <c:pt idx="441">
                  <c:v>1.1692847338721983</c:v>
                </c:pt>
                <c:pt idx="442">
                  <c:v>1.148772304407504</c:v>
                </c:pt>
                <c:pt idx="443">
                  <c:v>1.1059173402470648</c:v>
                </c:pt>
                <c:pt idx="444">
                  <c:v>1.0590208937013883</c:v>
                </c:pt>
                <c:pt idx="445">
                  <c:v>1.0552081744700326</c:v>
                </c:pt>
                <c:pt idx="446">
                  <c:v>1.0593259112398967</c:v>
                </c:pt>
                <c:pt idx="447">
                  <c:v>1.0637486655482695</c:v>
                </c:pt>
                <c:pt idx="448">
                  <c:v>1.0284428854659149</c:v>
                </c:pt>
                <c:pt idx="449">
                  <c:v>1.1199481470184542</c:v>
                </c:pt>
                <c:pt idx="450">
                  <c:v>1.1415281378679281</c:v>
                </c:pt>
                <c:pt idx="451">
                  <c:v>1.1307000152508777</c:v>
                </c:pt>
                <c:pt idx="452">
                  <c:v>1.1441207869452501</c:v>
                </c:pt>
                <c:pt idx="453">
                  <c:v>1.1345889888668605</c:v>
                </c:pt>
                <c:pt idx="454">
                  <c:v>1.149306085099894</c:v>
                </c:pt>
                <c:pt idx="455">
                  <c:v>1.1536525850236394</c:v>
                </c:pt>
                <c:pt idx="456">
                  <c:v>1.1286411468659454</c:v>
                </c:pt>
                <c:pt idx="457">
                  <c:v>1.1451883483300296</c:v>
                </c:pt>
                <c:pt idx="458">
                  <c:v>1.1519749885618429</c:v>
                </c:pt>
                <c:pt idx="459">
                  <c:v>1.1294036907122167</c:v>
                </c:pt>
                <c:pt idx="460">
                  <c:v>1.0997407350922683</c:v>
                </c:pt>
                <c:pt idx="461">
                  <c:v>1.076483147780998</c:v>
                </c:pt>
                <c:pt idx="462">
                  <c:v>1.1287936556351998</c:v>
                </c:pt>
                <c:pt idx="463">
                  <c:v>1.130928778404759</c:v>
                </c:pt>
                <c:pt idx="464">
                  <c:v>1.1271160591734033</c:v>
                </c:pt>
                <c:pt idx="465">
                  <c:v>1.1181180417874035</c:v>
                </c:pt>
                <c:pt idx="466">
                  <c:v>1.0897514107061164</c:v>
                </c:pt>
                <c:pt idx="467">
                  <c:v>1.0747292969345745</c:v>
                </c:pt>
                <c:pt idx="468">
                  <c:v>1.0877687967058114</c:v>
                </c:pt>
                <c:pt idx="469">
                  <c:v>1.0840323318590825</c:v>
                </c:pt>
                <c:pt idx="470">
                  <c:v>1.1017996034772006</c:v>
                </c:pt>
                <c:pt idx="471">
                  <c:v>1.1092725331706581</c:v>
                </c:pt>
                <c:pt idx="472">
                  <c:v>1.09203904224493</c:v>
                </c:pt>
                <c:pt idx="473">
                  <c:v>1.0408723501601349</c:v>
                </c:pt>
                <c:pt idx="474">
                  <c:v>1.0256977276193386</c:v>
                </c:pt>
                <c:pt idx="475">
                  <c:v>1.0093792893091358</c:v>
                </c:pt>
                <c:pt idx="476">
                  <c:v>1.008845508616746</c:v>
                </c:pt>
                <c:pt idx="477">
                  <c:v>1.0328656397742875</c:v>
                </c:pt>
                <c:pt idx="478">
                  <c:v>1.0083117279243561</c:v>
                </c:pt>
                <c:pt idx="479">
                  <c:v>1.0054903156931529</c:v>
                </c:pt>
                <c:pt idx="480">
                  <c:v>0.99153576330639059</c:v>
                </c:pt>
                <c:pt idx="481">
                  <c:v>0.96111026384017129</c:v>
                </c:pt>
                <c:pt idx="482">
                  <c:v>0.98833307915205171</c:v>
                </c:pt>
                <c:pt idx="483">
                  <c:v>0.99077321946011931</c:v>
                </c:pt>
                <c:pt idx="484">
                  <c:v>0.95371358853134081</c:v>
                </c:pt>
                <c:pt idx="485">
                  <c:v>0.96355040414823878</c:v>
                </c:pt>
                <c:pt idx="486">
                  <c:v>0.95333231660820517</c:v>
                </c:pt>
                <c:pt idx="487">
                  <c:v>0.98840933353667859</c:v>
                </c:pt>
                <c:pt idx="488">
                  <c:v>0.99245081592191575</c:v>
                </c:pt>
                <c:pt idx="489">
                  <c:v>0.99687357023028844</c:v>
                </c:pt>
                <c:pt idx="490">
                  <c:v>1.0179197803873725</c:v>
                </c:pt>
                <c:pt idx="491">
                  <c:v>1.0173097453103555</c:v>
                </c:pt>
                <c:pt idx="492">
                  <c:v>1.0276040872350161</c:v>
                </c:pt>
                <c:pt idx="493">
                  <c:v>1.0366021046210159</c:v>
                </c:pt>
                <c:pt idx="494">
                  <c:v>1.0310355345432365</c:v>
                </c:pt>
                <c:pt idx="495">
                  <c:v>1.0314930608509993</c:v>
                </c:pt>
                <c:pt idx="496">
                  <c:v>1.0513192008540495</c:v>
                </c:pt>
                <c:pt idx="497">
                  <c:v>1.0760256214732351</c:v>
                </c:pt>
                <c:pt idx="498">
                  <c:v>1.0868537440902855</c:v>
                </c:pt>
                <c:pt idx="499">
                  <c:v>1.0817447003202687</c:v>
                </c:pt>
                <c:pt idx="500">
                  <c:v>1.0977581210919629</c:v>
                </c:pt>
                <c:pt idx="501">
                  <c:v>1.1127802348635047</c:v>
                </c:pt>
                <c:pt idx="502">
                  <c:v>1.0904377001677596</c:v>
                </c:pt>
                <c:pt idx="503">
                  <c:v>1.1002745157846576</c:v>
                </c:pt>
                <c:pt idx="504">
                  <c:v>1.108967515632149</c:v>
                </c:pt>
                <c:pt idx="505">
                  <c:v>1.1500686289461644</c:v>
                </c:pt>
                <c:pt idx="506">
                  <c:v>1.1781302424889433</c:v>
                </c:pt>
                <c:pt idx="507">
                  <c:v>1.1570077779472321</c:v>
                </c:pt>
                <c:pt idx="508">
                  <c:v>1.1792740582583501</c:v>
                </c:pt>
                <c:pt idx="509">
                  <c:v>1.1584566112551473</c:v>
                </c:pt>
                <c:pt idx="510">
                  <c:v>1.1504499008693003</c:v>
                </c:pt>
                <c:pt idx="511">
                  <c:v>1.1515174622540798</c:v>
                </c:pt>
                <c:pt idx="512">
                  <c:v>1.173173707488181</c:v>
                </c:pt>
                <c:pt idx="513">
                  <c:v>1.1682171724874184</c:v>
                </c:pt>
                <c:pt idx="514">
                  <c:v>1.1844593564129944</c:v>
                </c:pt>
                <c:pt idx="515">
                  <c:v>1.1721061461034015</c:v>
                </c:pt>
                <c:pt idx="516">
                  <c:v>1.1632606374866561</c:v>
                </c:pt>
                <c:pt idx="517">
                  <c:v>1.1322251029434196</c:v>
                </c:pt>
                <c:pt idx="518">
                  <c:v>1.1355040414823856</c:v>
                </c:pt>
                <c:pt idx="519">
                  <c:v>1.1392405063291144</c:v>
                </c:pt>
                <c:pt idx="520">
                  <c:v>1.1187280768644203</c:v>
                </c:pt>
                <c:pt idx="521">
                  <c:v>1.1279548574043012</c:v>
                </c:pt>
                <c:pt idx="522">
                  <c:v>1.1240658837883184</c:v>
                </c:pt>
                <c:pt idx="523">
                  <c:v>1.108052463016624</c:v>
                </c:pt>
                <c:pt idx="524">
                  <c:v>1.112627726094251</c:v>
                </c:pt>
                <c:pt idx="525">
                  <c:v>1.1516699710233345</c:v>
                </c:pt>
                <c:pt idx="526">
                  <c:v>1.173021198718927</c:v>
                </c:pt>
                <c:pt idx="527">
                  <c:v>1.1560164709470799</c:v>
                </c:pt>
                <c:pt idx="528">
                  <c:v>1.1657007777947239</c:v>
                </c:pt>
                <c:pt idx="529">
                  <c:v>1.1483147780997414</c:v>
                </c:pt>
                <c:pt idx="530">
                  <c:v>1.132377611712674</c:v>
                </c:pt>
                <c:pt idx="531">
                  <c:v>1.1473997254842159</c:v>
                </c:pt>
                <c:pt idx="532">
                  <c:v>1.1635656550251645</c:v>
                </c:pt>
                <c:pt idx="533">
                  <c:v>1.1666158304102492</c:v>
                </c:pt>
                <c:pt idx="534">
                  <c:v>1.1884245844136043</c:v>
                </c:pt>
                <c:pt idx="535">
                  <c:v>1.1819429617202994</c:v>
                </c:pt>
                <c:pt idx="536">
                  <c:v>1.2002440140308075</c:v>
                </c:pt>
                <c:pt idx="537">
                  <c:v>1.2145798383407054</c:v>
                </c:pt>
                <c:pt idx="538">
                  <c:v>1.2035229525697735</c:v>
                </c:pt>
                <c:pt idx="539">
                  <c:v>1.2119109348787562</c:v>
                </c:pt>
                <c:pt idx="540">
                  <c:v>1.2219765136495355</c:v>
                </c:pt>
                <c:pt idx="541">
                  <c:v>1.2069543998779937</c:v>
                </c:pt>
                <c:pt idx="542">
                  <c:v>1.2021503736464854</c:v>
                </c:pt>
                <c:pt idx="543">
                  <c:v>1.2259417416501457</c:v>
                </c:pt>
                <c:pt idx="544">
                  <c:v>1.2380661888058571</c:v>
                </c:pt>
                <c:pt idx="545">
                  <c:v>1.2574348025011444</c:v>
                </c:pt>
                <c:pt idx="546">
                  <c:v>1.2671191093487881</c:v>
                </c:pt>
                <c:pt idx="547">
                  <c:v>1.263001372578924</c:v>
                </c:pt>
                <c:pt idx="548">
                  <c:v>1.2487418026536532</c:v>
                </c:pt>
                <c:pt idx="549">
                  <c:v>1.2556046972700938</c:v>
                </c:pt>
                <c:pt idx="550">
                  <c:v>1.2355497941131623</c:v>
                </c:pt>
                <c:pt idx="551">
                  <c:v>1.2261705048040272</c:v>
                </c:pt>
                <c:pt idx="552">
                  <c:v>1.2208326978801289</c:v>
                </c:pt>
                <c:pt idx="553">
                  <c:v>1.2624675918865342</c:v>
                </c:pt>
                <c:pt idx="554">
                  <c:v>1.2597986884245851</c:v>
                </c:pt>
                <c:pt idx="555">
                  <c:v>1.2599511971938393</c:v>
                </c:pt>
                <c:pt idx="556">
                  <c:v>1.2694067408876017</c:v>
                </c:pt>
                <c:pt idx="557">
                  <c:v>1.2782522495043471</c:v>
                </c:pt>
                <c:pt idx="558">
                  <c:v>1.2707793198108899</c:v>
                </c:pt>
                <c:pt idx="559">
                  <c:v>1.2583498551166701</c:v>
                </c:pt>
                <c:pt idx="560">
                  <c:v>1.2607137410401108</c:v>
                </c:pt>
                <c:pt idx="561">
                  <c:v>1.2488180570382805</c:v>
                </c:pt>
                <c:pt idx="562">
                  <c:v>1.2487418026536532</c:v>
                </c:pt>
                <c:pt idx="563">
                  <c:v>1.284200091505262</c:v>
                </c:pt>
                <c:pt idx="564">
                  <c:v>1.2938843983529058</c:v>
                </c:pt>
                <c:pt idx="565">
                  <c:v>1.2931981088912616</c:v>
                </c:pt>
                <c:pt idx="566">
                  <c:v>1.2851913985054144</c:v>
                </c:pt>
                <c:pt idx="567">
                  <c:v>1.2768796705810588</c:v>
                </c:pt>
                <c:pt idx="568">
                  <c:v>1.2642214427329574</c:v>
                </c:pt>
                <c:pt idx="569">
                  <c:v>1.3235473539728537</c:v>
                </c:pt>
                <c:pt idx="570">
                  <c:v>1.323013573280464</c:v>
                </c:pt>
                <c:pt idx="571">
                  <c:v>1.3098215647399729</c:v>
                </c:pt>
                <c:pt idx="572">
                  <c:v>1.3234710995882266</c:v>
                </c:pt>
                <c:pt idx="573">
                  <c:v>1.3249199328961416</c:v>
                </c:pt>
                <c:pt idx="574">
                  <c:v>1.3159219155101418</c:v>
                </c:pt>
                <c:pt idx="575">
                  <c:v>1.3121091962787861</c:v>
                </c:pt>
                <c:pt idx="576">
                  <c:v>1.3121091962787861</c:v>
                </c:pt>
                <c:pt idx="577">
                  <c:v>1.3168369681256673</c:v>
                </c:pt>
                <c:pt idx="578">
                  <c:v>1.3348330028976667</c:v>
                </c:pt>
                <c:pt idx="579">
                  <c:v>1.3356718011285649</c:v>
                </c:pt>
                <c:pt idx="580">
                  <c:v>1.3283513802043616</c:v>
                </c:pt>
                <c:pt idx="581">
                  <c:v>1.308220222662803</c:v>
                </c:pt>
                <c:pt idx="582">
                  <c:v>1.3103553454323624</c:v>
                </c:pt>
                <c:pt idx="583">
                  <c:v>1.3191245996644807</c:v>
                </c:pt>
                <c:pt idx="584">
                  <c:v>1.337730669513497</c:v>
                </c:pt>
                <c:pt idx="585">
                  <c:v>1.3519902394387677</c:v>
                </c:pt>
                <c:pt idx="586">
                  <c:v>1.3516089675156322</c:v>
                </c:pt>
                <c:pt idx="587">
                  <c:v>1.3732652127497333</c:v>
                </c:pt>
                <c:pt idx="588">
                  <c:v>1.3798230898276651</c:v>
                </c:pt>
                <c:pt idx="589">
                  <c:v>1.3693762391337503</c:v>
                </c:pt>
                <c:pt idx="590">
                  <c:v>1.3665548269025469</c:v>
                </c:pt>
                <c:pt idx="591">
                  <c:v>1.3559554674393777</c:v>
                </c:pt>
                <c:pt idx="592">
                  <c:v>1.3769254232118346</c:v>
                </c:pt>
                <c:pt idx="593">
                  <c:v>1.3798993442122924</c:v>
                </c:pt>
                <c:pt idx="594">
                  <c:v>1.4014793350617663</c:v>
                </c:pt>
                <c:pt idx="595">
                  <c:v>1.3978191245996647</c:v>
                </c:pt>
                <c:pt idx="596">
                  <c:v>1.4026994052158002</c:v>
                </c:pt>
                <c:pt idx="597">
                  <c:v>1.4184078084489862</c:v>
                </c:pt>
                <c:pt idx="598">
                  <c:v>1.4100960805246305</c:v>
                </c:pt>
                <c:pt idx="599">
                  <c:v>1.4107823699862747</c:v>
                </c:pt>
                <c:pt idx="600">
                  <c:v>1.4027756596004277</c:v>
                </c:pt>
                <c:pt idx="601">
                  <c:v>1.425956992527071</c:v>
                </c:pt>
                <c:pt idx="602">
                  <c:v>1.4235168522190034</c:v>
                </c:pt>
                <c:pt idx="603">
                  <c:v>1.4127649839865799</c:v>
                </c:pt>
                <c:pt idx="604">
                  <c:v>1.4340399572975451</c:v>
                </c:pt>
                <c:pt idx="605">
                  <c:v>1.4431142290681718</c:v>
                </c:pt>
                <c:pt idx="606">
                  <c:v>1.4457068781454936</c:v>
                </c:pt>
                <c:pt idx="607">
                  <c:v>1.4791062986121704</c:v>
                </c:pt>
                <c:pt idx="608">
                  <c:v>1.4675918865334758</c:v>
                </c:pt>
                <c:pt idx="609">
                  <c:v>1.4589751410706118</c:v>
                </c:pt>
                <c:pt idx="610">
                  <c:v>1.4626353515327131</c:v>
                </c:pt>
                <c:pt idx="611">
                  <c:v>1.454018606069849</c:v>
                </c:pt>
                <c:pt idx="612">
                  <c:v>1.4382339484520359</c:v>
                </c:pt>
                <c:pt idx="613">
                  <c:v>1.4341924660667988</c:v>
                </c:pt>
                <c:pt idx="614">
                  <c:v>1.4470794570687813</c:v>
                </c:pt>
                <c:pt idx="615">
                  <c:v>1.4529510446850691</c:v>
                </c:pt>
                <c:pt idx="616">
                  <c:v>1.4540948604544759</c:v>
                </c:pt>
                <c:pt idx="617">
                  <c:v>1.4792588073814241</c:v>
                </c:pt>
                <c:pt idx="618">
                  <c:v>1.4772761933811189</c:v>
                </c:pt>
                <c:pt idx="619">
                  <c:v>1.487723044075034</c:v>
                </c:pt>
                <c:pt idx="620">
                  <c:v>1.4727009303034921</c:v>
                </c:pt>
                <c:pt idx="621">
                  <c:v>1.4636266585328654</c:v>
                </c:pt>
                <c:pt idx="622">
                  <c:v>1.4698032636876619</c:v>
                </c:pt>
                <c:pt idx="623">
                  <c:v>1.4764373951502212</c:v>
                </c:pt>
                <c:pt idx="624">
                  <c:v>1.4831477809974072</c:v>
                </c:pt>
                <c:pt idx="625">
                  <c:v>1.4733872197651363</c:v>
                </c:pt>
                <c:pt idx="626">
                  <c:v>1.4932896141528138</c:v>
                </c:pt>
                <c:pt idx="627">
                  <c:v>1.4980173859996946</c:v>
                </c:pt>
                <c:pt idx="628">
                  <c:v>1.491612017691017</c:v>
                </c:pt>
                <c:pt idx="629">
                  <c:v>1.4685069391490009</c:v>
                </c:pt>
                <c:pt idx="630">
                  <c:v>1.4577550709165774</c:v>
                </c:pt>
                <c:pt idx="631">
                  <c:v>1.3877535458288852</c:v>
                </c:pt>
                <c:pt idx="632">
                  <c:v>1.3638096690559707</c:v>
                </c:pt>
                <c:pt idx="633">
                  <c:v>1.3710538355955468</c:v>
                </c:pt>
                <c:pt idx="634">
                  <c:v>1.358776879670581</c:v>
                </c:pt>
                <c:pt idx="635">
                  <c:v>1.3570992832087845</c:v>
                </c:pt>
                <c:pt idx="636">
                  <c:v>1.3557267042854964</c:v>
                </c:pt>
                <c:pt idx="637">
                  <c:v>1.3684611865182248</c:v>
                </c:pt>
                <c:pt idx="638">
                  <c:v>1.3531340552081743</c:v>
                </c:pt>
                <c:pt idx="639">
                  <c:v>1.3464236693609881</c:v>
                </c:pt>
                <c:pt idx="640">
                  <c:v>1.3268262925118193</c:v>
                </c:pt>
                <c:pt idx="641">
                  <c:v>1.3305627573585479</c:v>
                </c:pt>
                <c:pt idx="642">
                  <c:v>1.3408570992832087</c:v>
                </c:pt>
                <c:pt idx="643">
                  <c:v>1.3514564587463778</c:v>
                </c:pt>
                <c:pt idx="644">
                  <c:v>1.3811194143663261</c:v>
                </c:pt>
                <c:pt idx="645">
                  <c:v>1.3449748360530731</c:v>
                </c:pt>
                <c:pt idx="646">
                  <c:v>1.3619795638249199</c:v>
                </c:pt>
                <c:pt idx="647">
                  <c:v>1.3740277565960042</c:v>
                </c:pt>
                <c:pt idx="648">
                  <c:v>1.403995729754461</c:v>
                </c:pt>
                <c:pt idx="649">
                  <c:v>1.4309135275278329</c:v>
                </c:pt>
                <c:pt idx="650">
                  <c:v>1.4325911239896294</c:v>
                </c:pt>
                <c:pt idx="651">
                  <c:v>1.4447155711453408</c:v>
                </c:pt>
                <c:pt idx="652">
                  <c:v>1.4465456763763913</c:v>
                </c:pt>
                <c:pt idx="653">
                  <c:v>1.3947689492145796</c:v>
                </c:pt>
                <c:pt idx="654">
                  <c:v>1.3539728534390725</c:v>
                </c:pt>
                <c:pt idx="655">
                  <c:v>1.3587006252859539</c:v>
                </c:pt>
                <c:pt idx="656">
                  <c:v>1.3676986426719537</c:v>
                </c:pt>
                <c:pt idx="657">
                  <c:v>1.3443648009760563</c:v>
                </c:pt>
                <c:pt idx="658">
                  <c:v>1.3284276345889889</c:v>
                </c:pt>
                <c:pt idx="659">
                  <c:v>1.3400945554369377</c:v>
                </c:pt>
                <c:pt idx="660">
                  <c:v>1.3345279853591581</c:v>
                </c:pt>
                <c:pt idx="661">
                  <c:v>1.3570992832087845</c:v>
                </c:pt>
                <c:pt idx="662">
                  <c:v>1.3654872655177672</c:v>
                </c:pt>
                <c:pt idx="663">
                  <c:v>1.3381881958212598</c:v>
                </c:pt>
                <c:pt idx="664">
                  <c:v>1.3262925118194298</c:v>
                </c:pt>
                <c:pt idx="665">
                  <c:v>1.3328503888973617</c:v>
                </c:pt>
                <c:pt idx="666">
                  <c:v>1.3426872045142599</c:v>
                </c:pt>
                <c:pt idx="667">
                  <c:v>1.3112703980478881</c:v>
                </c:pt>
                <c:pt idx="668">
                  <c:v>1.2996034771999394</c:v>
                </c:pt>
                <c:pt idx="669">
                  <c:v>1.3015860912002444</c:v>
                </c:pt>
                <c:pt idx="670">
                  <c:v>1.3055513192008545</c:v>
                </c:pt>
                <c:pt idx="671">
                  <c:v>1.3249199328961418</c:v>
                </c:pt>
                <c:pt idx="672">
                  <c:v>1.3146255909714812</c:v>
                </c:pt>
                <c:pt idx="673">
                  <c:v>1.3242336434344977</c:v>
                </c:pt>
                <c:pt idx="674">
                  <c:v>1.3337654415128872</c:v>
                </c:pt>
                <c:pt idx="675">
                  <c:v>1.3534390727466832</c:v>
                </c:pt>
                <c:pt idx="676">
                  <c:v>1.3648772304407506</c:v>
                </c:pt>
                <c:pt idx="677">
                  <c:v>1.3603019673631234</c:v>
                </c:pt>
                <c:pt idx="678">
                  <c:v>1.3710538355955471</c:v>
                </c:pt>
                <c:pt idx="679">
                  <c:v>1.3779929845966146</c:v>
                </c:pt>
                <c:pt idx="680">
                  <c:v>1.3638096690559709</c:v>
                </c:pt>
                <c:pt idx="681">
                  <c:v>1.3628183620558185</c:v>
                </c:pt>
                <c:pt idx="682">
                  <c:v>1.3508464236693614</c:v>
                </c:pt>
                <c:pt idx="683">
                  <c:v>1.3408570992832092</c:v>
                </c:pt>
                <c:pt idx="684">
                  <c:v>1.3379594326673787</c:v>
                </c:pt>
                <c:pt idx="685">
                  <c:v>1.3182858014335825</c:v>
                </c:pt>
                <c:pt idx="686">
                  <c:v>1.3192008540491078</c:v>
                </c:pt>
                <c:pt idx="687">
                  <c:v>1.3225560469727009</c:v>
                </c:pt>
                <c:pt idx="688">
                  <c:v>1.3047125209699557</c:v>
                </c:pt>
                <c:pt idx="689">
                  <c:v>1.2726094250419397</c:v>
                </c:pt>
                <c:pt idx="690">
                  <c:v>1.2827512581973464</c:v>
                </c:pt>
                <c:pt idx="691">
                  <c:v>1.2985359158151593</c:v>
                </c:pt>
                <c:pt idx="692">
                  <c:v>1.3021961262772608</c:v>
                </c:pt>
                <c:pt idx="693">
                  <c:v>1.3265975293579377</c:v>
                </c:pt>
                <c:pt idx="694">
                  <c:v>1.3540491078236994</c:v>
                </c:pt>
                <c:pt idx="695">
                  <c:v>1.3470337044380047</c:v>
                </c:pt>
                <c:pt idx="696">
                  <c:v>1.3667073356718007</c:v>
                </c:pt>
                <c:pt idx="697">
                  <c:v>1.386457221290224</c:v>
                </c:pt>
                <c:pt idx="698">
                  <c:v>1.3946164404453252</c:v>
                </c:pt>
                <c:pt idx="699">
                  <c:v>1.3909562299832237</c:v>
                </c:pt>
                <c:pt idx="700">
                  <c:v>1.4213817294494431</c:v>
                </c:pt>
                <c:pt idx="701">
                  <c:v>1.4091810279091046</c:v>
                </c:pt>
                <c:pt idx="702">
                  <c:v>1.4293121854506632</c:v>
                </c:pt>
                <c:pt idx="703">
                  <c:v>1.4336586853744087</c:v>
                </c:pt>
                <c:pt idx="704">
                  <c:v>1.4466219307610186</c:v>
                </c:pt>
                <c:pt idx="705">
                  <c:v>1.4464694219917644</c:v>
                </c:pt>
                <c:pt idx="706">
                  <c:v>1.4598901936861366</c:v>
                </c:pt>
                <c:pt idx="707">
                  <c:v>1.4537135885313401</c:v>
                </c:pt>
                <c:pt idx="708">
                  <c:v>1.4588226323013571</c:v>
                </c:pt>
                <c:pt idx="709">
                  <c:v>1.4486045447613234</c:v>
                </c:pt>
                <c:pt idx="710">
                  <c:v>1.4472319658380353</c:v>
                </c:pt>
                <c:pt idx="711">
                  <c:v>1.4518834833002894</c:v>
                </c:pt>
                <c:pt idx="712">
                  <c:v>1.4440292816836964</c:v>
                </c:pt>
                <c:pt idx="713">
                  <c:v>1.4484520359920692</c:v>
                </c:pt>
                <c:pt idx="714">
                  <c:v>1.4582888516089674</c:v>
                </c:pt>
                <c:pt idx="715">
                  <c:v>1.4444868079914595</c:v>
                </c:pt>
                <c:pt idx="716">
                  <c:v>1.4749123074576789</c:v>
                </c:pt>
                <c:pt idx="717">
                  <c:v>1.4665243251486961</c:v>
                </c:pt>
                <c:pt idx="718">
                  <c:v>1.481393930150984</c:v>
                </c:pt>
                <c:pt idx="719">
                  <c:v>1.4923745615372885</c:v>
                </c:pt>
                <c:pt idx="720">
                  <c:v>1.4730822022266283</c:v>
                </c:pt>
                <c:pt idx="721">
                  <c:v>1.4847491230745773</c:v>
                </c:pt>
                <c:pt idx="722">
                  <c:v>1.50953179807839</c:v>
                </c:pt>
                <c:pt idx="723">
                  <c:v>1.5106756138477966</c:v>
                </c:pt>
                <c:pt idx="724">
                  <c:v>1.5065578770779322</c:v>
                </c:pt>
                <c:pt idx="725">
                  <c:v>1.4937471404605767</c:v>
                </c:pt>
                <c:pt idx="726">
                  <c:v>1.5017538508464239</c:v>
                </c:pt>
                <c:pt idx="727">
                  <c:v>1.4856641756901026</c:v>
                </c:pt>
                <c:pt idx="728">
                  <c:v>1.4845203599206958</c:v>
                </c:pt>
                <c:pt idx="729">
                  <c:v>1.4762848863809672</c:v>
                </c:pt>
                <c:pt idx="730">
                  <c:v>1.472090895226476</c:v>
                </c:pt>
                <c:pt idx="731">
                  <c:v>1.4728534390727472</c:v>
                </c:pt>
                <c:pt idx="732">
                  <c:v>1.4761323776117132</c:v>
                </c:pt>
                <c:pt idx="733">
                  <c:v>1.468125667225866</c:v>
                </c:pt>
                <c:pt idx="734">
                  <c:v>1.415586396217783</c:v>
                </c:pt>
                <c:pt idx="735">
                  <c:v>1.404987036754614</c:v>
                </c:pt>
                <c:pt idx="736">
                  <c:v>1.3871435107518688</c:v>
                </c:pt>
                <c:pt idx="737">
                  <c:v>1.3815769406740894</c:v>
                </c:pt>
                <c:pt idx="738">
                  <c:v>1.4149763611407664</c:v>
                </c:pt>
                <c:pt idx="739">
                  <c:v>1.4117736769864275</c:v>
                </c:pt>
                <c:pt idx="740">
                  <c:v>1.419780387372275</c:v>
                </c:pt>
                <c:pt idx="741">
                  <c:v>1.415205124294648</c:v>
                </c:pt>
                <c:pt idx="742">
                  <c:v>1.4177215189873427</c:v>
                </c:pt>
                <c:pt idx="743">
                  <c:v>1.4002592649077332</c:v>
                </c:pt>
                <c:pt idx="744">
                  <c:v>1.3930150983681573</c:v>
                </c:pt>
                <c:pt idx="745">
                  <c:v>1.4383864572212912</c:v>
                </c:pt>
                <c:pt idx="746">
                  <c:v>1.4607289919170363</c:v>
                </c:pt>
                <c:pt idx="747">
                  <c:v>1.4784962635351542</c:v>
                </c:pt>
                <c:pt idx="748">
                  <c:v>1.4883330791520524</c:v>
                </c:pt>
                <c:pt idx="749">
                  <c:v>1.4831477809974085</c:v>
                </c:pt>
                <c:pt idx="750">
                  <c:v>1.4806313863047136</c:v>
                </c:pt>
                <c:pt idx="751">
                  <c:v>1.4672868689949683</c:v>
                </c:pt>
                <c:pt idx="752">
                  <c:v>1.4620253164556973</c:v>
                </c:pt>
                <c:pt idx="753">
                  <c:v>1.4338874485282915</c:v>
                </c:pt>
                <c:pt idx="754">
                  <c:v>1.4061308525240215</c:v>
                </c:pt>
                <c:pt idx="755">
                  <c:v>1.4248894311422922</c:v>
                </c:pt>
                <c:pt idx="756">
                  <c:v>1.4171877382949531</c:v>
                </c:pt>
                <c:pt idx="757">
                  <c:v>1.4311422906817155</c:v>
                </c:pt>
                <c:pt idx="758">
                  <c:v>1.4434955009913082</c:v>
                </c:pt>
                <c:pt idx="759">
                  <c:v>1.4443342992222066</c:v>
                </c:pt>
                <c:pt idx="760">
                  <c:v>1.4360225712978507</c:v>
                </c:pt>
                <c:pt idx="761">
                  <c:v>1.4400640536830878</c:v>
                </c:pt>
                <c:pt idx="762">
                  <c:v>1.4271008082964782</c:v>
                </c:pt>
                <c:pt idx="763">
                  <c:v>1.4110111331401567</c:v>
                </c:pt>
                <c:pt idx="764">
                  <c:v>1.4042244929083436</c:v>
                </c:pt>
                <c:pt idx="765">
                  <c:v>1.4020131157541573</c:v>
                </c:pt>
                <c:pt idx="766">
                  <c:v>1.3901936861369544</c:v>
                </c:pt>
                <c:pt idx="767">
                  <c:v>1.3844746072899208</c:v>
                </c:pt>
                <c:pt idx="768">
                  <c:v>1.3902699405215815</c:v>
                </c:pt>
                <c:pt idx="769">
                  <c:v>1.4059020893701406</c:v>
                </c:pt>
                <c:pt idx="770">
                  <c:v>1.3917950282141243</c:v>
                </c:pt>
                <c:pt idx="771">
                  <c:v>1.3814244319048363</c:v>
                </c:pt>
                <c:pt idx="772">
                  <c:v>1.3926338264450224</c:v>
                </c:pt>
                <c:pt idx="773">
                  <c:v>1.3834070459051413</c:v>
                </c:pt>
                <c:pt idx="774">
                  <c:v>1.3782980021351245</c:v>
                </c:pt>
                <c:pt idx="775">
                  <c:v>1.3699862742107687</c:v>
                </c:pt>
                <c:pt idx="776">
                  <c:v>1.3352142748208038</c:v>
                </c:pt>
                <c:pt idx="777">
                  <c:v>1.2972395912765</c:v>
                </c:pt>
                <c:pt idx="778">
                  <c:v>1.2896141528137883</c:v>
                </c:pt>
                <c:pt idx="779">
                  <c:v>1.2886991001982631</c:v>
                </c:pt>
                <c:pt idx="780">
                  <c:v>1.3018911087387541</c:v>
                </c:pt>
                <c:pt idx="781">
                  <c:v>1.3172944944334317</c:v>
                </c:pt>
                <c:pt idx="782">
                  <c:v>1.320954704895533</c:v>
                </c:pt>
                <c:pt idx="783">
                  <c:v>1.3049412841238386</c:v>
                </c:pt>
                <c:pt idx="784">
                  <c:v>1.3192008540491094</c:v>
                </c:pt>
                <c:pt idx="785">
                  <c:v>1.3163031874332789</c:v>
                </c:pt>
                <c:pt idx="786">
                  <c:v>1.3246911697422616</c:v>
                </c:pt>
                <c:pt idx="787">
                  <c:v>1.342687204514261</c:v>
                </c:pt>
                <c:pt idx="788">
                  <c:v>1.3624370901326839</c:v>
                </c:pt>
                <c:pt idx="789">
                  <c:v>1.3067713893548891</c:v>
                </c:pt>
                <c:pt idx="790">
                  <c:v>1.3137105383559566</c:v>
                </c:pt>
                <c:pt idx="791">
                  <c:v>1.302806161354279</c:v>
                </c:pt>
                <c:pt idx="792">
                  <c:v>1.2941131615067878</c:v>
                </c:pt>
                <c:pt idx="793">
                  <c:v>1.3215647399725496</c:v>
                </c:pt>
                <c:pt idx="794">
                  <c:v>1.3076101875857873</c:v>
                </c:pt>
                <c:pt idx="795">
                  <c:v>1.2965533018148556</c:v>
                </c:pt>
                <c:pt idx="796">
                  <c:v>1.2874790300442287</c:v>
                </c:pt>
                <c:pt idx="797">
                  <c:v>1.2936556351990249</c:v>
                </c:pt>
                <c:pt idx="798">
                  <c:v>1.2873265212749743</c:v>
                </c:pt>
                <c:pt idx="799">
                  <c:v>1.2931218545066352</c:v>
                </c:pt>
                <c:pt idx="800">
                  <c:v>1.2845051090437709</c:v>
                </c:pt>
                <c:pt idx="801">
                  <c:v>1.2938081439682789</c:v>
                </c:pt>
                <c:pt idx="802">
                  <c:v>1.2793960652737539</c:v>
                </c:pt>
                <c:pt idx="803">
                  <c:v>1.3347567485130403</c:v>
                </c:pt>
                <c:pt idx="804">
                  <c:v>1.3462711605917348</c:v>
                </c:pt>
                <c:pt idx="805">
                  <c:v>1.316836968125668</c:v>
                </c:pt>
                <c:pt idx="806">
                  <c:v>1.2915967668140924</c:v>
                </c:pt>
                <c:pt idx="807">
                  <c:v>1.2810736617355505</c:v>
                </c:pt>
                <c:pt idx="808">
                  <c:v>1.2737532408113472</c:v>
                </c:pt>
                <c:pt idx="809">
                  <c:v>1.2581973463474156</c:v>
                </c:pt>
                <c:pt idx="810">
                  <c:v>1.2646027146560934</c:v>
                </c:pt>
                <c:pt idx="811">
                  <c:v>1.2726856794265677</c:v>
                </c:pt>
                <c:pt idx="812">
                  <c:v>1.2888516089675164</c:v>
                </c:pt>
                <c:pt idx="813">
                  <c:v>1.2954857404300752</c:v>
                </c:pt>
                <c:pt idx="814">
                  <c:v>1.2909867317370756</c:v>
                </c:pt>
                <c:pt idx="815">
                  <c:v>1.3230135732804644</c:v>
                </c:pt>
                <c:pt idx="816">
                  <c:v>1.2988409333536688</c:v>
                </c:pt>
                <c:pt idx="817">
                  <c:v>1.2909867317370758</c:v>
                </c:pt>
                <c:pt idx="818">
                  <c:v>1.3194296172029902</c:v>
                </c:pt>
                <c:pt idx="819">
                  <c:v>1.3983529052920554</c:v>
                </c:pt>
                <c:pt idx="820">
                  <c:v>1.3856184230593271</c:v>
                </c:pt>
                <c:pt idx="821">
                  <c:v>1.3908799755985981</c:v>
                </c:pt>
                <c:pt idx="822">
                  <c:v>1.3934726246759199</c:v>
                </c:pt>
                <c:pt idx="823">
                  <c:v>1.4074271770626821</c:v>
                </c:pt>
                <c:pt idx="824">
                  <c:v>1.3958365105993606</c:v>
                </c:pt>
                <c:pt idx="825">
                  <c:v>1.4204666768339189</c:v>
                </c:pt>
                <c:pt idx="826">
                  <c:v>1.4292359310660374</c:v>
                </c:pt>
                <c:pt idx="827">
                  <c:v>1.4466981851456471</c:v>
                </c:pt>
                <c:pt idx="828">
                  <c:v>1.4476132377611726</c:v>
                </c:pt>
                <c:pt idx="829">
                  <c:v>1.4478420009150539</c:v>
                </c:pt>
                <c:pt idx="830">
                  <c:v>1.4567637639164266</c:v>
                </c:pt>
                <c:pt idx="831">
                  <c:v>1.466753088302579</c:v>
                </c:pt>
                <c:pt idx="832">
                  <c:v>1.4556962025316473</c:v>
                </c:pt>
                <c:pt idx="833">
                  <c:v>1.4250419399115466</c:v>
                </c:pt>
                <c:pt idx="834">
                  <c:v>1.4486807991459525</c:v>
                </c:pt>
                <c:pt idx="835">
                  <c:v>1.4487570535305798</c:v>
                </c:pt>
                <c:pt idx="836">
                  <c:v>1.4510446850693932</c:v>
                </c:pt>
                <c:pt idx="837">
                  <c:v>1.4586701235321047</c:v>
                </c:pt>
                <c:pt idx="838">
                  <c:v>1.4659905444563079</c:v>
                </c:pt>
                <c:pt idx="839">
                  <c:v>1.4795638249199345</c:v>
                </c:pt>
                <c:pt idx="840">
                  <c:v>1.4820039652280024</c:v>
                </c:pt>
                <c:pt idx="841">
                  <c:v>1.4935946316913242</c:v>
                </c:pt>
                <c:pt idx="842">
                  <c:v>1.482995272228155</c:v>
                </c:pt>
                <c:pt idx="843">
                  <c:v>1.5013725789232901</c:v>
                </c:pt>
                <c:pt idx="844">
                  <c:v>1.4726246759188675</c:v>
                </c:pt>
                <c:pt idx="845">
                  <c:v>1.5796095775507115</c:v>
                </c:pt>
                <c:pt idx="846">
                  <c:v>1.6247521732499641</c:v>
                </c:pt>
                <c:pt idx="847">
                  <c:v>1.6336739362513368</c:v>
                </c:pt>
                <c:pt idx="848">
                  <c:v>1.6203294189415915</c:v>
                </c:pt>
                <c:pt idx="849">
                  <c:v>1.652203751715726</c:v>
                </c:pt>
                <c:pt idx="850">
                  <c:v>1.6340552081744724</c:v>
                </c:pt>
                <c:pt idx="851">
                  <c:v>1.5989019368613719</c:v>
                </c:pt>
                <c:pt idx="852">
                  <c:v>1.5822022266280336</c:v>
                </c:pt>
                <c:pt idx="853">
                  <c:v>1.5871587616287959</c:v>
                </c:pt>
                <c:pt idx="854">
                  <c:v>1.5942504193991178</c:v>
                </c:pt>
                <c:pt idx="855">
                  <c:v>1.6261247521732523</c:v>
                </c:pt>
                <c:pt idx="856">
                  <c:v>1.6326063748665571</c:v>
                </c:pt>
                <c:pt idx="857">
                  <c:v>1.6060698490163208</c:v>
                </c:pt>
                <c:pt idx="858">
                  <c:v>1.652813786792743</c:v>
                </c:pt>
                <c:pt idx="859">
                  <c:v>1.679655330181488</c:v>
                </c:pt>
                <c:pt idx="860">
                  <c:v>1.6894158914137589</c:v>
                </c:pt>
                <c:pt idx="861">
                  <c:v>1.7259417416501475</c:v>
                </c:pt>
                <c:pt idx="862">
                  <c:v>1.7372273905749607</c:v>
                </c:pt>
                <c:pt idx="863">
                  <c:v>1.7437852676528929</c:v>
                </c:pt>
                <c:pt idx="864">
                  <c:v>1.7765746530425526</c:v>
                </c:pt>
                <c:pt idx="865">
                  <c:v>1.7353210309592828</c:v>
                </c:pt>
                <c:pt idx="866">
                  <c:v>1.7579685831935363</c:v>
                </c:pt>
                <c:pt idx="867">
                  <c:v>1.7874027756596031</c:v>
                </c:pt>
                <c:pt idx="868">
                  <c:v>1.790605459813942</c:v>
                </c:pt>
                <c:pt idx="869">
                  <c:v>1.745310355345435</c:v>
                </c:pt>
                <c:pt idx="870">
                  <c:v>1.7094707945706904</c:v>
                </c:pt>
                <c:pt idx="871">
                  <c:v>1.7104621015708428</c:v>
                </c:pt>
                <c:pt idx="872">
                  <c:v>1.7077931981088939</c:v>
                </c:pt>
                <c:pt idx="873">
                  <c:v>1.7157999084947411</c:v>
                </c:pt>
                <c:pt idx="874">
                  <c:v>1.6664633216409968</c:v>
                </c:pt>
                <c:pt idx="875">
                  <c:v>1.6584566112551498</c:v>
                </c:pt>
                <c:pt idx="876">
                  <c:v>1.6620405673326242</c:v>
                </c:pt>
                <c:pt idx="877">
                  <c:v>1.6641756901021836</c:v>
                </c:pt>
                <c:pt idx="878">
                  <c:v>1.6684459356413022</c:v>
                </c:pt>
                <c:pt idx="879">
                  <c:v>1.6934573737989962</c:v>
                </c:pt>
                <c:pt idx="880">
                  <c:v>1.6650907427177091</c:v>
                </c:pt>
                <c:pt idx="881">
                  <c:v>1.6765289004117765</c:v>
                </c:pt>
                <c:pt idx="882">
                  <c:v>1.5957755070916604</c:v>
                </c:pt>
                <c:pt idx="883">
                  <c:v>1.5802196126277286</c:v>
                </c:pt>
                <c:pt idx="884">
                  <c:v>1.5999694982461519</c:v>
                </c:pt>
                <c:pt idx="885">
                  <c:v>1.6265822784810156</c:v>
                </c:pt>
                <c:pt idx="886">
                  <c:v>1.6489248131767609</c:v>
                </c:pt>
                <c:pt idx="887">
                  <c:v>1.6587616287936588</c:v>
                </c:pt>
                <c:pt idx="888">
                  <c:v>1.6872807686442006</c:v>
                </c:pt>
                <c:pt idx="889">
                  <c:v>1.6907122159524206</c:v>
                </c:pt>
                <c:pt idx="890">
                  <c:v>1.7135885313405554</c:v>
                </c:pt>
                <c:pt idx="891">
                  <c:v>1.7237303644959618</c:v>
                </c:pt>
                <c:pt idx="892">
                  <c:v>1.7225102943419279</c:v>
                </c:pt>
                <c:pt idx="893">
                  <c:v>1.7272380661888089</c:v>
                </c:pt>
                <c:pt idx="894">
                  <c:v>1.7263992679579108</c:v>
                </c:pt>
                <c:pt idx="895">
                  <c:v>1.71213969803264</c:v>
                </c:pt>
                <c:pt idx="896">
                  <c:v>1.7297544608815039</c:v>
                </c:pt>
                <c:pt idx="897">
                  <c:v>1.7323471099588257</c:v>
                </c:pt>
                <c:pt idx="898">
                  <c:v>1.7388287326521308</c:v>
                </c:pt>
                <c:pt idx="899">
                  <c:v>1.7270855574195549</c:v>
                </c:pt>
                <c:pt idx="900">
                  <c:v>1.7522495043465032</c:v>
                </c:pt>
                <c:pt idx="901">
                  <c:v>1.7462254079609609</c:v>
                </c:pt>
                <c:pt idx="902">
                  <c:v>1.6987189263382676</c:v>
                </c:pt>
                <c:pt idx="903">
                  <c:v>1.6840780844898613</c:v>
                </c:pt>
                <c:pt idx="904">
                  <c:v>1.69574500533781</c:v>
                </c:pt>
                <c:pt idx="905">
                  <c:v>1.68384932133598</c:v>
                </c:pt>
                <c:pt idx="906">
                  <c:v>1.6845356107976239</c:v>
                </c:pt>
                <c:pt idx="907">
                  <c:v>1.6784352600274548</c:v>
                </c:pt>
                <c:pt idx="908">
                  <c:v>1.6978801281073692</c:v>
                </c:pt>
                <c:pt idx="909">
                  <c:v>1.6987189263382678</c:v>
                </c:pt>
                <c:pt idx="910">
                  <c:v>1.6966600579533357</c:v>
                </c:pt>
                <c:pt idx="911">
                  <c:v>1.6495348482537777</c:v>
                </c:pt>
                <c:pt idx="912">
                  <c:v>1.6531188043312521</c:v>
                </c:pt>
                <c:pt idx="913">
                  <c:v>1.6828580143358276</c:v>
                </c:pt>
                <c:pt idx="914">
                  <c:v>1.7452341009608088</c:v>
                </c:pt>
                <c:pt idx="915">
                  <c:v>1.7401250571907918</c:v>
                </c:pt>
                <c:pt idx="916">
                  <c:v>1.7269330486503007</c:v>
                </c:pt>
                <c:pt idx="917">
                  <c:v>1.7337959432667411</c:v>
                </c:pt>
                <c:pt idx="918">
                  <c:v>1.7261705048040294</c:v>
                </c:pt>
                <c:pt idx="919">
                  <c:v>1.7349397590361477</c:v>
                </c:pt>
                <c:pt idx="920">
                  <c:v>1.7369986274210796</c:v>
                </c:pt>
                <c:pt idx="921">
                  <c:v>1.7767271618118072</c:v>
                </c:pt>
                <c:pt idx="922">
                  <c:v>1.7249504346499953</c:v>
                </c:pt>
                <c:pt idx="923">
                  <c:v>1.7292969345737408</c:v>
                </c:pt>
                <c:pt idx="924">
                  <c:v>1.7208326978801307</c:v>
                </c:pt>
                <c:pt idx="925">
                  <c:v>1.7294494433429948</c:v>
                </c:pt>
                <c:pt idx="926">
                  <c:v>1.6904834527985384</c:v>
                </c:pt>
                <c:pt idx="927">
                  <c:v>1.7215952417264018</c:v>
                </c:pt>
                <c:pt idx="928">
                  <c:v>1.7503431447308246</c:v>
                </c:pt>
                <c:pt idx="929">
                  <c:v>1.7465304254994689</c:v>
                </c:pt>
                <c:pt idx="930">
                  <c:v>1.7351685221900288</c:v>
                </c:pt>
                <c:pt idx="931">
                  <c:v>1.7637639164251975</c:v>
                </c:pt>
                <c:pt idx="932">
                  <c:v>1.7832087845051121</c:v>
                </c:pt>
                <c:pt idx="933">
                  <c:v>1.7674241268872992</c:v>
                </c:pt>
                <c:pt idx="934">
                  <c:v>1.7702455391185026</c:v>
                </c:pt>
                <c:pt idx="935">
                  <c:v>1.7919780387372308</c:v>
                </c:pt>
                <c:pt idx="936">
                  <c:v>1.8032636876620438</c:v>
                </c:pt>
                <c:pt idx="937">
                  <c:v>1.7985359158151628</c:v>
                </c:pt>
                <c:pt idx="938">
                  <c:v>1.7596461796553333</c:v>
                </c:pt>
                <c:pt idx="939">
                  <c:v>1.7581973463474181</c:v>
                </c:pt>
                <c:pt idx="940">
                  <c:v>1.7646027146560956</c:v>
                </c:pt>
                <c:pt idx="941">
                  <c:v>1.7797773371968917</c:v>
                </c:pt>
                <c:pt idx="942">
                  <c:v>1.7818362055818235</c:v>
                </c:pt>
                <c:pt idx="943">
                  <c:v>1.754613390269943</c:v>
                </c:pt>
                <c:pt idx="944">
                  <c:v>1.7226628031111815</c:v>
                </c:pt>
                <c:pt idx="945">
                  <c:v>1.6997864877230466</c:v>
                </c:pt>
                <c:pt idx="946">
                  <c:v>1.6929235931066062</c:v>
                </c:pt>
                <c:pt idx="947">
                  <c:v>1.703904224492911</c:v>
                </c:pt>
                <c:pt idx="948">
                  <c:v>1.6983376544151316</c:v>
                </c:pt>
                <c:pt idx="949">
                  <c:v>1.7346347414976391</c:v>
                </c:pt>
                <c:pt idx="950">
                  <c:v>1.7306695134970291</c:v>
                </c:pt>
                <c:pt idx="951">
                  <c:v>1.7098520664938262</c:v>
                </c:pt>
                <c:pt idx="952">
                  <c:v>1.7098520664938262</c:v>
                </c:pt>
                <c:pt idx="953">
                  <c:v>1.7166387067256397</c:v>
                </c:pt>
                <c:pt idx="954">
                  <c:v>1.7402775659600456</c:v>
                </c:pt>
                <c:pt idx="955">
                  <c:v>1.7157236541101142</c:v>
                </c:pt>
                <c:pt idx="956">
                  <c:v>1.7387524782675032</c:v>
                </c:pt>
                <c:pt idx="957">
                  <c:v>1.7407350922678082</c:v>
                </c:pt>
                <c:pt idx="958">
                  <c:v>1.7462254079609607</c:v>
                </c:pt>
                <c:pt idx="959">
                  <c:v>1.7425651974988592</c:v>
                </c:pt>
                <c:pt idx="960">
                  <c:v>1.7528595394235198</c:v>
                </c:pt>
                <c:pt idx="961">
                  <c:v>1.7757358548116544</c:v>
                </c:pt>
                <c:pt idx="962">
                  <c:v>1.7924355650449928</c:v>
                </c:pt>
                <c:pt idx="963">
                  <c:v>1.7914442580448402</c:v>
                </c:pt>
                <c:pt idx="964">
                  <c:v>1.8097453103553482</c:v>
                </c:pt>
                <c:pt idx="965">
                  <c:v>1.8269788012810766</c:v>
                </c:pt>
                <c:pt idx="966">
                  <c:v>1.8503126429769743</c:v>
                </c:pt>
                <c:pt idx="967">
                  <c:v>1.8530578008235503</c:v>
                </c:pt>
                <c:pt idx="968">
                  <c:v>1.8532865639774314</c:v>
                </c:pt>
                <c:pt idx="969">
                  <c:v>1.8517614762848893</c:v>
                </c:pt>
                <c:pt idx="970">
                  <c:v>1.8815769406740914</c:v>
                </c:pt>
                <c:pt idx="971">
                  <c:v>1.8893548879060571</c:v>
                </c:pt>
                <c:pt idx="972">
                  <c:v>1.8795943266737862</c:v>
                </c:pt>
                <c:pt idx="973">
                  <c:v>1.8908037212139726</c:v>
                </c:pt>
                <c:pt idx="974">
                  <c:v>1.8921000457526334</c:v>
                </c:pt>
                <c:pt idx="975">
                  <c:v>1.9142900716791242</c:v>
                </c:pt>
                <c:pt idx="976">
                  <c:v>1.9328961415281405</c:v>
                </c:pt>
                <c:pt idx="977">
                  <c:v>1.8914900106756165</c:v>
                </c:pt>
                <c:pt idx="978">
                  <c:v>1.9047582736007345</c:v>
                </c:pt>
                <c:pt idx="979">
                  <c:v>1.9405978343754791</c:v>
                </c:pt>
                <c:pt idx="980">
                  <c:v>1.9465456763763942</c:v>
                </c:pt>
                <c:pt idx="981">
                  <c:v>1.9688882110721388</c:v>
                </c:pt>
                <c:pt idx="982">
                  <c:v>1.9751410706115622</c:v>
                </c:pt>
                <c:pt idx="983">
                  <c:v>1.9489858166844614</c:v>
                </c:pt>
                <c:pt idx="984">
                  <c:v>1.923135580295869</c:v>
                </c:pt>
                <c:pt idx="985">
                  <c:v>1.9095622998322423</c:v>
                </c:pt>
                <c:pt idx="986">
                  <c:v>1.8594631691322272</c:v>
                </c:pt>
                <c:pt idx="987">
                  <c:v>1.8557267042854986</c:v>
                </c:pt>
                <c:pt idx="988">
                  <c:v>1.8682324233643455</c:v>
                </c:pt>
                <c:pt idx="989">
                  <c:v>1.8469574500533801</c:v>
                </c:pt>
                <c:pt idx="990">
                  <c:v>1.8506939149001085</c:v>
                </c:pt>
                <c:pt idx="991">
                  <c:v>1.8060850998932456</c:v>
                </c:pt>
                <c:pt idx="992">
                  <c:v>1.7874027756596023</c:v>
                </c:pt>
                <c:pt idx="993">
                  <c:v>1.7788622845813653</c:v>
                </c:pt>
                <c:pt idx="994">
                  <c:v>1.8138630471252117</c:v>
                </c:pt>
                <c:pt idx="995">
                  <c:v>1.7405825834985531</c:v>
                </c:pt>
                <c:pt idx="996">
                  <c:v>1.7536983376544173</c:v>
                </c:pt>
                <c:pt idx="997">
                  <c:v>1.6977276193381139</c:v>
                </c:pt>
                <c:pt idx="998">
                  <c:v>1.706801891108741</c:v>
                </c:pt>
                <c:pt idx="999">
                  <c:v>1.7055055665700798</c:v>
                </c:pt>
                <c:pt idx="1000">
                  <c:v>1.6987951807228936</c:v>
                </c:pt>
                <c:pt idx="1001">
                  <c:v>1.752783285038892</c:v>
                </c:pt>
                <c:pt idx="1002">
                  <c:v>1.8168369681256693</c:v>
                </c:pt>
                <c:pt idx="1003">
                  <c:v>1.8252249504346525</c:v>
                </c:pt>
                <c:pt idx="1004">
                  <c:v>1.8117279243556528</c:v>
                </c:pt>
                <c:pt idx="1005">
                  <c:v>1.7996034771999412</c:v>
                </c:pt>
                <c:pt idx="1006">
                  <c:v>1.7386762238828752</c:v>
                </c:pt>
                <c:pt idx="1007">
                  <c:v>1.775202074119264</c:v>
                </c:pt>
                <c:pt idx="1008">
                  <c:v>1.7726856794265691</c:v>
                </c:pt>
                <c:pt idx="1009">
                  <c:v>1.7784047582736029</c:v>
                </c:pt>
                <c:pt idx="1010">
                  <c:v>1.735778557267045</c:v>
                </c:pt>
                <c:pt idx="1011">
                  <c:v>1.7359310660362992</c:v>
                </c:pt>
                <c:pt idx="1012">
                  <c:v>1.7738294951959759</c:v>
                </c:pt>
                <c:pt idx="1013">
                  <c:v>1.8062376086625003</c:v>
                </c:pt>
                <c:pt idx="1014">
                  <c:v>1.8417721518987367</c:v>
                </c:pt>
                <c:pt idx="1015">
                  <c:v>1.865182247979261</c:v>
                </c:pt>
                <c:pt idx="1016">
                  <c:v>1.8641909409791086</c:v>
                </c:pt>
                <c:pt idx="1017">
                  <c:v>1.8672411163641933</c:v>
                </c:pt>
                <c:pt idx="1018">
                  <c:v>1.8745615372883964</c:v>
                </c:pt>
                <c:pt idx="1019">
                  <c:v>1.8724264145188372</c:v>
                </c:pt>
                <c:pt idx="1020">
                  <c:v>1.8842458441360401</c:v>
                </c:pt>
                <c:pt idx="1021">
                  <c:v>1.8837883178282773</c:v>
                </c:pt>
                <c:pt idx="1022">
                  <c:v>1.832850388897364</c:v>
                </c:pt>
                <c:pt idx="1023">
                  <c:v>1.8095165472014665</c:v>
                </c:pt>
                <c:pt idx="1024">
                  <c:v>1.8441360378221769</c:v>
                </c:pt>
                <c:pt idx="1025">
                  <c:v>1.8150831172792457</c:v>
                </c:pt>
                <c:pt idx="1026">
                  <c:v>1.7990696965075512</c:v>
                </c:pt>
                <c:pt idx="1027">
                  <c:v>1.797620863199636</c:v>
                </c:pt>
                <c:pt idx="1028">
                  <c:v>1.7944944334299242</c:v>
                </c:pt>
                <c:pt idx="1029">
                  <c:v>1.8230135732804655</c:v>
                </c:pt>
                <c:pt idx="1030">
                  <c:v>1.734634741497638</c:v>
                </c:pt>
                <c:pt idx="1031">
                  <c:v>1.6840018301052331</c:v>
                </c:pt>
                <c:pt idx="1032">
                  <c:v>1.6545676376391663</c:v>
                </c:pt>
                <c:pt idx="1033">
                  <c:v>1.5989019368613715</c:v>
                </c:pt>
                <c:pt idx="1034">
                  <c:v>1.6279548574043028</c:v>
                </c:pt>
                <c:pt idx="1035">
                  <c:v>1.6318438310202856</c:v>
                </c:pt>
                <c:pt idx="1036">
                  <c:v>1.6218545066341334</c:v>
                </c:pt>
                <c:pt idx="1037">
                  <c:v>1.6412993747140483</c:v>
                </c:pt>
                <c:pt idx="1038">
                  <c:v>1.6326063748665569</c:v>
                </c:pt>
                <c:pt idx="1039">
                  <c:v>1.6644044532560645</c:v>
                </c:pt>
                <c:pt idx="1040">
                  <c:v>1.6831630318743351</c:v>
                </c:pt>
                <c:pt idx="1041">
                  <c:v>1.7061918560317242</c:v>
                </c:pt>
                <c:pt idx="1042">
                  <c:v>1.6892633826445043</c:v>
                </c:pt>
                <c:pt idx="1043">
                  <c:v>1.706954399877995</c:v>
                </c:pt>
                <c:pt idx="1044">
                  <c:v>1.6615830410248609</c:v>
                </c:pt>
                <c:pt idx="1045">
                  <c:v>1.6938386457221311</c:v>
                </c:pt>
                <c:pt idx="1046">
                  <c:v>1.7019216104926052</c:v>
                </c:pt>
                <c:pt idx="1047">
                  <c:v>1.7072594174165032</c:v>
                </c:pt>
                <c:pt idx="1048">
                  <c:v>1.549412841238373</c:v>
                </c:pt>
                <c:pt idx="1049">
                  <c:v>1.4364800976056138</c:v>
                </c:pt>
                <c:pt idx="1050">
                  <c:v>1.3837120634436495</c:v>
                </c:pt>
                <c:pt idx="1051">
                  <c:v>1.3147780997407363</c:v>
                </c:pt>
                <c:pt idx="1052">
                  <c:v>1.5163184383102044</c:v>
                </c:pt>
                <c:pt idx="1053">
                  <c:v>1.4520359920695456</c:v>
                </c:pt>
                <c:pt idx="1054">
                  <c:v>1.5109806313863066</c:v>
                </c:pt>
                <c:pt idx="1055">
                  <c:v>1.5443037974683564</c:v>
                </c:pt>
                <c:pt idx="1056">
                  <c:v>1.5414061308525258</c:v>
                </c:pt>
                <c:pt idx="1057">
                  <c:v>1.4813939301509855</c:v>
                </c:pt>
                <c:pt idx="1058">
                  <c:v>1.5020588683849339</c:v>
                </c:pt>
                <c:pt idx="1059">
                  <c:v>1.4729296934573755</c:v>
                </c:pt>
                <c:pt idx="1060">
                  <c:v>1.5231050785420179</c:v>
                </c:pt>
                <c:pt idx="1061">
                  <c:v>1.5601647094707962</c:v>
                </c:pt>
                <c:pt idx="1062">
                  <c:v>1.5889126124752191</c:v>
                </c:pt>
                <c:pt idx="1063">
                  <c:v>1.5958517614762866</c:v>
                </c:pt>
                <c:pt idx="1064">
                  <c:v>1.6024096385542186</c:v>
                </c:pt>
                <c:pt idx="1065">
                  <c:v>1.61056885770932</c:v>
                </c:pt>
                <c:pt idx="1066">
                  <c:v>1.620405673326218</c:v>
                </c:pt>
                <c:pt idx="1067">
                  <c:v>1.6266585328656413</c:v>
                </c:pt>
                <c:pt idx="1068">
                  <c:v>1.5658837883178298</c:v>
                </c:pt>
                <c:pt idx="1069">
                  <c:v>1.5166234558487128</c:v>
                </c:pt>
                <c:pt idx="1070">
                  <c:v>1.5137257892328824</c:v>
                </c:pt>
                <c:pt idx="1071">
                  <c:v>1.4964922983071542</c:v>
                </c:pt>
                <c:pt idx="1072">
                  <c:v>1.5059478420009167</c:v>
                </c:pt>
                <c:pt idx="1073">
                  <c:v>1.5138782980021366</c:v>
                </c:pt>
                <c:pt idx="1074">
                  <c:v>1.6073661735549809</c:v>
                </c:pt>
                <c:pt idx="1075">
                  <c:v>1.6236846118651838</c:v>
                </c:pt>
                <c:pt idx="1076">
                  <c:v>1.619109348787557</c:v>
                </c:pt>
                <c:pt idx="1077">
                  <c:v>1.6123989629403706</c:v>
                </c:pt>
                <c:pt idx="1078">
                  <c:v>1.6109501296324553</c:v>
                </c:pt>
                <c:pt idx="1079">
                  <c:v>1.5920390422449306</c:v>
                </c:pt>
                <c:pt idx="1080">
                  <c:v>1.5773982003965243</c:v>
                </c:pt>
                <c:pt idx="1081">
                  <c:v>1.5410248589293898</c:v>
                </c:pt>
                <c:pt idx="1082">
                  <c:v>1.5410248589293898</c:v>
                </c:pt>
                <c:pt idx="1083">
                  <c:v>1.4890193686136965</c:v>
                </c:pt>
                <c:pt idx="1084">
                  <c:v>1.5266890346194919</c:v>
                </c:pt>
                <c:pt idx="1085">
                  <c:v>1.5282903766966611</c:v>
                </c:pt>
                <c:pt idx="1086">
                  <c:v>1.5247064206191867</c:v>
                </c:pt>
                <c:pt idx="1087">
                  <c:v>1.5315693152356271</c:v>
                </c:pt>
                <c:pt idx="1088">
                  <c:v>1.5380509379289318</c:v>
                </c:pt>
                <c:pt idx="1089">
                  <c:v>1.5500228763153892</c:v>
                </c:pt>
                <c:pt idx="1090">
                  <c:v>1.5465914290071687</c:v>
                </c:pt>
                <c:pt idx="1091">
                  <c:v>1.5298917187738303</c:v>
                </c:pt>
                <c:pt idx="1092">
                  <c:v>1.5549794113161517</c:v>
                </c:pt>
                <c:pt idx="1093">
                  <c:v>1.5361445783132539</c:v>
                </c:pt>
                <c:pt idx="1094">
                  <c:v>1.5454476132377621</c:v>
                </c:pt>
                <c:pt idx="1095">
                  <c:v>1.515784657617814</c:v>
                </c:pt>
                <c:pt idx="1096">
                  <c:v>1.5189873417721527</c:v>
                </c:pt>
                <c:pt idx="1097">
                  <c:v>1.4980173859996959</c:v>
                </c:pt>
                <c:pt idx="1098">
                  <c:v>1.5130394997712378</c:v>
                </c:pt>
                <c:pt idx="1099">
                  <c:v>1.4918407808448995</c:v>
                </c:pt>
                <c:pt idx="1100">
                  <c:v>1.4990086929998487</c:v>
                </c:pt>
                <c:pt idx="1101">
                  <c:v>1.5327131310050339</c:v>
                </c:pt>
                <c:pt idx="1102">
                  <c:v>1.5365258502363899</c:v>
                </c:pt>
                <c:pt idx="1103">
                  <c:v>1.5273753240811359</c:v>
                </c:pt>
                <c:pt idx="1104">
                  <c:v>1.5369833765441525</c:v>
                </c:pt>
                <c:pt idx="1105">
                  <c:v>1.5327131310050341</c:v>
                </c:pt>
                <c:pt idx="1106">
                  <c:v>1.533323166082051</c:v>
                </c:pt>
                <c:pt idx="1107">
                  <c:v>1.5645112093945412</c:v>
                </c:pt>
                <c:pt idx="1108">
                  <c:v>1.5847186213207272</c:v>
                </c:pt>
                <c:pt idx="1109">
                  <c:v>1.6199481470184549</c:v>
                </c:pt>
                <c:pt idx="1110">
                  <c:v>1.628412383712065</c:v>
                </c:pt>
                <c:pt idx="1111">
                  <c:v>1.6009608052463029</c:v>
                </c:pt>
                <c:pt idx="1112">
                  <c:v>1.6014183315540658</c:v>
                </c:pt>
                <c:pt idx="1113">
                  <c:v>1.6100350770169296</c:v>
                </c:pt>
                <c:pt idx="1114">
                  <c:v>1.6197193838645734</c:v>
                </c:pt>
                <c:pt idx="1115">
                  <c:v>1.6101875857861838</c:v>
                </c:pt>
                <c:pt idx="1116">
                  <c:v>1.5908189720908965</c:v>
                </c:pt>
                <c:pt idx="1117">
                  <c:v>1.5945554369376251</c:v>
                </c:pt>
                <c:pt idx="1118">
                  <c:v>1.6025621473234721</c:v>
                </c:pt>
                <c:pt idx="1119">
                  <c:v>1.6014945859386926</c:v>
                </c:pt>
                <c:pt idx="1120">
                  <c:v>1.610340094555438</c:v>
                </c:pt>
                <c:pt idx="1121">
                  <c:v>1.6202531645569629</c:v>
                </c:pt>
                <c:pt idx="1122">
                  <c:v>1.6348940064053694</c:v>
                </c:pt>
                <c:pt idx="1123">
                  <c:v>1.6329876467896915</c:v>
                </c:pt>
                <c:pt idx="1124">
                  <c:v>1.630013725789234</c:v>
                </c:pt>
                <c:pt idx="1125">
                  <c:v>1.6309287784047595</c:v>
                </c:pt>
                <c:pt idx="1126">
                  <c:v>1.6322251029434205</c:v>
                </c:pt>
                <c:pt idx="1127">
                  <c:v>1.6110263840170822</c:v>
                </c:pt>
                <c:pt idx="1128">
                  <c:v>1.5940979106298625</c:v>
                </c:pt>
                <c:pt idx="1129">
                  <c:v>1.5828122617050493</c:v>
                </c:pt>
                <c:pt idx="1130">
                  <c:v>1.5432362360835761</c:v>
                </c:pt>
                <c:pt idx="1131">
                  <c:v>1.5506329113924062</c:v>
                </c:pt>
                <c:pt idx="1132">
                  <c:v>1.54735397285344</c:v>
                </c:pt>
                <c:pt idx="1133">
                  <c:v>1.6261247521732511</c:v>
                </c:pt>
                <c:pt idx="1134">
                  <c:v>1.6778252249504357</c:v>
                </c:pt>
                <c:pt idx="1135">
                  <c:v>1.7488943114229081</c:v>
                </c:pt>
                <c:pt idx="1136">
                  <c:v>1.7323471099588241</c:v>
                </c:pt>
                <c:pt idx="1137">
                  <c:v>1.7511819429617219</c:v>
                </c:pt>
                <c:pt idx="1138">
                  <c:v>1.7792435565045006</c:v>
                </c:pt>
                <c:pt idx="1139">
                  <c:v>1.7750495653500091</c:v>
                </c:pt>
                <c:pt idx="1140">
                  <c:v>1.7659752935793824</c:v>
                </c:pt>
                <c:pt idx="1141">
                  <c:v>1.7606374866554841</c:v>
                </c:pt>
                <c:pt idx="1142">
                  <c:v>1.7581210919627894</c:v>
                </c:pt>
                <c:pt idx="1143">
                  <c:v>1.7234253469574516</c:v>
                </c:pt>
                <c:pt idx="1144">
                  <c:v>1.7149611102638418</c:v>
                </c:pt>
                <c:pt idx="1145">
                  <c:v>1.7367698642671969</c:v>
                </c:pt>
                <c:pt idx="1146">
                  <c:v>1.7321946011895699</c:v>
                </c:pt>
                <c:pt idx="1147">
                  <c:v>1.7485892938843997</c:v>
                </c:pt>
                <c:pt idx="1148">
                  <c:v>1.7575873112703995</c:v>
                </c:pt>
                <c:pt idx="1149">
                  <c:v>1.7733719688882124</c:v>
                </c:pt>
                <c:pt idx="1150">
                  <c:v>1.7701692847338735</c:v>
                </c:pt>
                <c:pt idx="1151">
                  <c:v>1.7517157236541114</c:v>
                </c:pt>
                <c:pt idx="1152">
                  <c:v>1.8184383102028381</c:v>
                </c:pt>
                <c:pt idx="1153">
                  <c:v>1.8284276345889905</c:v>
                </c:pt>
                <c:pt idx="1154">
                  <c:v>1.8277413451273463</c:v>
                </c:pt>
                <c:pt idx="1155">
                  <c:v>1.8139393015098384</c:v>
                </c:pt>
                <c:pt idx="1156">
                  <c:v>1.7870215037364663</c:v>
                </c:pt>
                <c:pt idx="1157">
                  <c:v>1.7293731889583663</c:v>
                </c:pt>
                <c:pt idx="1158">
                  <c:v>1.7540796095775522</c:v>
                </c:pt>
                <c:pt idx="1159">
                  <c:v>1.7848863809669069</c:v>
                </c:pt>
                <c:pt idx="1160">
                  <c:v>1.8049412841238384</c:v>
                </c:pt>
                <c:pt idx="1161">
                  <c:v>1.8159981698947705</c:v>
                </c:pt>
                <c:pt idx="1162">
                  <c:v>1.822403538203448</c:v>
                </c:pt>
                <c:pt idx="1163">
                  <c:v>1.813939301509838</c:v>
                </c:pt>
                <c:pt idx="1164">
                  <c:v>1.8720451425957003</c:v>
                </c:pt>
                <c:pt idx="1165">
                  <c:v>1.9527222815311891</c:v>
                </c:pt>
                <c:pt idx="1166">
                  <c:v>1.9401403080677151</c:v>
                </c:pt>
                <c:pt idx="1167">
                  <c:v>1.9239743785267664</c:v>
                </c:pt>
                <c:pt idx="1168">
                  <c:v>1.9587463779167313</c:v>
                </c:pt>
                <c:pt idx="1169">
                  <c:v>1.9479945096843081</c:v>
                </c:pt>
                <c:pt idx="1170">
                  <c:v>1.9401403080677151</c:v>
                </c:pt>
                <c:pt idx="1171">
                  <c:v>1.9416653957602574</c:v>
                </c:pt>
                <c:pt idx="1172">
                  <c:v>1.9479182552996808</c:v>
                </c:pt>
                <c:pt idx="1173">
                  <c:v>1.9607289919170361</c:v>
                </c:pt>
                <c:pt idx="1174">
                  <c:v>1.9675156321488494</c:v>
                </c:pt>
                <c:pt idx="1175">
                  <c:v>1.957373798993443</c:v>
                </c:pt>
                <c:pt idx="1176">
                  <c:v>1.9557724569162738</c:v>
                </c:pt>
                <c:pt idx="1177">
                  <c:v>1.967820649687358</c:v>
                </c:pt>
                <c:pt idx="1178">
                  <c:v>1.9371663870672573</c:v>
                </c:pt>
                <c:pt idx="1179">
                  <c:v>1.8702912917492767</c:v>
                </c:pt>
                <c:pt idx="1180">
                  <c:v>1.8885160896751574</c:v>
                </c:pt>
                <c:pt idx="1181">
                  <c:v>1.8893548879060558</c:v>
                </c:pt>
                <c:pt idx="1182">
                  <c:v>1.9013268262925132</c:v>
                </c:pt>
                <c:pt idx="1183">
                  <c:v>1.8869147475979879</c:v>
                </c:pt>
                <c:pt idx="1184">
                  <c:v>1.923821869757512</c:v>
                </c:pt>
                <c:pt idx="1185">
                  <c:v>1.9996949824614929</c:v>
                </c:pt>
                <c:pt idx="1186">
                  <c:v>2.00373646484673</c:v>
                </c:pt>
                <c:pt idx="1187">
                  <c:v>1.9707945706878158</c:v>
                </c:pt>
                <c:pt idx="1188">
                  <c:v>1.9794113161506799</c:v>
                </c:pt>
                <c:pt idx="1189">
                  <c:v>2.0041177367698655</c:v>
                </c:pt>
                <c:pt idx="1190">
                  <c:v>2.0497941131615081</c:v>
                </c:pt>
                <c:pt idx="1191">
                  <c:v>2.0512429464694235</c:v>
                </c:pt>
                <c:pt idx="1192">
                  <c:v>2.0565807533933218</c:v>
                </c:pt>
                <c:pt idx="1193">
                  <c:v>2.0695439987799316</c:v>
                </c:pt>
                <c:pt idx="1194">
                  <c:v>2.0616897971633388</c:v>
                </c:pt>
                <c:pt idx="1195">
                  <c:v>2.0516242183925595</c:v>
                </c:pt>
                <c:pt idx="1196">
                  <c:v>2.0591734024706443</c:v>
                </c:pt>
                <c:pt idx="1197">
                  <c:v>2.0599359463169149</c:v>
                </c:pt>
                <c:pt idx="1198">
                  <c:v>2.0571145340857115</c:v>
                </c:pt>
                <c:pt idx="1199">
                  <c:v>2.0472014640841869</c:v>
                </c:pt>
                <c:pt idx="1200">
                  <c:v>2.0545218850083899</c:v>
                </c:pt>
                <c:pt idx="1201">
                  <c:v>2.0989019368613713</c:v>
                </c:pt>
                <c:pt idx="1202">
                  <c:v>2.0853286563977447</c:v>
                </c:pt>
                <c:pt idx="1203">
                  <c:v>2.0813634283971343</c:v>
                </c:pt>
                <c:pt idx="1204">
                  <c:v>2.0772456916272701</c:v>
                </c:pt>
                <c:pt idx="1205">
                  <c:v>2.0394997712368474</c:v>
                </c:pt>
                <c:pt idx="1206">
                  <c:v>2.0393472624675932</c:v>
                </c:pt>
                <c:pt idx="1207">
                  <c:v>2.0478877535458304</c:v>
                </c:pt>
                <c:pt idx="1208">
                  <c:v>2.0302729906969668</c:v>
                </c:pt>
                <c:pt idx="1209">
                  <c:v>2.0702302882415755</c:v>
                </c:pt>
                <c:pt idx="1210">
                  <c:v>2.1040109806313883</c:v>
                </c:pt>
                <c:pt idx="1211">
                  <c:v>2.1120176910172357</c:v>
                </c:pt>
                <c:pt idx="1212">
                  <c:v>2.1164404453256083</c:v>
                </c:pt>
                <c:pt idx="1213">
                  <c:v>2.1263535153271333</c:v>
                </c:pt>
                <c:pt idx="1214">
                  <c:v>2.1587616287936577</c:v>
                </c:pt>
                <c:pt idx="1215">
                  <c:v>2.1823242336434365</c:v>
                </c:pt>
                <c:pt idx="1216">
                  <c:v>2.1667683391795047</c:v>
                </c:pt>
                <c:pt idx="1217">
                  <c:v>2.1404605764831497</c:v>
                </c:pt>
                <c:pt idx="1218">
                  <c:v>2.1258197346347432</c:v>
                </c:pt>
                <c:pt idx="1219">
                  <c:v>2.1190330944029299</c:v>
                </c:pt>
                <c:pt idx="1220">
                  <c:v>2.1136190330944049</c:v>
                </c:pt>
                <c:pt idx="1221">
                  <c:v>2.1258197346347432</c:v>
                </c:pt>
                <c:pt idx="1222">
                  <c:v>2.1201006557877093</c:v>
                </c:pt>
                <c:pt idx="1223">
                  <c:v>2.1220070154033874</c:v>
                </c:pt>
                <c:pt idx="1224">
                  <c:v>2.0902089370138803</c:v>
                </c:pt>
                <c:pt idx="1225">
                  <c:v>2.0940216562452361</c:v>
                </c:pt>
                <c:pt idx="1226">
                  <c:v>2.0728991917035247</c:v>
                </c:pt>
                <c:pt idx="1227">
                  <c:v>2.0755680951654738</c:v>
                </c:pt>
                <c:pt idx="1228">
                  <c:v>2.0868537440902872</c:v>
                </c:pt>
                <c:pt idx="1229">
                  <c:v>2.066265060240966</c:v>
                </c:pt>
                <c:pt idx="1230">
                  <c:v>2.076864419704135</c:v>
                </c:pt>
                <c:pt idx="1231">
                  <c:v>2.0879213054750667</c:v>
                </c:pt>
                <c:pt idx="1232">
                  <c:v>2.0847948757053549</c:v>
                </c:pt>
                <c:pt idx="1233">
                  <c:v>2.0875400335519312</c:v>
                </c:pt>
                <c:pt idx="1234">
                  <c:v>2.0823547353972871</c:v>
                </c:pt>
                <c:pt idx="1235">
                  <c:v>2.0730517004727793</c:v>
                </c:pt>
                <c:pt idx="1236">
                  <c:v>2.066570077779474</c:v>
                </c:pt>
                <c:pt idx="1237">
                  <c:v>2.0379746835443053</c:v>
                </c:pt>
                <c:pt idx="1238">
                  <c:v>2.0006100350770186</c:v>
                </c:pt>
                <c:pt idx="1239">
                  <c:v>1.9851303949977139</c:v>
                </c:pt>
                <c:pt idx="1240">
                  <c:v>1.9752935793808164</c:v>
                </c:pt>
                <c:pt idx="1241">
                  <c:v>1.9778099740735113</c:v>
                </c:pt>
                <c:pt idx="1242">
                  <c:v>1.9845203599206973</c:v>
                </c:pt>
                <c:pt idx="1243">
                  <c:v>1.9906207106908669</c:v>
                </c:pt>
                <c:pt idx="1244">
                  <c:v>1.982308982766511</c:v>
                </c:pt>
                <c:pt idx="1245">
                  <c:v>1.9689644654567657</c:v>
                </c:pt>
                <c:pt idx="1246">
                  <c:v>1.9485282903766987</c:v>
                </c:pt>
                <c:pt idx="1247">
                  <c:v>1.881195668750955</c:v>
                </c:pt>
                <c:pt idx="1248">
                  <c:v>1.8884398352905314</c:v>
                </c:pt>
                <c:pt idx="1249">
                  <c:v>1.8937776422144292</c:v>
                </c:pt>
                <c:pt idx="1250">
                  <c:v>1.8914137562909885</c:v>
                </c:pt>
                <c:pt idx="1251">
                  <c:v>1.947613237761173</c:v>
                </c:pt>
                <c:pt idx="1252">
                  <c:v>1.9694219917645279</c:v>
                </c:pt>
                <c:pt idx="1253">
                  <c:v>1.9554674393777658</c:v>
                </c:pt>
                <c:pt idx="1254">
                  <c:v>1.9694982461491548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C6-4E64-9EAC-D6BC5F801578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MSFT Cumulative Return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Sheet1!$A$2:$A$1256</c:f>
              <c:numCache>
                <c:formatCode>m/d/yyyy\ h:mm:ss</c:formatCode>
                <c:ptCount val="1255"/>
                <c:pt idx="0">
                  <c:v>44228.666666666599</c:v>
                </c:pt>
                <c:pt idx="1">
                  <c:v>44229.666666666599</c:v>
                </c:pt>
                <c:pt idx="2">
                  <c:v>44230.666666666599</c:v>
                </c:pt>
                <c:pt idx="3">
                  <c:v>44231.666666666599</c:v>
                </c:pt>
                <c:pt idx="4">
                  <c:v>44232.666666666599</c:v>
                </c:pt>
                <c:pt idx="5">
                  <c:v>44235.666666666599</c:v>
                </c:pt>
                <c:pt idx="6">
                  <c:v>44236.666666666599</c:v>
                </c:pt>
                <c:pt idx="7">
                  <c:v>44237.666666666599</c:v>
                </c:pt>
                <c:pt idx="8">
                  <c:v>44238.666666666599</c:v>
                </c:pt>
                <c:pt idx="9">
                  <c:v>44239.666666666599</c:v>
                </c:pt>
                <c:pt idx="10">
                  <c:v>44243.666666666599</c:v>
                </c:pt>
                <c:pt idx="11">
                  <c:v>44244.666666666599</c:v>
                </c:pt>
                <c:pt idx="12">
                  <c:v>44245.666666666599</c:v>
                </c:pt>
                <c:pt idx="13">
                  <c:v>44246.666666666599</c:v>
                </c:pt>
                <c:pt idx="14">
                  <c:v>44249.666666666599</c:v>
                </c:pt>
                <c:pt idx="15">
                  <c:v>44250.666666666599</c:v>
                </c:pt>
                <c:pt idx="16">
                  <c:v>44251.666666666599</c:v>
                </c:pt>
                <c:pt idx="17">
                  <c:v>44252.666666666599</c:v>
                </c:pt>
                <c:pt idx="18">
                  <c:v>44253.666666666599</c:v>
                </c:pt>
                <c:pt idx="19">
                  <c:v>44256.666666666599</c:v>
                </c:pt>
                <c:pt idx="20">
                  <c:v>44257.666666666599</c:v>
                </c:pt>
                <c:pt idx="21">
                  <c:v>44258.666666666599</c:v>
                </c:pt>
                <c:pt idx="22">
                  <c:v>44259.666666666599</c:v>
                </c:pt>
                <c:pt idx="23">
                  <c:v>44260.666666666599</c:v>
                </c:pt>
                <c:pt idx="24">
                  <c:v>44263.666666666599</c:v>
                </c:pt>
                <c:pt idx="25">
                  <c:v>44264.666666666599</c:v>
                </c:pt>
                <c:pt idx="26">
                  <c:v>44265.666666666599</c:v>
                </c:pt>
                <c:pt idx="27">
                  <c:v>44266.666666666599</c:v>
                </c:pt>
                <c:pt idx="28">
                  <c:v>44267.666666666599</c:v>
                </c:pt>
                <c:pt idx="29">
                  <c:v>44270.666666666599</c:v>
                </c:pt>
                <c:pt idx="30">
                  <c:v>44271.666666666599</c:v>
                </c:pt>
                <c:pt idx="31">
                  <c:v>44272.666666666599</c:v>
                </c:pt>
                <c:pt idx="32">
                  <c:v>44273.666666666599</c:v>
                </c:pt>
                <c:pt idx="33">
                  <c:v>44274.666666666599</c:v>
                </c:pt>
                <c:pt idx="34">
                  <c:v>44277.666666666599</c:v>
                </c:pt>
                <c:pt idx="35">
                  <c:v>44278.666666666599</c:v>
                </c:pt>
                <c:pt idx="36">
                  <c:v>44279.666666666599</c:v>
                </c:pt>
                <c:pt idx="37">
                  <c:v>44280.666666666599</c:v>
                </c:pt>
                <c:pt idx="38">
                  <c:v>44281.666666666599</c:v>
                </c:pt>
                <c:pt idx="39">
                  <c:v>44284.666666666599</c:v>
                </c:pt>
                <c:pt idx="40">
                  <c:v>44285.666666666599</c:v>
                </c:pt>
                <c:pt idx="41">
                  <c:v>44286.666666666599</c:v>
                </c:pt>
                <c:pt idx="42">
                  <c:v>44287.666666666599</c:v>
                </c:pt>
                <c:pt idx="43">
                  <c:v>44291.666666666599</c:v>
                </c:pt>
                <c:pt idx="44">
                  <c:v>44292.666666666599</c:v>
                </c:pt>
                <c:pt idx="45">
                  <c:v>44293.666666666599</c:v>
                </c:pt>
                <c:pt idx="46">
                  <c:v>44294.666666666599</c:v>
                </c:pt>
                <c:pt idx="47">
                  <c:v>44295.666666666599</c:v>
                </c:pt>
                <c:pt idx="48">
                  <c:v>44298.666666666599</c:v>
                </c:pt>
                <c:pt idx="49">
                  <c:v>44299.666666666599</c:v>
                </c:pt>
                <c:pt idx="50">
                  <c:v>44300.666666666599</c:v>
                </c:pt>
                <c:pt idx="51">
                  <c:v>44301.666666666599</c:v>
                </c:pt>
                <c:pt idx="52">
                  <c:v>44302.666666666599</c:v>
                </c:pt>
                <c:pt idx="53">
                  <c:v>44305.666666666599</c:v>
                </c:pt>
                <c:pt idx="54">
                  <c:v>44306.666666666599</c:v>
                </c:pt>
                <c:pt idx="55">
                  <c:v>44307.666666666599</c:v>
                </c:pt>
                <c:pt idx="56">
                  <c:v>44308.666666666599</c:v>
                </c:pt>
                <c:pt idx="57">
                  <c:v>44309.666666666599</c:v>
                </c:pt>
                <c:pt idx="58">
                  <c:v>44312.666666666599</c:v>
                </c:pt>
                <c:pt idx="59">
                  <c:v>44313.666666666599</c:v>
                </c:pt>
                <c:pt idx="60">
                  <c:v>44314.666666666599</c:v>
                </c:pt>
                <c:pt idx="61">
                  <c:v>44315.666666666599</c:v>
                </c:pt>
                <c:pt idx="62">
                  <c:v>44316.666666666599</c:v>
                </c:pt>
                <c:pt idx="63">
                  <c:v>44319.666666666599</c:v>
                </c:pt>
                <c:pt idx="64">
                  <c:v>44320.666666666599</c:v>
                </c:pt>
                <c:pt idx="65">
                  <c:v>44321.666666666599</c:v>
                </c:pt>
                <c:pt idx="66">
                  <c:v>44322.666666666599</c:v>
                </c:pt>
                <c:pt idx="67">
                  <c:v>44323.666666666599</c:v>
                </c:pt>
                <c:pt idx="68">
                  <c:v>44326.666666666599</c:v>
                </c:pt>
                <c:pt idx="69">
                  <c:v>44327.666666666599</c:v>
                </c:pt>
                <c:pt idx="70">
                  <c:v>44328.666666666599</c:v>
                </c:pt>
                <c:pt idx="71">
                  <c:v>44329.666666666599</c:v>
                </c:pt>
                <c:pt idx="72">
                  <c:v>44330.666666666599</c:v>
                </c:pt>
                <c:pt idx="73">
                  <c:v>44333.666666666599</c:v>
                </c:pt>
                <c:pt idx="74">
                  <c:v>44334.666666666599</c:v>
                </c:pt>
                <c:pt idx="75">
                  <c:v>44335.666666666599</c:v>
                </c:pt>
                <c:pt idx="76">
                  <c:v>44336.666666666599</c:v>
                </c:pt>
                <c:pt idx="77">
                  <c:v>44337.666666666599</c:v>
                </c:pt>
                <c:pt idx="78">
                  <c:v>44340.666666666599</c:v>
                </c:pt>
                <c:pt idx="79">
                  <c:v>44341.666666666599</c:v>
                </c:pt>
                <c:pt idx="80">
                  <c:v>44342.666666666599</c:v>
                </c:pt>
                <c:pt idx="81">
                  <c:v>44343.666666666599</c:v>
                </c:pt>
                <c:pt idx="82">
                  <c:v>44344.666666666599</c:v>
                </c:pt>
                <c:pt idx="83">
                  <c:v>44348.666666666599</c:v>
                </c:pt>
                <c:pt idx="84">
                  <c:v>44349.666666666599</c:v>
                </c:pt>
                <c:pt idx="85">
                  <c:v>44350.666666666599</c:v>
                </c:pt>
                <c:pt idx="86">
                  <c:v>44351.666666666599</c:v>
                </c:pt>
                <c:pt idx="87">
                  <c:v>44354.666666666599</c:v>
                </c:pt>
                <c:pt idx="88">
                  <c:v>44355.666666666599</c:v>
                </c:pt>
                <c:pt idx="89">
                  <c:v>44356.666666666599</c:v>
                </c:pt>
                <c:pt idx="90">
                  <c:v>44357.666666666599</c:v>
                </c:pt>
                <c:pt idx="91">
                  <c:v>44358.666666666599</c:v>
                </c:pt>
                <c:pt idx="92">
                  <c:v>44361.666666666599</c:v>
                </c:pt>
                <c:pt idx="93">
                  <c:v>44362.666666666599</c:v>
                </c:pt>
                <c:pt idx="94">
                  <c:v>44363.666666666599</c:v>
                </c:pt>
                <c:pt idx="95">
                  <c:v>44364.666666666599</c:v>
                </c:pt>
                <c:pt idx="96">
                  <c:v>44365.666666666599</c:v>
                </c:pt>
                <c:pt idx="97">
                  <c:v>44368.666666666599</c:v>
                </c:pt>
                <c:pt idx="98">
                  <c:v>44369.666666666599</c:v>
                </c:pt>
                <c:pt idx="99">
                  <c:v>44370.666666666599</c:v>
                </c:pt>
                <c:pt idx="100">
                  <c:v>44371.666666666599</c:v>
                </c:pt>
                <c:pt idx="101">
                  <c:v>44372.666666666599</c:v>
                </c:pt>
                <c:pt idx="102">
                  <c:v>44375.666666666599</c:v>
                </c:pt>
                <c:pt idx="103">
                  <c:v>44376.666666666599</c:v>
                </c:pt>
                <c:pt idx="104">
                  <c:v>44377.666666666599</c:v>
                </c:pt>
                <c:pt idx="105">
                  <c:v>44378.666666666599</c:v>
                </c:pt>
                <c:pt idx="106">
                  <c:v>44379.666666666599</c:v>
                </c:pt>
                <c:pt idx="107">
                  <c:v>44383.666666666599</c:v>
                </c:pt>
                <c:pt idx="108">
                  <c:v>44384.666666666599</c:v>
                </c:pt>
                <c:pt idx="109">
                  <c:v>44385.666666666599</c:v>
                </c:pt>
                <c:pt idx="110">
                  <c:v>44386.666666666599</c:v>
                </c:pt>
                <c:pt idx="111">
                  <c:v>44389.666666666599</c:v>
                </c:pt>
                <c:pt idx="112">
                  <c:v>44390.666666666599</c:v>
                </c:pt>
                <c:pt idx="113">
                  <c:v>44391.666666666599</c:v>
                </c:pt>
                <c:pt idx="114">
                  <c:v>44392.666666666599</c:v>
                </c:pt>
                <c:pt idx="115">
                  <c:v>44393.666666666599</c:v>
                </c:pt>
                <c:pt idx="116">
                  <c:v>44396.666666666599</c:v>
                </c:pt>
                <c:pt idx="117">
                  <c:v>44397.666666666599</c:v>
                </c:pt>
                <c:pt idx="118">
                  <c:v>44398.666666666599</c:v>
                </c:pt>
                <c:pt idx="119">
                  <c:v>44399.666666666599</c:v>
                </c:pt>
                <c:pt idx="120">
                  <c:v>44400.666666666599</c:v>
                </c:pt>
                <c:pt idx="121">
                  <c:v>44403.666666666599</c:v>
                </c:pt>
                <c:pt idx="122">
                  <c:v>44404.666666666599</c:v>
                </c:pt>
                <c:pt idx="123">
                  <c:v>44405.666666666599</c:v>
                </c:pt>
                <c:pt idx="124">
                  <c:v>44406.666666666599</c:v>
                </c:pt>
                <c:pt idx="125">
                  <c:v>44407.666666666599</c:v>
                </c:pt>
                <c:pt idx="126">
                  <c:v>44410.666666666599</c:v>
                </c:pt>
                <c:pt idx="127">
                  <c:v>44411.666666666599</c:v>
                </c:pt>
                <c:pt idx="128">
                  <c:v>44412.666666666599</c:v>
                </c:pt>
                <c:pt idx="129">
                  <c:v>44413.666666666599</c:v>
                </c:pt>
                <c:pt idx="130">
                  <c:v>44414.666666666599</c:v>
                </c:pt>
                <c:pt idx="131">
                  <c:v>44417.666666666599</c:v>
                </c:pt>
                <c:pt idx="132">
                  <c:v>44418.666666666599</c:v>
                </c:pt>
                <c:pt idx="133">
                  <c:v>44419.666666666599</c:v>
                </c:pt>
                <c:pt idx="134">
                  <c:v>44420.666666666599</c:v>
                </c:pt>
                <c:pt idx="135">
                  <c:v>44421.666666666599</c:v>
                </c:pt>
                <c:pt idx="136">
                  <c:v>44424.666666666599</c:v>
                </c:pt>
                <c:pt idx="137">
                  <c:v>44425.666666666599</c:v>
                </c:pt>
                <c:pt idx="138">
                  <c:v>44426.666666666599</c:v>
                </c:pt>
                <c:pt idx="139">
                  <c:v>44427.666666666599</c:v>
                </c:pt>
                <c:pt idx="140">
                  <c:v>44428.666666666599</c:v>
                </c:pt>
                <c:pt idx="141">
                  <c:v>44431.666666666599</c:v>
                </c:pt>
                <c:pt idx="142">
                  <c:v>44432.666666666599</c:v>
                </c:pt>
                <c:pt idx="143">
                  <c:v>44433.666666666599</c:v>
                </c:pt>
                <c:pt idx="144">
                  <c:v>44434.666666666599</c:v>
                </c:pt>
                <c:pt idx="145">
                  <c:v>44435.666666666599</c:v>
                </c:pt>
                <c:pt idx="146">
                  <c:v>44438.666666666599</c:v>
                </c:pt>
                <c:pt idx="147">
                  <c:v>44439.666666666599</c:v>
                </c:pt>
                <c:pt idx="148">
                  <c:v>44440.666666666599</c:v>
                </c:pt>
                <c:pt idx="149">
                  <c:v>44441.666666666599</c:v>
                </c:pt>
                <c:pt idx="150">
                  <c:v>44442.666666666599</c:v>
                </c:pt>
                <c:pt idx="151">
                  <c:v>44446.666666666599</c:v>
                </c:pt>
                <c:pt idx="152">
                  <c:v>44447.666666666599</c:v>
                </c:pt>
                <c:pt idx="153">
                  <c:v>44448.666666666599</c:v>
                </c:pt>
                <c:pt idx="154">
                  <c:v>44449.666666666599</c:v>
                </c:pt>
                <c:pt idx="155">
                  <c:v>44452.666666666599</c:v>
                </c:pt>
                <c:pt idx="156">
                  <c:v>44453.666666666599</c:v>
                </c:pt>
                <c:pt idx="157">
                  <c:v>44454.666666666599</c:v>
                </c:pt>
                <c:pt idx="158">
                  <c:v>44455.666666666599</c:v>
                </c:pt>
                <c:pt idx="159">
                  <c:v>44456.666666666599</c:v>
                </c:pt>
                <c:pt idx="160">
                  <c:v>44459.666666666599</c:v>
                </c:pt>
                <c:pt idx="161">
                  <c:v>44460.666666666599</c:v>
                </c:pt>
                <c:pt idx="162">
                  <c:v>44461.666666666599</c:v>
                </c:pt>
                <c:pt idx="163">
                  <c:v>44462.666666666599</c:v>
                </c:pt>
                <c:pt idx="164">
                  <c:v>44463.666666666599</c:v>
                </c:pt>
                <c:pt idx="165">
                  <c:v>44466.666666666599</c:v>
                </c:pt>
                <c:pt idx="166">
                  <c:v>44467.666666666599</c:v>
                </c:pt>
                <c:pt idx="167">
                  <c:v>44468.666666666599</c:v>
                </c:pt>
                <c:pt idx="168">
                  <c:v>44469.666666666599</c:v>
                </c:pt>
                <c:pt idx="169">
                  <c:v>44470.666666666599</c:v>
                </c:pt>
                <c:pt idx="170">
                  <c:v>44473.666666666599</c:v>
                </c:pt>
                <c:pt idx="171">
                  <c:v>44474.666666666599</c:v>
                </c:pt>
                <c:pt idx="172">
                  <c:v>44475.666666666599</c:v>
                </c:pt>
                <c:pt idx="173">
                  <c:v>44476.666666666599</c:v>
                </c:pt>
                <c:pt idx="174">
                  <c:v>44477.666666666599</c:v>
                </c:pt>
                <c:pt idx="175">
                  <c:v>44480.666666666599</c:v>
                </c:pt>
                <c:pt idx="176">
                  <c:v>44481.666666666599</c:v>
                </c:pt>
                <c:pt idx="177">
                  <c:v>44482.666666666599</c:v>
                </c:pt>
                <c:pt idx="178">
                  <c:v>44483.666666666599</c:v>
                </c:pt>
                <c:pt idx="179">
                  <c:v>44484.666666666599</c:v>
                </c:pt>
                <c:pt idx="180">
                  <c:v>44487.666666666599</c:v>
                </c:pt>
                <c:pt idx="181">
                  <c:v>44488.666666666599</c:v>
                </c:pt>
                <c:pt idx="182">
                  <c:v>44489.666666666599</c:v>
                </c:pt>
                <c:pt idx="183">
                  <c:v>44490.666666666599</c:v>
                </c:pt>
                <c:pt idx="184">
                  <c:v>44491.666666666599</c:v>
                </c:pt>
                <c:pt idx="185">
                  <c:v>44494.666666666599</c:v>
                </c:pt>
                <c:pt idx="186">
                  <c:v>44495.666666666599</c:v>
                </c:pt>
                <c:pt idx="187">
                  <c:v>44496.666666666599</c:v>
                </c:pt>
                <c:pt idx="188">
                  <c:v>44497.666666666599</c:v>
                </c:pt>
                <c:pt idx="189">
                  <c:v>44498.666666666599</c:v>
                </c:pt>
                <c:pt idx="190">
                  <c:v>44501.666666666599</c:v>
                </c:pt>
                <c:pt idx="191">
                  <c:v>44502.666666666599</c:v>
                </c:pt>
                <c:pt idx="192">
                  <c:v>44503.666666666599</c:v>
                </c:pt>
                <c:pt idx="193">
                  <c:v>44504.666666666599</c:v>
                </c:pt>
                <c:pt idx="194">
                  <c:v>44505.666666666599</c:v>
                </c:pt>
                <c:pt idx="195">
                  <c:v>44508.666666666599</c:v>
                </c:pt>
                <c:pt idx="196">
                  <c:v>44509.666666666599</c:v>
                </c:pt>
                <c:pt idx="197">
                  <c:v>44510.666666666599</c:v>
                </c:pt>
                <c:pt idx="198">
                  <c:v>44511.666666666599</c:v>
                </c:pt>
                <c:pt idx="199">
                  <c:v>44512.666666666599</c:v>
                </c:pt>
                <c:pt idx="200">
                  <c:v>44515.666666666599</c:v>
                </c:pt>
                <c:pt idx="201">
                  <c:v>44516.666666666599</c:v>
                </c:pt>
                <c:pt idx="202">
                  <c:v>44517.666666666599</c:v>
                </c:pt>
                <c:pt idx="203">
                  <c:v>44518.666666666599</c:v>
                </c:pt>
                <c:pt idx="204">
                  <c:v>44519.666666666599</c:v>
                </c:pt>
                <c:pt idx="205">
                  <c:v>44522.666666666599</c:v>
                </c:pt>
                <c:pt idx="206">
                  <c:v>44523.666666666599</c:v>
                </c:pt>
                <c:pt idx="207">
                  <c:v>44524.666666666599</c:v>
                </c:pt>
                <c:pt idx="208">
                  <c:v>44526.552083333299</c:v>
                </c:pt>
                <c:pt idx="209">
                  <c:v>44529.666666666599</c:v>
                </c:pt>
                <c:pt idx="210">
                  <c:v>44530.666666666599</c:v>
                </c:pt>
                <c:pt idx="211">
                  <c:v>44531.666666666599</c:v>
                </c:pt>
                <c:pt idx="212">
                  <c:v>44532.666666666599</c:v>
                </c:pt>
                <c:pt idx="213">
                  <c:v>44533.666666666599</c:v>
                </c:pt>
                <c:pt idx="214">
                  <c:v>44536.666666666599</c:v>
                </c:pt>
                <c:pt idx="215">
                  <c:v>44537.666666666599</c:v>
                </c:pt>
                <c:pt idx="216">
                  <c:v>44538.666666666599</c:v>
                </c:pt>
                <c:pt idx="217">
                  <c:v>44539.666666666599</c:v>
                </c:pt>
                <c:pt idx="218">
                  <c:v>44540.666666666599</c:v>
                </c:pt>
                <c:pt idx="219">
                  <c:v>44543.666666666599</c:v>
                </c:pt>
                <c:pt idx="220">
                  <c:v>44544.666666666599</c:v>
                </c:pt>
                <c:pt idx="221">
                  <c:v>44545.666666666599</c:v>
                </c:pt>
                <c:pt idx="222">
                  <c:v>44546.666666666599</c:v>
                </c:pt>
                <c:pt idx="223">
                  <c:v>44547.666666666599</c:v>
                </c:pt>
                <c:pt idx="224">
                  <c:v>44550.666666666599</c:v>
                </c:pt>
                <c:pt idx="225">
                  <c:v>44551.666666666599</c:v>
                </c:pt>
                <c:pt idx="226">
                  <c:v>44552.666666666599</c:v>
                </c:pt>
                <c:pt idx="227">
                  <c:v>44553.666666666599</c:v>
                </c:pt>
                <c:pt idx="228">
                  <c:v>44557.666666666599</c:v>
                </c:pt>
                <c:pt idx="229">
                  <c:v>44558.666666666599</c:v>
                </c:pt>
                <c:pt idx="230">
                  <c:v>44559.666666666599</c:v>
                </c:pt>
                <c:pt idx="231">
                  <c:v>44560.666666666599</c:v>
                </c:pt>
                <c:pt idx="232">
                  <c:v>44561.666666666599</c:v>
                </c:pt>
                <c:pt idx="233">
                  <c:v>44564.666666666599</c:v>
                </c:pt>
                <c:pt idx="234">
                  <c:v>44565.666666666599</c:v>
                </c:pt>
                <c:pt idx="235">
                  <c:v>44566.666666666599</c:v>
                </c:pt>
                <c:pt idx="236">
                  <c:v>44567.666666666599</c:v>
                </c:pt>
                <c:pt idx="237">
                  <c:v>44568.666666666599</c:v>
                </c:pt>
                <c:pt idx="238">
                  <c:v>44571.666666666599</c:v>
                </c:pt>
                <c:pt idx="239">
                  <c:v>44572.666666666599</c:v>
                </c:pt>
                <c:pt idx="240">
                  <c:v>44573.666666666599</c:v>
                </c:pt>
                <c:pt idx="241">
                  <c:v>44574.666666666599</c:v>
                </c:pt>
                <c:pt idx="242">
                  <c:v>44575.666666666599</c:v>
                </c:pt>
                <c:pt idx="243">
                  <c:v>44579.666666666599</c:v>
                </c:pt>
                <c:pt idx="244">
                  <c:v>44580.666666666599</c:v>
                </c:pt>
                <c:pt idx="245">
                  <c:v>44581.666666666599</c:v>
                </c:pt>
                <c:pt idx="246">
                  <c:v>44582.666666666599</c:v>
                </c:pt>
                <c:pt idx="247">
                  <c:v>44585.666666666599</c:v>
                </c:pt>
                <c:pt idx="248">
                  <c:v>44586.666666666599</c:v>
                </c:pt>
                <c:pt idx="249">
                  <c:v>44587.666666666599</c:v>
                </c:pt>
                <c:pt idx="250">
                  <c:v>44588.666666666599</c:v>
                </c:pt>
                <c:pt idx="251">
                  <c:v>44589.666666666599</c:v>
                </c:pt>
                <c:pt idx="252">
                  <c:v>44592.666666666599</c:v>
                </c:pt>
                <c:pt idx="253">
                  <c:v>44593.666666666599</c:v>
                </c:pt>
                <c:pt idx="254">
                  <c:v>44594.666666666599</c:v>
                </c:pt>
                <c:pt idx="255">
                  <c:v>44595.666666666599</c:v>
                </c:pt>
                <c:pt idx="256">
                  <c:v>44596.666666666599</c:v>
                </c:pt>
                <c:pt idx="257">
                  <c:v>44599.666666666599</c:v>
                </c:pt>
                <c:pt idx="258">
                  <c:v>44600.666666666599</c:v>
                </c:pt>
                <c:pt idx="259">
                  <c:v>44601.666666666599</c:v>
                </c:pt>
                <c:pt idx="260">
                  <c:v>44602.666666666599</c:v>
                </c:pt>
                <c:pt idx="261">
                  <c:v>44603.666666666599</c:v>
                </c:pt>
                <c:pt idx="262">
                  <c:v>44606.666666666599</c:v>
                </c:pt>
                <c:pt idx="263">
                  <c:v>44607.666666666599</c:v>
                </c:pt>
                <c:pt idx="264">
                  <c:v>44608.666666666599</c:v>
                </c:pt>
                <c:pt idx="265">
                  <c:v>44609.666666666599</c:v>
                </c:pt>
                <c:pt idx="266">
                  <c:v>44610.666666666599</c:v>
                </c:pt>
                <c:pt idx="267">
                  <c:v>44614.666666666599</c:v>
                </c:pt>
                <c:pt idx="268">
                  <c:v>44615.666666666599</c:v>
                </c:pt>
                <c:pt idx="269">
                  <c:v>44616.666666666599</c:v>
                </c:pt>
                <c:pt idx="270">
                  <c:v>44617.666666666599</c:v>
                </c:pt>
                <c:pt idx="271">
                  <c:v>44620.666666666599</c:v>
                </c:pt>
                <c:pt idx="272">
                  <c:v>44621.666666666599</c:v>
                </c:pt>
                <c:pt idx="273">
                  <c:v>44622.666666666599</c:v>
                </c:pt>
                <c:pt idx="274">
                  <c:v>44623.666666666599</c:v>
                </c:pt>
                <c:pt idx="275">
                  <c:v>44624.666666666599</c:v>
                </c:pt>
                <c:pt idx="276">
                  <c:v>44627.666666666599</c:v>
                </c:pt>
                <c:pt idx="277">
                  <c:v>44628.666666666599</c:v>
                </c:pt>
                <c:pt idx="278">
                  <c:v>44629.666666666599</c:v>
                </c:pt>
                <c:pt idx="279">
                  <c:v>44630.666666666599</c:v>
                </c:pt>
                <c:pt idx="280">
                  <c:v>44631.666666666599</c:v>
                </c:pt>
                <c:pt idx="281">
                  <c:v>44634.666666666599</c:v>
                </c:pt>
                <c:pt idx="282">
                  <c:v>44635.666666666599</c:v>
                </c:pt>
                <c:pt idx="283">
                  <c:v>44636.666666666599</c:v>
                </c:pt>
                <c:pt idx="284">
                  <c:v>44637.666666666599</c:v>
                </c:pt>
                <c:pt idx="285">
                  <c:v>44638.666666666599</c:v>
                </c:pt>
                <c:pt idx="286">
                  <c:v>44641.666666666599</c:v>
                </c:pt>
                <c:pt idx="287">
                  <c:v>44642.666666666599</c:v>
                </c:pt>
                <c:pt idx="288">
                  <c:v>44643.666666666599</c:v>
                </c:pt>
                <c:pt idx="289">
                  <c:v>44644.666666666599</c:v>
                </c:pt>
                <c:pt idx="290">
                  <c:v>44645.666666666599</c:v>
                </c:pt>
                <c:pt idx="291">
                  <c:v>44648.666666666599</c:v>
                </c:pt>
                <c:pt idx="292">
                  <c:v>44649.666666666599</c:v>
                </c:pt>
                <c:pt idx="293">
                  <c:v>44650.666666666599</c:v>
                </c:pt>
                <c:pt idx="294">
                  <c:v>44651.666666666599</c:v>
                </c:pt>
                <c:pt idx="295">
                  <c:v>44652.666666666599</c:v>
                </c:pt>
                <c:pt idx="296">
                  <c:v>44655.666666666599</c:v>
                </c:pt>
                <c:pt idx="297">
                  <c:v>44656.666666666599</c:v>
                </c:pt>
                <c:pt idx="298">
                  <c:v>44657.666666666599</c:v>
                </c:pt>
                <c:pt idx="299">
                  <c:v>44658.666666666599</c:v>
                </c:pt>
                <c:pt idx="300">
                  <c:v>44659.666666666599</c:v>
                </c:pt>
                <c:pt idx="301">
                  <c:v>44662.666666666599</c:v>
                </c:pt>
                <c:pt idx="302">
                  <c:v>44663.666666666599</c:v>
                </c:pt>
                <c:pt idx="303">
                  <c:v>44664.666666666599</c:v>
                </c:pt>
                <c:pt idx="304">
                  <c:v>44665.666666666599</c:v>
                </c:pt>
                <c:pt idx="305">
                  <c:v>44669.666666666599</c:v>
                </c:pt>
                <c:pt idx="306">
                  <c:v>44670.666666666599</c:v>
                </c:pt>
                <c:pt idx="307">
                  <c:v>44671.666666666599</c:v>
                </c:pt>
                <c:pt idx="308">
                  <c:v>44672.666666666599</c:v>
                </c:pt>
                <c:pt idx="309">
                  <c:v>44673.666666666599</c:v>
                </c:pt>
                <c:pt idx="310">
                  <c:v>44676.666666666599</c:v>
                </c:pt>
                <c:pt idx="311">
                  <c:v>44677.666666666599</c:v>
                </c:pt>
                <c:pt idx="312">
                  <c:v>44678.666666666599</c:v>
                </c:pt>
                <c:pt idx="313">
                  <c:v>44679.666666666599</c:v>
                </c:pt>
                <c:pt idx="314">
                  <c:v>44680.666666666599</c:v>
                </c:pt>
                <c:pt idx="315">
                  <c:v>44683.666666666599</c:v>
                </c:pt>
                <c:pt idx="316">
                  <c:v>44684.666666666599</c:v>
                </c:pt>
                <c:pt idx="317">
                  <c:v>44685.666666666599</c:v>
                </c:pt>
                <c:pt idx="318">
                  <c:v>44686.666666666599</c:v>
                </c:pt>
                <c:pt idx="319">
                  <c:v>44687.666666666599</c:v>
                </c:pt>
                <c:pt idx="320">
                  <c:v>44690.666666666599</c:v>
                </c:pt>
                <c:pt idx="321">
                  <c:v>44691.666666666599</c:v>
                </c:pt>
                <c:pt idx="322">
                  <c:v>44692.666666666599</c:v>
                </c:pt>
                <c:pt idx="323">
                  <c:v>44693.666666666599</c:v>
                </c:pt>
                <c:pt idx="324">
                  <c:v>44694.666666666599</c:v>
                </c:pt>
                <c:pt idx="325">
                  <c:v>44697.666666666599</c:v>
                </c:pt>
                <c:pt idx="326">
                  <c:v>44698.666666666599</c:v>
                </c:pt>
                <c:pt idx="327">
                  <c:v>44699.666666666599</c:v>
                </c:pt>
                <c:pt idx="328">
                  <c:v>44700.666666666599</c:v>
                </c:pt>
                <c:pt idx="329">
                  <c:v>44701.666666666599</c:v>
                </c:pt>
                <c:pt idx="330">
                  <c:v>44704.666666666599</c:v>
                </c:pt>
                <c:pt idx="331">
                  <c:v>44705.666666666599</c:v>
                </c:pt>
                <c:pt idx="332">
                  <c:v>44706.666666666599</c:v>
                </c:pt>
                <c:pt idx="333">
                  <c:v>44707.666666666599</c:v>
                </c:pt>
                <c:pt idx="334">
                  <c:v>44708.666666666599</c:v>
                </c:pt>
                <c:pt idx="335">
                  <c:v>44712.666666666599</c:v>
                </c:pt>
                <c:pt idx="336">
                  <c:v>44713.666666666599</c:v>
                </c:pt>
                <c:pt idx="337">
                  <c:v>44714.666666666599</c:v>
                </c:pt>
                <c:pt idx="338">
                  <c:v>44715.666666666599</c:v>
                </c:pt>
                <c:pt idx="339">
                  <c:v>44718.666666666599</c:v>
                </c:pt>
                <c:pt idx="340">
                  <c:v>44719.666666666599</c:v>
                </c:pt>
                <c:pt idx="341">
                  <c:v>44720.666666666599</c:v>
                </c:pt>
                <c:pt idx="342">
                  <c:v>44721.666666666599</c:v>
                </c:pt>
                <c:pt idx="343">
                  <c:v>44722.666666666599</c:v>
                </c:pt>
                <c:pt idx="344">
                  <c:v>44725.666666666599</c:v>
                </c:pt>
                <c:pt idx="345">
                  <c:v>44726.666666666599</c:v>
                </c:pt>
                <c:pt idx="346">
                  <c:v>44727.666666666599</c:v>
                </c:pt>
                <c:pt idx="347">
                  <c:v>44728.666666666599</c:v>
                </c:pt>
                <c:pt idx="348">
                  <c:v>44729.666666666599</c:v>
                </c:pt>
                <c:pt idx="349">
                  <c:v>44733.666666666599</c:v>
                </c:pt>
                <c:pt idx="350">
                  <c:v>44734.666666666599</c:v>
                </c:pt>
                <c:pt idx="351">
                  <c:v>44735.666666666599</c:v>
                </c:pt>
                <c:pt idx="352">
                  <c:v>44736.666666666599</c:v>
                </c:pt>
                <c:pt idx="353">
                  <c:v>44739.666666666599</c:v>
                </c:pt>
                <c:pt idx="354">
                  <c:v>44740.666666666599</c:v>
                </c:pt>
                <c:pt idx="355">
                  <c:v>44741.666666666599</c:v>
                </c:pt>
                <c:pt idx="356">
                  <c:v>44742.666666666599</c:v>
                </c:pt>
                <c:pt idx="357">
                  <c:v>44743.666666666599</c:v>
                </c:pt>
                <c:pt idx="358">
                  <c:v>44747.666666666599</c:v>
                </c:pt>
                <c:pt idx="359">
                  <c:v>44748.666666666599</c:v>
                </c:pt>
                <c:pt idx="360">
                  <c:v>44749.666666666599</c:v>
                </c:pt>
                <c:pt idx="361">
                  <c:v>44750.666666666599</c:v>
                </c:pt>
                <c:pt idx="362">
                  <c:v>44753.666666666599</c:v>
                </c:pt>
                <c:pt idx="363">
                  <c:v>44754.666666666599</c:v>
                </c:pt>
                <c:pt idx="364">
                  <c:v>44755.666666666599</c:v>
                </c:pt>
                <c:pt idx="365">
                  <c:v>44756.666666666599</c:v>
                </c:pt>
                <c:pt idx="366">
                  <c:v>44757.666666666599</c:v>
                </c:pt>
                <c:pt idx="367">
                  <c:v>44760.666666666599</c:v>
                </c:pt>
                <c:pt idx="368">
                  <c:v>44761.666666666599</c:v>
                </c:pt>
                <c:pt idx="369">
                  <c:v>44762.666666666599</c:v>
                </c:pt>
                <c:pt idx="370">
                  <c:v>44763.666666666599</c:v>
                </c:pt>
                <c:pt idx="371">
                  <c:v>44764.666666666599</c:v>
                </c:pt>
                <c:pt idx="372">
                  <c:v>44767.666666666599</c:v>
                </c:pt>
                <c:pt idx="373">
                  <c:v>44768.666666666599</c:v>
                </c:pt>
                <c:pt idx="374">
                  <c:v>44769.666666666599</c:v>
                </c:pt>
                <c:pt idx="375">
                  <c:v>44770.666666666599</c:v>
                </c:pt>
                <c:pt idx="376">
                  <c:v>44771.666666666599</c:v>
                </c:pt>
                <c:pt idx="377">
                  <c:v>44774.666666666599</c:v>
                </c:pt>
                <c:pt idx="378">
                  <c:v>44775.666666666599</c:v>
                </c:pt>
                <c:pt idx="379">
                  <c:v>44776.666666666599</c:v>
                </c:pt>
                <c:pt idx="380">
                  <c:v>44777.666666666599</c:v>
                </c:pt>
                <c:pt idx="381">
                  <c:v>44778.666666666599</c:v>
                </c:pt>
                <c:pt idx="382">
                  <c:v>44781.666666666599</c:v>
                </c:pt>
                <c:pt idx="383">
                  <c:v>44782.666666666599</c:v>
                </c:pt>
                <c:pt idx="384">
                  <c:v>44783.666666666599</c:v>
                </c:pt>
                <c:pt idx="385">
                  <c:v>44784.666666666599</c:v>
                </c:pt>
                <c:pt idx="386">
                  <c:v>44785.666666666599</c:v>
                </c:pt>
                <c:pt idx="387">
                  <c:v>44788.666666666599</c:v>
                </c:pt>
                <c:pt idx="388">
                  <c:v>44789.666666666599</c:v>
                </c:pt>
                <c:pt idx="389">
                  <c:v>44790.666666666599</c:v>
                </c:pt>
                <c:pt idx="390">
                  <c:v>44791.666666666599</c:v>
                </c:pt>
                <c:pt idx="391">
                  <c:v>44792.666666666599</c:v>
                </c:pt>
                <c:pt idx="392">
                  <c:v>44795.666666666599</c:v>
                </c:pt>
                <c:pt idx="393">
                  <c:v>44796.666666666599</c:v>
                </c:pt>
                <c:pt idx="394">
                  <c:v>44797.666666666599</c:v>
                </c:pt>
                <c:pt idx="395">
                  <c:v>44798.666666666599</c:v>
                </c:pt>
                <c:pt idx="396">
                  <c:v>44799.666666666599</c:v>
                </c:pt>
                <c:pt idx="397">
                  <c:v>44802.666666666599</c:v>
                </c:pt>
                <c:pt idx="398">
                  <c:v>44803.666666666599</c:v>
                </c:pt>
                <c:pt idx="399">
                  <c:v>44804.666666666599</c:v>
                </c:pt>
                <c:pt idx="400">
                  <c:v>44805.666666666599</c:v>
                </c:pt>
                <c:pt idx="401">
                  <c:v>44806.666666666599</c:v>
                </c:pt>
                <c:pt idx="402">
                  <c:v>44810.666666666599</c:v>
                </c:pt>
                <c:pt idx="403">
                  <c:v>44811.666666666599</c:v>
                </c:pt>
                <c:pt idx="404">
                  <c:v>44812.666666666599</c:v>
                </c:pt>
                <c:pt idx="405">
                  <c:v>44813.666666666599</c:v>
                </c:pt>
                <c:pt idx="406">
                  <c:v>44816.666666666599</c:v>
                </c:pt>
                <c:pt idx="407">
                  <c:v>44817.666666666599</c:v>
                </c:pt>
                <c:pt idx="408">
                  <c:v>44818.666666666599</c:v>
                </c:pt>
                <c:pt idx="409">
                  <c:v>44819.666666666599</c:v>
                </c:pt>
                <c:pt idx="410">
                  <c:v>44820.666666666599</c:v>
                </c:pt>
                <c:pt idx="411">
                  <c:v>44823.666666666599</c:v>
                </c:pt>
                <c:pt idx="412">
                  <c:v>44824.666666666599</c:v>
                </c:pt>
                <c:pt idx="413">
                  <c:v>44825.666666666599</c:v>
                </c:pt>
                <c:pt idx="414">
                  <c:v>44826.666666666599</c:v>
                </c:pt>
                <c:pt idx="415">
                  <c:v>44827.666666666599</c:v>
                </c:pt>
                <c:pt idx="416">
                  <c:v>44830.666666666599</c:v>
                </c:pt>
                <c:pt idx="417">
                  <c:v>44831.666666666599</c:v>
                </c:pt>
                <c:pt idx="418">
                  <c:v>44832.666666666599</c:v>
                </c:pt>
                <c:pt idx="419">
                  <c:v>44833.666666666599</c:v>
                </c:pt>
                <c:pt idx="420">
                  <c:v>44834.666666666599</c:v>
                </c:pt>
                <c:pt idx="421">
                  <c:v>44837.666666666599</c:v>
                </c:pt>
                <c:pt idx="422">
                  <c:v>44838.666666666599</c:v>
                </c:pt>
                <c:pt idx="423">
                  <c:v>44839.666666666599</c:v>
                </c:pt>
                <c:pt idx="424">
                  <c:v>44840.666666666599</c:v>
                </c:pt>
                <c:pt idx="425">
                  <c:v>44841.666666666599</c:v>
                </c:pt>
                <c:pt idx="426">
                  <c:v>44844.666666666599</c:v>
                </c:pt>
                <c:pt idx="427">
                  <c:v>44845.666666666599</c:v>
                </c:pt>
                <c:pt idx="428">
                  <c:v>44846.666666666599</c:v>
                </c:pt>
                <c:pt idx="429">
                  <c:v>44847.666666666599</c:v>
                </c:pt>
                <c:pt idx="430">
                  <c:v>44848.666666666599</c:v>
                </c:pt>
                <c:pt idx="431">
                  <c:v>44851.666666666599</c:v>
                </c:pt>
                <c:pt idx="432">
                  <c:v>44852.666666666599</c:v>
                </c:pt>
                <c:pt idx="433">
                  <c:v>44853.666666666599</c:v>
                </c:pt>
                <c:pt idx="434">
                  <c:v>44854.666666666599</c:v>
                </c:pt>
                <c:pt idx="435">
                  <c:v>44855.666666666599</c:v>
                </c:pt>
                <c:pt idx="436">
                  <c:v>44858.666666666599</c:v>
                </c:pt>
                <c:pt idx="437">
                  <c:v>44859.666666666599</c:v>
                </c:pt>
                <c:pt idx="438">
                  <c:v>44860.666666666599</c:v>
                </c:pt>
                <c:pt idx="439">
                  <c:v>44861.666666666599</c:v>
                </c:pt>
                <c:pt idx="440">
                  <c:v>44862.666666666599</c:v>
                </c:pt>
                <c:pt idx="441">
                  <c:v>44865.666666666599</c:v>
                </c:pt>
                <c:pt idx="442">
                  <c:v>44866.666666666599</c:v>
                </c:pt>
                <c:pt idx="443">
                  <c:v>44867.666666666599</c:v>
                </c:pt>
                <c:pt idx="444">
                  <c:v>44868.666666666599</c:v>
                </c:pt>
                <c:pt idx="445">
                  <c:v>44869.666666666599</c:v>
                </c:pt>
                <c:pt idx="446">
                  <c:v>44872.666666666599</c:v>
                </c:pt>
                <c:pt idx="447">
                  <c:v>44873.666666666599</c:v>
                </c:pt>
                <c:pt idx="448">
                  <c:v>44874.666666666599</c:v>
                </c:pt>
                <c:pt idx="449">
                  <c:v>44875.666666666599</c:v>
                </c:pt>
                <c:pt idx="450">
                  <c:v>44876.666666666599</c:v>
                </c:pt>
                <c:pt idx="451">
                  <c:v>44879.666666666599</c:v>
                </c:pt>
                <c:pt idx="452">
                  <c:v>44880.666666666599</c:v>
                </c:pt>
                <c:pt idx="453">
                  <c:v>44881.666666666599</c:v>
                </c:pt>
                <c:pt idx="454">
                  <c:v>44882.666666666599</c:v>
                </c:pt>
                <c:pt idx="455">
                  <c:v>44883.666666666599</c:v>
                </c:pt>
                <c:pt idx="456">
                  <c:v>44886.666666666599</c:v>
                </c:pt>
                <c:pt idx="457">
                  <c:v>44887.666666666599</c:v>
                </c:pt>
                <c:pt idx="458">
                  <c:v>44888.666666666599</c:v>
                </c:pt>
                <c:pt idx="459">
                  <c:v>44890.552083333299</c:v>
                </c:pt>
                <c:pt idx="460">
                  <c:v>44893.666666666599</c:v>
                </c:pt>
                <c:pt idx="461">
                  <c:v>44894.666666666599</c:v>
                </c:pt>
                <c:pt idx="462">
                  <c:v>44895.666666666599</c:v>
                </c:pt>
                <c:pt idx="463">
                  <c:v>44896.666666666599</c:v>
                </c:pt>
                <c:pt idx="464">
                  <c:v>44897.666666666599</c:v>
                </c:pt>
                <c:pt idx="465">
                  <c:v>44900.666666666599</c:v>
                </c:pt>
                <c:pt idx="466">
                  <c:v>44901.666666666599</c:v>
                </c:pt>
                <c:pt idx="467">
                  <c:v>44902.666666666599</c:v>
                </c:pt>
                <c:pt idx="468">
                  <c:v>44903.666666666599</c:v>
                </c:pt>
                <c:pt idx="469">
                  <c:v>44904.666666666599</c:v>
                </c:pt>
                <c:pt idx="470">
                  <c:v>44907.666666666599</c:v>
                </c:pt>
                <c:pt idx="471">
                  <c:v>44908.666666666599</c:v>
                </c:pt>
                <c:pt idx="472">
                  <c:v>44909.666666666599</c:v>
                </c:pt>
                <c:pt idx="473">
                  <c:v>44910.666666666599</c:v>
                </c:pt>
                <c:pt idx="474">
                  <c:v>44911.666666666599</c:v>
                </c:pt>
                <c:pt idx="475">
                  <c:v>44914.666666666599</c:v>
                </c:pt>
                <c:pt idx="476">
                  <c:v>44915.666666666599</c:v>
                </c:pt>
                <c:pt idx="477">
                  <c:v>44916.666666666599</c:v>
                </c:pt>
                <c:pt idx="478">
                  <c:v>44917.666666666599</c:v>
                </c:pt>
                <c:pt idx="479">
                  <c:v>44918.666666666599</c:v>
                </c:pt>
                <c:pt idx="480">
                  <c:v>44922.666666666599</c:v>
                </c:pt>
                <c:pt idx="481">
                  <c:v>44923.666666666599</c:v>
                </c:pt>
                <c:pt idx="482">
                  <c:v>44924.666666666599</c:v>
                </c:pt>
                <c:pt idx="483">
                  <c:v>44925.666666666599</c:v>
                </c:pt>
                <c:pt idx="484">
                  <c:v>44929.666666666599</c:v>
                </c:pt>
                <c:pt idx="485">
                  <c:v>44930.666666666599</c:v>
                </c:pt>
                <c:pt idx="486">
                  <c:v>44931.666666666599</c:v>
                </c:pt>
                <c:pt idx="487">
                  <c:v>44932.666666666599</c:v>
                </c:pt>
                <c:pt idx="488">
                  <c:v>44935.666666666599</c:v>
                </c:pt>
                <c:pt idx="489">
                  <c:v>44936.666666666599</c:v>
                </c:pt>
                <c:pt idx="490">
                  <c:v>44937.666666666599</c:v>
                </c:pt>
                <c:pt idx="491">
                  <c:v>44938.666666666599</c:v>
                </c:pt>
                <c:pt idx="492">
                  <c:v>44939.666666666599</c:v>
                </c:pt>
                <c:pt idx="493">
                  <c:v>44943.666666666599</c:v>
                </c:pt>
                <c:pt idx="494">
                  <c:v>44944.666666666599</c:v>
                </c:pt>
                <c:pt idx="495">
                  <c:v>44945.666666666599</c:v>
                </c:pt>
                <c:pt idx="496">
                  <c:v>44946.666666666599</c:v>
                </c:pt>
                <c:pt idx="497">
                  <c:v>44949.666666666599</c:v>
                </c:pt>
                <c:pt idx="498">
                  <c:v>44950.666666666599</c:v>
                </c:pt>
                <c:pt idx="499">
                  <c:v>44951.666666666599</c:v>
                </c:pt>
                <c:pt idx="500">
                  <c:v>44952.666666666599</c:v>
                </c:pt>
                <c:pt idx="501">
                  <c:v>44953.666666666599</c:v>
                </c:pt>
                <c:pt idx="502">
                  <c:v>44956.666666666599</c:v>
                </c:pt>
                <c:pt idx="503">
                  <c:v>44957.666666666599</c:v>
                </c:pt>
                <c:pt idx="504">
                  <c:v>44958.666666666599</c:v>
                </c:pt>
                <c:pt idx="505">
                  <c:v>44959.666666666599</c:v>
                </c:pt>
                <c:pt idx="506">
                  <c:v>44960.666666666599</c:v>
                </c:pt>
                <c:pt idx="507">
                  <c:v>44963.666666666599</c:v>
                </c:pt>
                <c:pt idx="508">
                  <c:v>44964.666666666599</c:v>
                </c:pt>
                <c:pt idx="509">
                  <c:v>44965.666666666599</c:v>
                </c:pt>
                <c:pt idx="510">
                  <c:v>44966.666666666599</c:v>
                </c:pt>
                <c:pt idx="511">
                  <c:v>44967.666666666599</c:v>
                </c:pt>
                <c:pt idx="512">
                  <c:v>44970.666666666599</c:v>
                </c:pt>
                <c:pt idx="513">
                  <c:v>44971.666666666599</c:v>
                </c:pt>
                <c:pt idx="514">
                  <c:v>44972.666666666599</c:v>
                </c:pt>
                <c:pt idx="515">
                  <c:v>44973.666666666599</c:v>
                </c:pt>
                <c:pt idx="516">
                  <c:v>44974.666666666599</c:v>
                </c:pt>
                <c:pt idx="517">
                  <c:v>44978.666666666599</c:v>
                </c:pt>
                <c:pt idx="518">
                  <c:v>44979.666666666599</c:v>
                </c:pt>
                <c:pt idx="519">
                  <c:v>44980.666666666599</c:v>
                </c:pt>
                <c:pt idx="520">
                  <c:v>44981.666666666599</c:v>
                </c:pt>
                <c:pt idx="521">
                  <c:v>44984.666666666599</c:v>
                </c:pt>
                <c:pt idx="522">
                  <c:v>44985.666666666599</c:v>
                </c:pt>
                <c:pt idx="523">
                  <c:v>44986.666666666599</c:v>
                </c:pt>
                <c:pt idx="524">
                  <c:v>44987.666666666599</c:v>
                </c:pt>
                <c:pt idx="525">
                  <c:v>44988.666666666599</c:v>
                </c:pt>
                <c:pt idx="526">
                  <c:v>44991.666666666599</c:v>
                </c:pt>
                <c:pt idx="527">
                  <c:v>44992.666666666599</c:v>
                </c:pt>
                <c:pt idx="528">
                  <c:v>44993.666666666599</c:v>
                </c:pt>
                <c:pt idx="529">
                  <c:v>44994.666666666599</c:v>
                </c:pt>
                <c:pt idx="530">
                  <c:v>44995.666666666599</c:v>
                </c:pt>
                <c:pt idx="531">
                  <c:v>44998.666666666599</c:v>
                </c:pt>
                <c:pt idx="532">
                  <c:v>44999.666666666599</c:v>
                </c:pt>
                <c:pt idx="533">
                  <c:v>45000.666666666599</c:v>
                </c:pt>
                <c:pt idx="534">
                  <c:v>45001.666666666599</c:v>
                </c:pt>
                <c:pt idx="535">
                  <c:v>45002.666666666599</c:v>
                </c:pt>
                <c:pt idx="536">
                  <c:v>45005.666666666599</c:v>
                </c:pt>
                <c:pt idx="537">
                  <c:v>45006.666666666599</c:v>
                </c:pt>
                <c:pt idx="538">
                  <c:v>45007.666666666599</c:v>
                </c:pt>
                <c:pt idx="539">
                  <c:v>45008.666666666599</c:v>
                </c:pt>
                <c:pt idx="540">
                  <c:v>45009.666666666599</c:v>
                </c:pt>
                <c:pt idx="541">
                  <c:v>45012.666666666599</c:v>
                </c:pt>
                <c:pt idx="542">
                  <c:v>45013.666666666599</c:v>
                </c:pt>
                <c:pt idx="543">
                  <c:v>45014.666666666599</c:v>
                </c:pt>
                <c:pt idx="544">
                  <c:v>45015.666666666599</c:v>
                </c:pt>
                <c:pt idx="545">
                  <c:v>45016.666666666599</c:v>
                </c:pt>
                <c:pt idx="546">
                  <c:v>45019.666666666599</c:v>
                </c:pt>
                <c:pt idx="547">
                  <c:v>45020.666666666599</c:v>
                </c:pt>
                <c:pt idx="548">
                  <c:v>45021.666666666599</c:v>
                </c:pt>
                <c:pt idx="549">
                  <c:v>45022.666666666599</c:v>
                </c:pt>
                <c:pt idx="550">
                  <c:v>45026.666666666599</c:v>
                </c:pt>
                <c:pt idx="551">
                  <c:v>45027.666666666599</c:v>
                </c:pt>
                <c:pt idx="552">
                  <c:v>45028.666666666599</c:v>
                </c:pt>
                <c:pt idx="553">
                  <c:v>45029.666666666599</c:v>
                </c:pt>
                <c:pt idx="554">
                  <c:v>45030.666666666599</c:v>
                </c:pt>
                <c:pt idx="555">
                  <c:v>45033.666666666599</c:v>
                </c:pt>
                <c:pt idx="556">
                  <c:v>45034.666666666599</c:v>
                </c:pt>
                <c:pt idx="557">
                  <c:v>45035.666666666599</c:v>
                </c:pt>
                <c:pt idx="558">
                  <c:v>45036.666666666599</c:v>
                </c:pt>
                <c:pt idx="559">
                  <c:v>45037.666666666599</c:v>
                </c:pt>
                <c:pt idx="560">
                  <c:v>45040.666666666599</c:v>
                </c:pt>
                <c:pt idx="561">
                  <c:v>45041.666666666599</c:v>
                </c:pt>
                <c:pt idx="562">
                  <c:v>45042.666666666599</c:v>
                </c:pt>
                <c:pt idx="563">
                  <c:v>45043.666666666599</c:v>
                </c:pt>
                <c:pt idx="564">
                  <c:v>45044.666666666599</c:v>
                </c:pt>
                <c:pt idx="565">
                  <c:v>45047.666666666599</c:v>
                </c:pt>
                <c:pt idx="566">
                  <c:v>45048.666666666599</c:v>
                </c:pt>
                <c:pt idx="567">
                  <c:v>45049.666666666599</c:v>
                </c:pt>
                <c:pt idx="568">
                  <c:v>45050.666666666599</c:v>
                </c:pt>
                <c:pt idx="569">
                  <c:v>45051.666666666599</c:v>
                </c:pt>
                <c:pt idx="570">
                  <c:v>45054.666666666599</c:v>
                </c:pt>
                <c:pt idx="571">
                  <c:v>45055.666666666599</c:v>
                </c:pt>
                <c:pt idx="572">
                  <c:v>45056.666666666599</c:v>
                </c:pt>
                <c:pt idx="573">
                  <c:v>45057.666666666599</c:v>
                </c:pt>
                <c:pt idx="574">
                  <c:v>45058.666666666599</c:v>
                </c:pt>
                <c:pt idx="575">
                  <c:v>45061.666666666599</c:v>
                </c:pt>
                <c:pt idx="576">
                  <c:v>45062.666666666599</c:v>
                </c:pt>
                <c:pt idx="577">
                  <c:v>45063.666666666599</c:v>
                </c:pt>
                <c:pt idx="578">
                  <c:v>45064.666666666599</c:v>
                </c:pt>
                <c:pt idx="579">
                  <c:v>45065.666666666599</c:v>
                </c:pt>
                <c:pt idx="580">
                  <c:v>45068.666666666599</c:v>
                </c:pt>
                <c:pt idx="581">
                  <c:v>45069.666666666599</c:v>
                </c:pt>
                <c:pt idx="582">
                  <c:v>45070.666666666599</c:v>
                </c:pt>
                <c:pt idx="583">
                  <c:v>45071.666666666599</c:v>
                </c:pt>
                <c:pt idx="584">
                  <c:v>45072.666666666599</c:v>
                </c:pt>
                <c:pt idx="585">
                  <c:v>45076.666666666599</c:v>
                </c:pt>
                <c:pt idx="586">
                  <c:v>45077.666666666599</c:v>
                </c:pt>
                <c:pt idx="587">
                  <c:v>45078.666666666599</c:v>
                </c:pt>
                <c:pt idx="588">
                  <c:v>45079.666666666599</c:v>
                </c:pt>
                <c:pt idx="589">
                  <c:v>45082.666666666599</c:v>
                </c:pt>
                <c:pt idx="590">
                  <c:v>45083.666666666599</c:v>
                </c:pt>
                <c:pt idx="591">
                  <c:v>45084.666666666599</c:v>
                </c:pt>
                <c:pt idx="592">
                  <c:v>45085.666666666599</c:v>
                </c:pt>
                <c:pt idx="593">
                  <c:v>45086.666666666599</c:v>
                </c:pt>
                <c:pt idx="594">
                  <c:v>45089.666666666599</c:v>
                </c:pt>
                <c:pt idx="595">
                  <c:v>45090.666666666599</c:v>
                </c:pt>
                <c:pt idx="596">
                  <c:v>45091.666666666599</c:v>
                </c:pt>
                <c:pt idx="597">
                  <c:v>45092.666666666599</c:v>
                </c:pt>
                <c:pt idx="598">
                  <c:v>45093.666666666599</c:v>
                </c:pt>
                <c:pt idx="599">
                  <c:v>45097.666666666599</c:v>
                </c:pt>
                <c:pt idx="600">
                  <c:v>45098.666666666599</c:v>
                </c:pt>
                <c:pt idx="601">
                  <c:v>45099.666666666599</c:v>
                </c:pt>
                <c:pt idx="602">
                  <c:v>45100.666666666599</c:v>
                </c:pt>
                <c:pt idx="603">
                  <c:v>45103.666666666599</c:v>
                </c:pt>
                <c:pt idx="604">
                  <c:v>45104.666666666599</c:v>
                </c:pt>
                <c:pt idx="605">
                  <c:v>45105.666666666599</c:v>
                </c:pt>
                <c:pt idx="606">
                  <c:v>45106.666666666599</c:v>
                </c:pt>
                <c:pt idx="607">
                  <c:v>45107.666666666599</c:v>
                </c:pt>
                <c:pt idx="608">
                  <c:v>45110.552083333299</c:v>
                </c:pt>
                <c:pt idx="609">
                  <c:v>45112.666666666599</c:v>
                </c:pt>
                <c:pt idx="610">
                  <c:v>45113.666666666599</c:v>
                </c:pt>
                <c:pt idx="611">
                  <c:v>45114.666666666599</c:v>
                </c:pt>
                <c:pt idx="612">
                  <c:v>45117.666666666599</c:v>
                </c:pt>
                <c:pt idx="613">
                  <c:v>45118.666666666599</c:v>
                </c:pt>
                <c:pt idx="614">
                  <c:v>45119.666666666599</c:v>
                </c:pt>
                <c:pt idx="615">
                  <c:v>45120.666666666599</c:v>
                </c:pt>
                <c:pt idx="616">
                  <c:v>45121.666666666599</c:v>
                </c:pt>
                <c:pt idx="617">
                  <c:v>45124.666666666599</c:v>
                </c:pt>
                <c:pt idx="618">
                  <c:v>45125.666666666599</c:v>
                </c:pt>
                <c:pt idx="619">
                  <c:v>45126.666666666599</c:v>
                </c:pt>
                <c:pt idx="620">
                  <c:v>45127.666666666599</c:v>
                </c:pt>
                <c:pt idx="621">
                  <c:v>45128.666666666599</c:v>
                </c:pt>
                <c:pt idx="622">
                  <c:v>45131.666666666599</c:v>
                </c:pt>
                <c:pt idx="623">
                  <c:v>45132.666666666599</c:v>
                </c:pt>
                <c:pt idx="624">
                  <c:v>45133.666666666599</c:v>
                </c:pt>
                <c:pt idx="625">
                  <c:v>45134.666666666599</c:v>
                </c:pt>
                <c:pt idx="626">
                  <c:v>45135.666666666599</c:v>
                </c:pt>
                <c:pt idx="627">
                  <c:v>45138.666666666599</c:v>
                </c:pt>
                <c:pt idx="628">
                  <c:v>45139.666666666599</c:v>
                </c:pt>
                <c:pt idx="629">
                  <c:v>45140.666666666599</c:v>
                </c:pt>
                <c:pt idx="630">
                  <c:v>45141.666666666599</c:v>
                </c:pt>
                <c:pt idx="631">
                  <c:v>45142.666666666599</c:v>
                </c:pt>
                <c:pt idx="632">
                  <c:v>45145.666666666599</c:v>
                </c:pt>
                <c:pt idx="633">
                  <c:v>45146.666666666599</c:v>
                </c:pt>
                <c:pt idx="634">
                  <c:v>45147.666666666599</c:v>
                </c:pt>
                <c:pt idx="635">
                  <c:v>45148.666666666599</c:v>
                </c:pt>
                <c:pt idx="636">
                  <c:v>45149.666666666599</c:v>
                </c:pt>
                <c:pt idx="637">
                  <c:v>45152.666666666599</c:v>
                </c:pt>
                <c:pt idx="638">
                  <c:v>45153.666666666599</c:v>
                </c:pt>
                <c:pt idx="639">
                  <c:v>45154.666666666599</c:v>
                </c:pt>
                <c:pt idx="640">
                  <c:v>45155.666666666599</c:v>
                </c:pt>
                <c:pt idx="641">
                  <c:v>45156.666666666599</c:v>
                </c:pt>
                <c:pt idx="642">
                  <c:v>45159.666666666599</c:v>
                </c:pt>
                <c:pt idx="643">
                  <c:v>45160.666666666599</c:v>
                </c:pt>
                <c:pt idx="644">
                  <c:v>45161.666666666599</c:v>
                </c:pt>
                <c:pt idx="645">
                  <c:v>45162.666666666599</c:v>
                </c:pt>
                <c:pt idx="646">
                  <c:v>45163.666666666599</c:v>
                </c:pt>
                <c:pt idx="647">
                  <c:v>45166.666666666599</c:v>
                </c:pt>
                <c:pt idx="648">
                  <c:v>45167.666666666599</c:v>
                </c:pt>
                <c:pt idx="649">
                  <c:v>45168.666666666599</c:v>
                </c:pt>
                <c:pt idx="650">
                  <c:v>45169.666666666599</c:v>
                </c:pt>
                <c:pt idx="651">
                  <c:v>45170.666666666599</c:v>
                </c:pt>
                <c:pt idx="652">
                  <c:v>45174.666666666599</c:v>
                </c:pt>
                <c:pt idx="653">
                  <c:v>45175.666666666599</c:v>
                </c:pt>
                <c:pt idx="654">
                  <c:v>45176.666666666599</c:v>
                </c:pt>
                <c:pt idx="655">
                  <c:v>45177.666666666599</c:v>
                </c:pt>
                <c:pt idx="656">
                  <c:v>45180.666666666599</c:v>
                </c:pt>
                <c:pt idx="657">
                  <c:v>45181.666666666599</c:v>
                </c:pt>
                <c:pt idx="658">
                  <c:v>45182.666666666599</c:v>
                </c:pt>
                <c:pt idx="659">
                  <c:v>45183.666666666599</c:v>
                </c:pt>
                <c:pt idx="660">
                  <c:v>45184.666666666599</c:v>
                </c:pt>
                <c:pt idx="661">
                  <c:v>45187.666666666599</c:v>
                </c:pt>
                <c:pt idx="662">
                  <c:v>45188.666666666599</c:v>
                </c:pt>
                <c:pt idx="663">
                  <c:v>45189.666666666599</c:v>
                </c:pt>
                <c:pt idx="664">
                  <c:v>45190.666666666599</c:v>
                </c:pt>
                <c:pt idx="665">
                  <c:v>45191.666666666599</c:v>
                </c:pt>
                <c:pt idx="666">
                  <c:v>45194.666666666599</c:v>
                </c:pt>
                <c:pt idx="667">
                  <c:v>45195.666666666599</c:v>
                </c:pt>
                <c:pt idx="668">
                  <c:v>45196.666666666599</c:v>
                </c:pt>
                <c:pt idx="669">
                  <c:v>45197.666666666599</c:v>
                </c:pt>
                <c:pt idx="670">
                  <c:v>45198.666666666599</c:v>
                </c:pt>
                <c:pt idx="671">
                  <c:v>45201.666666666599</c:v>
                </c:pt>
                <c:pt idx="672">
                  <c:v>45202.666666666599</c:v>
                </c:pt>
                <c:pt idx="673">
                  <c:v>45203.666666666599</c:v>
                </c:pt>
                <c:pt idx="674">
                  <c:v>45204.666666666599</c:v>
                </c:pt>
                <c:pt idx="675">
                  <c:v>45205.666666666599</c:v>
                </c:pt>
                <c:pt idx="676">
                  <c:v>45208.666666666599</c:v>
                </c:pt>
                <c:pt idx="677">
                  <c:v>45209.666666666599</c:v>
                </c:pt>
                <c:pt idx="678">
                  <c:v>45210.666666666599</c:v>
                </c:pt>
                <c:pt idx="679">
                  <c:v>45211.666666666599</c:v>
                </c:pt>
                <c:pt idx="680">
                  <c:v>45212.666666666599</c:v>
                </c:pt>
                <c:pt idx="681">
                  <c:v>45215.666666666599</c:v>
                </c:pt>
                <c:pt idx="682">
                  <c:v>45216.666666666599</c:v>
                </c:pt>
                <c:pt idx="683">
                  <c:v>45217.666666666599</c:v>
                </c:pt>
                <c:pt idx="684">
                  <c:v>45218.666666666599</c:v>
                </c:pt>
                <c:pt idx="685">
                  <c:v>45219.666666666599</c:v>
                </c:pt>
                <c:pt idx="686">
                  <c:v>45222.666666666599</c:v>
                </c:pt>
                <c:pt idx="687">
                  <c:v>45223.666666666599</c:v>
                </c:pt>
                <c:pt idx="688">
                  <c:v>45224.666666666599</c:v>
                </c:pt>
                <c:pt idx="689">
                  <c:v>45225.666666666599</c:v>
                </c:pt>
                <c:pt idx="690">
                  <c:v>45226.666666666599</c:v>
                </c:pt>
                <c:pt idx="691">
                  <c:v>45229.666666666599</c:v>
                </c:pt>
                <c:pt idx="692">
                  <c:v>45230.666666666599</c:v>
                </c:pt>
                <c:pt idx="693">
                  <c:v>45231.666666666599</c:v>
                </c:pt>
                <c:pt idx="694">
                  <c:v>45232.666666666599</c:v>
                </c:pt>
                <c:pt idx="695">
                  <c:v>45233.666666666599</c:v>
                </c:pt>
                <c:pt idx="696">
                  <c:v>45236.666666666599</c:v>
                </c:pt>
                <c:pt idx="697">
                  <c:v>45237.666666666599</c:v>
                </c:pt>
                <c:pt idx="698">
                  <c:v>45238.666666666599</c:v>
                </c:pt>
                <c:pt idx="699">
                  <c:v>45239.666666666599</c:v>
                </c:pt>
                <c:pt idx="700">
                  <c:v>45240.666666666599</c:v>
                </c:pt>
                <c:pt idx="701">
                  <c:v>45243.666666666599</c:v>
                </c:pt>
                <c:pt idx="702">
                  <c:v>45244.666666666599</c:v>
                </c:pt>
                <c:pt idx="703">
                  <c:v>45245.666666666599</c:v>
                </c:pt>
                <c:pt idx="704">
                  <c:v>45246.666666666599</c:v>
                </c:pt>
                <c:pt idx="705">
                  <c:v>45247.666666666599</c:v>
                </c:pt>
                <c:pt idx="706">
                  <c:v>45250.666666666599</c:v>
                </c:pt>
                <c:pt idx="707">
                  <c:v>45251.666666666599</c:v>
                </c:pt>
                <c:pt idx="708">
                  <c:v>45252.666666666599</c:v>
                </c:pt>
                <c:pt idx="709">
                  <c:v>45254.552083333299</c:v>
                </c:pt>
                <c:pt idx="710">
                  <c:v>45257.666666666599</c:v>
                </c:pt>
                <c:pt idx="711">
                  <c:v>45258.666666666599</c:v>
                </c:pt>
                <c:pt idx="712">
                  <c:v>45259.666666666599</c:v>
                </c:pt>
                <c:pt idx="713">
                  <c:v>45260.666666666599</c:v>
                </c:pt>
                <c:pt idx="714">
                  <c:v>45261.666666666599</c:v>
                </c:pt>
                <c:pt idx="715">
                  <c:v>45264.666666666599</c:v>
                </c:pt>
                <c:pt idx="716">
                  <c:v>45265.666666666599</c:v>
                </c:pt>
                <c:pt idx="717">
                  <c:v>45266.666666666599</c:v>
                </c:pt>
                <c:pt idx="718">
                  <c:v>45267.666666666599</c:v>
                </c:pt>
                <c:pt idx="719">
                  <c:v>45268.666666666599</c:v>
                </c:pt>
                <c:pt idx="720">
                  <c:v>45271.666666666599</c:v>
                </c:pt>
                <c:pt idx="721">
                  <c:v>45272.666666666599</c:v>
                </c:pt>
                <c:pt idx="722">
                  <c:v>45273.666666666599</c:v>
                </c:pt>
                <c:pt idx="723">
                  <c:v>45274.666666666599</c:v>
                </c:pt>
                <c:pt idx="724">
                  <c:v>45275.666666666599</c:v>
                </c:pt>
                <c:pt idx="725">
                  <c:v>45278.666666666599</c:v>
                </c:pt>
                <c:pt idx="726">
                  <c:v>45279.666666666599</c:v>
                </c:pt>
                <c:pt idx="727">
                  <c:v>45280.666666666599</c:v>
                </c:pt>
                <c:pt idx="728">
                  <c:v>45281.666666666599</c:v>
                </c:pt>
                <c:pt idx="729">
                  <c:v>45282.666666666599</c:v>
                </c:pt>
                <c:pt idx="730">
                  <c:v>45286.666666666599</c:v>
                </c:pt>
                <c:pt idx="731">
                  <c:v>45287.666666666599</c:v>
                </c:pt>
                <c:pt idx="732">
                  <c:v>45288.666666666599</c:v>
                </c:pt>
                <c:pt idx="733">
                  <c:v>45289.666666666599</c:v>
                </c:pt>
                <c:pt idx="734">
                  <c:v>45293.666666666599</c:v>
                </c:pt>
                <c:pt idx="735">
                  <c:v>45294.666666666599</c:v>
                </c:pt>
                <c:pt idx="736">
                  <c:v>45295.666666666599</c:v>
                </c:pt>
                <c:pt idx="737">
                  <c:v>45296.666666666599</c:v>
                </c:pt>
                <c:pt idx="738">
                  <c:v>45299.666666666599</c:v>
                </c:pt>
                <c:pt idx="739">
                  <c:v>45300.666666666599</c:v>
                </c:pt>
                <c:pt idx="740">
                  <c:v>45301.666666666599</c:v>
                </c:pt>
                <c:pt idx="741">
                  <c:v>45302.666666666599</c:v>
                </c:pt>
                <c:pt idx="742">
                  <c:v>45303.666666666599</c:v>
                </c:pt>
                <c:pt idx="743">
                  <c:v>45307.666666666599</c:v>
                </c:pt>
                <c:pt idx="744">
                  <c:v>45308.666666666599</c:v>
                </c:pt>
                <c:pt idx="745">
                  <c:v>45309.666666666599</c:v>
                </c:pt>
                <c:pt idx="746">
                  <c:v>45310.666666666599</c:v>
                </c:pt>
                <c:pt idx="747">
                  <c:v>45313.666666666599</c:v>
                </c:pt>
                <c:pt idx="748">
                  <c:v>45314.666666666599</c:v>
                </c:pt>
                <c:pt idx="749">
                  <c:v>45315.666666666599</c:v>
                </c:pt>
                <c:pt idx="750">
                  <c:v>45316.666666666599</c:v>
                </c:pt>
                <c:pt idx="751">
                  <c:v>45317.666666666599</c:v>
                </c:pt>
                <c:pt idx="752">
                  <c:v>45320.666666666599</c:v>
                </c:pt>
                <c:pt idx="753">
                  <c:v>45321.666666666599</c:v>
                </c:pt>
                <c:pt idx="754">
                  <c:v>45322.666666666599</c:v>
                </c:pt>
                <c:pt idx="755">
                  <c:v>45323.666666666599</c:v>
                </c:pt>
                <c:pt idx="756">
                  <c:v>45324.666666666599</c:v>
                </c:pt>
                <c:pt idx="757">
                  <c:v>45327.666666666599</c:v>
                </c:pt>
                <c:pt idx="758">
                  <c:v>45328.666666666599</c:v>
                </c:pt>
                <c:pt idx="759">
                  <c:v>45329.666666666599</c:v>
                </c:pt>
                <c:pt idx="760">
                  <c:v>45330.666666666599</c:v>
                </c:pt>
                <c:pt idx="761">
                  <c:v>45331.666666666599</c:v>
                </c:pt>
                <c:pt idx="762">
                  <c:v>45334.666666666599</c:v>
                </c:pt>
                <c:pt idx="763">
                  <c:v>45335.666666666599</c:v>
                </c:pt>
                <c:pt idx="764">
                  <c:v>45336.666666666599</c:v>
                </c:pt>
                <c:pt idx="765">
                  <c:v>45337.666666666599</c:v>
                </c:pt>
                <c:pt idx="766">
                  <c:v>45338.666666666599</c:v>
                </c:pt>
                <c:pt idx="767">
                  <c:v>45342.666666666599</c:v>
                </c:pt>
                <c:pt idx="768">
                  <c:v>45343.666666666599</c:v>
                </c:pt>
                <c:pt idx="769">
                  <c:v>45344.666666666599</c:v>
                </c:pt>
                <c:pt idx="770">
                  <c:v>45345.666666666599</c:v>
                </c:pt>
                <c:pt idx="771">
                  <c:v>45348.666666666599</c:v>
                </c:pt>
                <c:pt idx="772">
                  <c:v>45349.666666666599</c:v>
                </c:pt>
                <c:pt idx="773">
                  <c:v>45350.666666666599</c:v>
                </c:pt>
                <c:pt idx="774">
                  <c:v>45351.666666666599</c:v>
                </c:pt>
                <c:pt idx="775">
                  <c:v>45352.666666666599</c:v>
                </c:pt>
                <c:pt idx="776">
                  <c:v>45355.666666666599</c:v>
                </c:pt>
                <c:pt idx="777">
                  <c:v>45356.666666666599</c:v>
                </c:pt>
                <c:pt idx="778">
                  <c:v>45357.666666666599</c:v>
                </c:pt>
                <c:pt idx="779">
                  <c:v>45358.666666666599</c:v>
                </c:pt>
                <c:pt idx="780">
                  <c:v>45359.666666666599</c:v>
                </c:pt>
                <c:pt idx="781">
                  <c:v>45362.666666666599</c:v>
                </c:pt>
                <c:pt idx="782">
                  <c:v>45363.666666666599</c:v>
                </c:pt>
                <c:pt idx="783">
                  <c:v>45364.666666666599</c:v>
                </c:pt>
                <c:pt idx="784">
                  <c:v>45365.666666666599</c:v>
                </c:pt>
                <c:pt idx="785">
                  <c:v>45366.666666666599</c:v>
                </c:pt>
                <c:pt idx="786">
                  <c:v>45369.666666666599</c:v>
                </c:pt>
                <c:pt idx="787">
                  <c:v>45370.666666666599</c:v>
                </c:pt>
                <c:pt idx="788">
                  <c:v>45371.666666666599</c:v>
                </c:pt>
                <c:pt idx="789">
                  <c:v>45372.666666666599</c:v>
                </c:pt>
                <c:pt idx="790">
                  <c:v>45373.666666666599</c:v>
                </c:pt>
                <c:pt idx="791">
                  <c:v>45376.666666666599</c:v>
                </c:pt>
                <c:pt idx="792">
                  <c:v>45377.666666666599</c:v>
                </c:pt>
                <c:pt idx="793">
                  <c:v>45378.666666666599</c:v>
                </c:pt>
                <c:pt idx="794">
                  <c:v>45379.666666666599</c:v>
                </c:pt>
                <c:pt idx="795">
                  <c:v>45383.666666666599</c:v>
                </c:pt>
                <c:pt idx="796">
                  <c:v>45384.666666666599</c:v>
                </c:pt>
                <c:pt idx="797">
                  <c:v>45385.666666666599</c:v>
                </c:pt>
                <c:pt idx="798">
                  <c:v>45386.666666666599</c:v>
                </c:pt>
                <c:pt idx="799">
                  <c:v>45387.666666666599</c:v>
                </c:pt>
                <c:pt idx="800">
                  <c:v>45390.666666666599</c:v>
                </c:pt>
                <c:pt idx="801">
                  <c:v>45391.666666666599</c:v>
                </c:pt>
                <c:pt idx="802">
                  <c:v>45392.666666666599</c:v>
                </c:pt>
                <c:pt idx="803">
                  <c:v>45393.666666666599</c:v>
                </c:pt>
                <c:pt idx="804">
                  <c:v>45394.666666666599</c:v>
                </c:pt>
                <c:pt idx="805">
                  <c:v>45397.666666666599</c:v>
                </c:pt>
                <c:pt idx="806">
                  <c:v>45398.666666666599</c:v>
                </c:pt>
                <c:pt idx="807">
                  <c:v>45399.666666666599</c:v>
                </c:pt>
                <c:pt idx="808">
                  <c:v>45400.666666666599</c:v>
                </c:pt>
                <c:pt idx="809">
                  <c:v>45401.666666666599</c:v>
                </c:pt>
                <c:pt idx="810">
                  <c:v>45404.666666666599</c:v>
                </c:pt>
                <c:pt idx="811">
                  <c:v>45405.666666666599</c:v>
                </c:pt>
                <c:pt idx="812">
                  <c:v>45406.666666666599</c:v>
                </c:pt>
                <c:pt idx="813">
                  <c:v>45407.666666666599</c:v>
                </c:pt>
                <c:pt idx="814">
                  <c:v>45408.666666666599</c:v>
                </c:pt>
                <c:pt idx="815">
                  <c:v>45411.666666666599</c:v>
                </c:pt>
                <c:pt idx="816">
                  <c:v>45412.666666666599</c:v>
                </c:pt>
                <c:pt idx="817">
                  <c:v>45413.666666666599</c:v>
                </c:pt>
                <c:pt idx="818">
                  <c:v>45414.666666666599</c:v>
                </c:pt>
                <c:pt idx="819">
                  <c:v>45415.666666666599</c:v>
                </c:pt>
                <c:pt idx="820">
                  <c:v>45418.666666666599</c:v>
                </c:pt>
                <c:pt idx="821">
                  <c:v>45419.666666666599</c:v>
                </c:pt>
                <c:pt idx="822">
                  <c:v>45420.666666666599</c:v>
                </c:pt>
                <c:pt idx="823">
                  <c:v>45421.666666666599</c:v>
                </c:pt>
                <c:pt idx="824">
                  <c:v>45422.666666666599</c:v>
                </c:pt>
                <c:pt idx="825">
                  <c:v>45425.666666666599</c:v>
                </c:pt>
                <c:pt idx="826">
                  <c:v>45426.666666666599</c:v>
                </c:pt>
                <c:pt idx="827">
                  <c:v>45427.666666666599</c:v>
                </c:pt>
                <c:pt idx="828">
                  <c:v>45428.666666666599</c:v>
                </c:pt>
                <c:pt idx="829">
                  <c:v>45429.666666666599</c:v>
                </c:pt>
                <c:pt idx="830">
                  <c:v>45432.666666666599</c:v>
                </c:pt>
                <c:pt idx="831">
                  <c:v>45433.666666666599</c:v>
                </c:pt>
                <c:pt idx="832">
                  <c:v>45434.666666666599</c:v>
                </c:pt>
                <c:pt idx="833">
                  <c:v>45435.666666666599</c:v>
                </c:pt>
                <c:pt idx="834">
                  <c:v>45436.666666666599</c:v>
                </c:pt>
                <c:pt idx="835">
                  <c:v>45440.666666666599</c:v>
                </c:pt>
                <c:pt idx="836">
                  <c:v>45441.666666666599</c:v>
                </c:pt>
                <c:pt idx="837">
                  <c:v>45442.666666666599</c:v>
                </c:pt>
                <c:pt idx="838">
                  <c:v>45443.666666666599</c:v>
                </c:pt>
                <c:pt idx="839">
                  <c:v>45446.666666666599</c:v>
                </c:pt>
                <c:pt idx="840">
                  <c:v>45447.666666666599</c:v>
                </c:pt>
                <c:pt idx="841">
                  <c:v>45448.666666666599</c:v>
                </c:pt>
                <c:pt idx="842">
                  <c:v>45449.666666666599</c:v>
                </c:pt>
                <c:pt idx="843">
                  <c:v>45450.666666666599</c:v>
                </c:pt>
                <c:pt idx="844">
                  <c:v>45453.666666666599</c:v>
                </c:pt>
                <c:pt idx="845">
                  <c:v>45454.666666666599</c:v>
                </c:pt>
                <c:pt idx="846">
                  <c:v>45455.666666666599</c:v>
                </c:pt>
                <c:pt idx="847">
                  <c:v>45456.666666666599</c:v>
                </c:pt>
                <c:pt idx="848">
                  <c:v>45457.666666666599</c:v>
                </c:pt>
                <c:pt idx="849">
                  <c:v>45460.666666666599</c:v>
                </c:pt>
                <c:pt idx="850">
                  <c:v>45461.666666666599</c:v>
                </c:pt>
                <c:pt idx="851">
                  <c:v>45463.666666666599</c:v>
                </c:pt>
                <c:pt idx="852">
                  <c:v>45464.666666666599</c:v>
                </c:pt>
                <c:pt idx="853">
                  <c:v>45467.666666666599</c:v>
                </c:pt>
                <c:pt idx="854">
                  <c:v>45468.666666666599</c:v>
                </c:pt>
                <c:pt idx="855">
                  <c:v>45469.666666666599</c:v>
                </c:pt>
                <c:pt idx="856">
                  <c:v>45470.666666666599</c:v>
                </c:pt>
                <c:pt idx="857">
                  <c:v>45471.666666666599</c:v>
                </c:pt>
                <c:pt idx="858">
                  <c:v>45474.666666666599</c:v>
                </c:pt>
                <c:pt idx="859">
                  <c:v>45475.666666666599</c:v>
                </c:pt>
                <c:pt idx="860">
                  <c:v>45476.552083333299</c:v>
                </c:pt>
                <c:pt idx="861">
                  <c:v>45478.666666666599</c:v>
                </c:pt>
                <c:pt idx="862">
                  <c:v>45481.666666666599</c:v>
                </c:pt>
                <c:pt idx="863">
                  <c:v>45482.666666666599</c:v>
                </c:pt>
                <c:pt idx="864">
                  <c:v>45483.666666666599</c:v>
                </c:pt>
                <c:pt idx="865">
                  <c:v>45484.666666666599</c:v>
                </c:pt>
                <c:pt idx="866">
                  <c:v>45485.666666666599</c:v>
                </c:pt>
                <c:pt idx="867">
                  <c:v>45488.666666666599</c:v>
                </c:pt>
                <c:pt idx="868">
                  <c:v>45489.666666666599</c:v>
                </c:pt>
                <c:pt idx="869">
                  <c:v>45490.666666666599</c:v>
                </c:pt>
                <c:pt idx="870">
                  <c:v>45491.666666666599</c:v>
                </c:pt>
                <c:pt idx="871">
                  <c:v>45492.666666666599</c:v>
                </c:pt>
                <c:pt idx="872">
                  <c:v>45495.666666666599</c:v>
                </c:pt>
                <c:pt idx="873">
                  <c:v>45496.666666666599</c:v>
                </c:pt>
                <c:pt idx="874">
                  <c:v>45497.666666666599</c:v>
                </c:pt>
                <c:pt idx="875">
                  <c:v>45498.666666666599</c:v>
                </c:pt>
                <c:pt idx="876">
                  <c:v>45499.666666666599</c:v>
                </c:pt>
                <c:pt idx="877">
                  <c:v>45502.666666666599</c:v>
                </c:pt>
                <c:pt idx="878">
                  <c:v>45503.666666666599</c:v>
                </c:pt>
                <c:pt idx="879">
                  <c:v>45504.666666666599</c:v>
                </c:pt>
                <c:pt idx="880">
                  <c:v>45505.666666666599</c:v>
                </c:pt>
                <c:pt idx="881">
                  <c:v>45506.666666666599</c:v>
                </c:pt>
                <c:pt idx="882">
                  <c:v>45509.666666666599</c:v>
                </c:pt>
                <c:pt idx="883">
                  <c:v>45510.666666666599</c:v>
                </c:pt>
                <c:pt idx="884">
                  <c:v>45511.666666666599</c:v>
                </c:pt>
                <c:pt idx="885">
                  <c:v>45512.666666666599</c:v>
                </c:pt>
                <c:pt idx="886">
                  <c:v>45513.666666666599</c:v>
                </c:pt>
                <c:pt idx="887">
                  <c:v>45516.666666666599</c:v>
                </c:pt>
                <c:pt idx="888">
                  <c:v>45517.666666666599</c:v>
                </c:pt>
                <c:pt idx="889">
                  <c:v>45518.666666666599</c:v>
                </c:pt>
                <c:pt idx="890">
                  <c:v>45519.666666666599</c:v>
                </c:pt>
                <c:pt idx="891">
                  <c:v>45520.666666666599</c:v>
                </c:pt>
                <c:pt idx="892">
                  <c:v>45523.666666666599</c:v>
                </c:pt>
                <c:pt idx="893">
                  <c:v>45524.666666666599</c:v>
                </c:pt>
                <c:pt idx="894">
                  <c:v>45525.666666666599</c:v>
                </c:pt>
                <c:pt idx="895">
                  <c:v>45526.666666666599</c:v>
                </c:pt>
                <c:pt idx="896">
                  <c:v>45527.666666666599</c:v>
                </c:pt>
                <c:pt idx="897">
                  <c:v>45530.666666666599</c:v>
                </c:pt>
                <c:pt idx="898">
                  <c:v>45531.666666666599</c:v>
                </c:pt>
                <c:pt idx="899">
                  <c:v>45532.666666666599</c:v>
                </c:pt>
                <c:pt idx="900">
                  <c:v>45533.666666666599</c:v>
                </c:pt>
                <c:pt idx="901">
                  <c:v>45534.666666666599</c:v>
                </c:pt>
                <c:pt idx="902">
                  <c:v>45538.666666666599</c:v>
                </c:pt>
                <c:pt idx="903">
                  <c:v>45539.666666666599</c:v>
                </c:pt>
                <c:pt idx="904">
                  <c:v>45540.666666666599</c:v>
                </c:pt>
                <c:pt idx="905">
                  <c:v>45541.666666666599</c:v>
                </c:pt>
                <c:pt idx="906">
                  <c:v>45544.666666666599</c:v>
                </c:pt>
                <c:pt idx="907">
                  <c:v>45545.666666666599</c:v>
                </c:pt>
                <c:pt idx="908">
                  <c:v>45546.666666666599</c:v>
                </c:pt>
                <c:pt idx="909">
                  <c:v>45547.666666666599</c:v>
                </c:pt>
                <c:pt idx="910">
                  <c:v>45548.666666666599</c:v>
                </c:pt>
                <c:pt idx="911">
                  <c:v>45551.666666666599</c:v>
                </c:pt>
                <c:pt idx="912">
                  <c:v>45552.666666666599</c:v>
                </c:pt>
                <c:pt idx="913">
                  <c:v>45553.666666666599</c:v>
                </c:pt>
                <c:pt idx="914">
                  <c:v>45554.666666666599</c:v>
                </c:pt>
                <c:pt idx="915">
                  <c:v>45555.666666666599</c:v>
                </c:pt>
                <c:pt idx="916">
                  <c:v>45558.666666666599</c:v>
                </c:pt>
                <c:pt idx="917">
                  <c:v>45559.666666666599</c:v>
                </c:pt>
                <c:pt idx="918">
                  <c:v>45560.666666666599</c:v>
                </c:pt>
                <c:pt idx="919">
                  <c:v>45561.666666666599</c:v>
                </c:pt>
                <c:pt idx="920">
                  <c:v>45562.666666666599</c:v>
                </c:pt>
                <c:pt idx="921">
                  <c:v>45565.666666666599</c:v>
                </c:pt>
                <c:pt idx="922">
                  <c:v>45566.666666666599</c:v>
                </c:pt>
                <c:pt idx="923">
                  <c:v>45567.666666666599</c:v>
                </c:pt>
                <c:pt idx="924">
                  <c:v>45568.666666666599</c:v>
                </c:pt>
                <c:pt idx="925">
                  <c:v>45569.666666666599</c:v>
                </c:pt>
                <c:pt idx="926">
                  <c:v>45572.666666666599</c:v>
                </c:pt>
                <c:pt idx="927">
                  <c:v>45573.666666666599</c:v>
                </c:pt>
                <c:pt idx="928">
                  <c:v>45574.666666666599</c:v>
                </c:pt>
                <c:pt idx="929">
                  <c:v>45575.666666666599</c:v>
                </c:pt>
                <c:pt idx="930">
                  <c:v>45576.666666666599</c:v>
                </c:pt>
                <c:pt idx="931">
                  <c:v>45579.666666666599</c:v>
                </c:pt>
                <c:pt idx="932">
                  <c:v>45580.666666666599</c:v>
                </c:pt>
                <c:pt idx="933">
                  <c:v>45581.666666666599</c:v>
                </c:pt>
                <c:pt idx="934">
                  <c:v>45582.666666666599</c:v>
                </c:pt>
                <c:pt idx="935">
                  <c:v>45583.666666666599</c:v>
                </c:pt>
                <c:pt idx="936">
                  <c:v>45586.666666666599</c:v>
                </c:pt>
                <c:pt idx="937">
                  <c:v>45587.666666666599</c:v>
                </c:pt>
                <c:pt idx="938">
                  <c:v>45588.666666666599</c:v>
                </c:pt>
                <c:pt idx="939">
                  <c:v>45589.666666666599</c:v>
                </c:pt>
                <c:pt idx="940">
                  <c:v>45590.666666666599</c:v>
                </c:pt>
                <c:pt idx="941">
                  <c:v>45593.666666666599</c:v>
                </c:pt>
                <c:pt idx="942">
                  <c:v>45594.666666666599</c:v>
                </c:pt>
                <c:pt idx="943">
                  <c:v>45595.666666666599</c:v>
                </c:pt>
                <c:pt idx="944">
                  <c:v>45596.666666666599</c:v>
                </c:pt>
                <c:pt idx="945">
                  <c:v>45597.666666666599</c:v>
                </c:pt>
                <c:pt idx="946">
                  <c:v>45600.666666666599</c:v>
                </c:pt>
                <c:pt idx="947">
                  <c:v>45601.666666666599</c:v>
                </c:pt>
                <c:pt idx="948">
                  <c:v>45602.666666666599</c:v>
                </c:pt>
                <c:pt idx="949">
                  <c:v>45603.666666666599</c:v>
                </c:pt>
                <c:pt idx="950">
                  <c:v>45604.666666666599</c:v>
                </c:pt>
                <c:pt idx="951">
                  <c:v>45607.666666666599</c:v>
                </c:pt>
                <c:pt idx="952">
                  <c:v>45608.666666666599</c:v>
                </c:pt>
                <c:pt idx="953">
                  <c:v>45609.666666666599</c:v>
                </c:pt>
                <c:pt idx="954">
                  <c:v>45610.666666666599</c:v>
                </c:pt>
                <c:pt idx="955">
                  <c:v>45611.666666666599</c:v>
                </c:pt>
                <c:pt idx="956">
                  <c:v>45614.666666666599</c:v>
                </c:pt>
                <c:pt idx="957">
                  <c:v>45615.666666666599</c:v>
                </c:pt>
                <c:pt idx="958">
                  <c:v>45616.666666666599</c:v>
                </c:pt>
                <c:pt idx="959">
                  <c:v>45617.666666666599</c:v>
                </c:pt>
                <c:pt idx="960">
                  <c:v>45618.666666666599</c:v>
                </c:pt>
                <c:pt idx="961">
                  <c:v>45621.666666666599</c:v>
                </c:pt>
                <c:pt idx="962">
                  <c:v>45622.666666666599</c:v>
                </c:pt>
                <c:pt idx="963">
                  <c:v>45623.666666666599</c:v>
                </c:pt>
                <c:pt idx="964">
                  <c:v>45625.552083333299</c:v>
                </c:pt>
                <c:pt idx="965">
                  <c:v>45628.666666666599</c:v>
                </c:pt>
                <c:pt idx="966">
                  <c:v>45629.666666666599</c:v>
                </c:pt>
                <c:pt idx="967">
                  <c:v>45630.666666666599</c:v>
                </c:pt>
                <c:pt idx="968">
                  <c:v>45631.666666666599</c:v>
                </c:pt>
                <c:pt idx="969">
                  <c:v>45632.666666666599</c:v>
                </c:pt>
                <c:pt idx="970">
                  <c:v>45635.666666666599</c:v>
                </c:pt>
                <c:pt idx="971">
                  <c:v>45636.666666666599</c:v>
                </c:pt>
                <c:pt idx="972">
                  <c:v>45637.666666666599</c:v>
                </c:pt>
                <c:pt idx="973">
                  <c:v>45638.666666666599</c:v>
                </c:pt>
                <c:pt idx="974">
                  <c:v>45639.666666666599</c:v>
                </c:pt>
                <c:pt idx="975">
                  <c:v>45642.666666666599</c:v>
                </c:pt>
                <c:pt idx="976">
                  <c:v>45643.666666666599</c:v>
                </c:pt>
                <c:pt idx="977">
                  <c:v>45644.666666666599</c:v>
                </c:pt>
                <c:pt idx="978">
                  <c:v>45645.666666666599</c:v>
                </c:pt>
                <c:pt idx="979">
                  <c:v>45646.666666666599</c:v>
                </c:pt>
                <c:pt idx="980">
                  <c:v>45649.666666666599</c:v>
                </c:pt>
                <c:pt idx="981">
                  <c:v>45650.541666666599</c:v>
                </c:pt>
                <c:pt idx="982">
                  <c:v>45652.666666666599</c:v>
                </c:pt>
                <c:pt idx="983">
                  <c:v>45653.666666666599</c:v>
                </c:pt>
                <c:pt idx="984">
                  <c:v>45656.666666666599</c:v>
                </c:pt>
                <c:pt idx="985">
                  <c:v>45657.666666666599</c:v>
                </c:pt>
                <c:pt idx="986">
                  <c:v>45659.666666666599</c:v>
                </c:pt>
                <c:pt idx="987">
                  <c:v>45660.666666666599</c:v>
                </c:pt>
                <c:pt idx="988">
                  <c:v>45663.666666666599</c:v>
                </c:pt>
                <c:pt idx="989">
                  <c:v>45664.666666666599</c:v>
                </c:pt>
                <c:pt idx="990">
                  <c:v>45665.666666666599</c:v>
                </c:pt>
                <c:pt idx="991">
                  <c:v>45667.666666666599</c:v>
                </c:pt>
                <c:pt idx="992">
                  <c:v>45670.666666666599</c:v>
                </c:pt>
                <c:pt idx="993">
                  <c:v>45671.666666666599</c:v>
                </c:pt>
                <c:pt idx="994">
                  <c:v>45672.666666666599</c:v>
                </c:pt>
                <c:pt idx="995">
                  <c:v>45673.666666666599</c:v>
                </c:pt>
                <c:pt idx="996">
                  <c:v>45674.666666666599</c:v>
                </c:pt>
                <c:pt idx="997">
                  <c:v>45678.666666666599</c:v>
                </c:pt>
                <c:pt idx="998">
                  <c:v>45679.666666666599</c:v>
                </c:pt>
                <c:pt idx="999">
                  <c:v>45680.666666666599</c:v>
                </c:pt>
                <c:pt idx="1000">
                  <c:v>45681.666666666599</c:v>
                </c:pt>
                <c:pt idx="1001">
                  <c:v>45684.666666666599</c:v>
                </c:pt>
                <c:pt idx="1002">
                  <c:v>45685.666666666599</c:v>
                </c:pt>
                <c:pt idx="1003">
                  <c:v>45686.666666666599</c:v>
                </c:pt>
                <c:pt idx="1004">
                  <c:v>45687.666666666599</c:v>
                </c:pt>
                <c:pt idx="1005">
                  <c:v>45688.666666666599</c:v>
                </c:pt>
                <c:pt idx="1006">
                  <c:v>45691.666666666599</c:v>
                </c:pt>
                <c:pt idx="1007">
                  <c:v>45692.666666666599</c:v>
                </c:pt>
                <c:pt idx="1008">
                  <c:v>45693.666666666599</c:v>
                </c:pt>
                <c:pt idx="1009">
                  <c:v>45694.666666666599</c:v>
                </c:pt>
                <c:pt idx="1010">
                  <c:v>45695.666666666599</c:v>
                </c:pt>
                <c:pt idx="1011">
                  <c:v>45698.666666666599</c:v>
                </c:pt>
                <c:pt idx="1012">
                  <c:v>45699.666666666599</c:v>
                </c:pt>
                <c:pt idx="1013">
                  <c:v>45700.666666666599</c:v>
                </c:pt>
                <c:pt idx="1014">
                  <c:v>45701.666666666599</c:v>
                </c:pt>
                <c:pt idx="1015">
                  <c:v>45702.666666666599</c:v>
                </c:pt>
                <c:pt idx="1016">
                  <c:v>45706.666666666599</c:v>
                </c:pt>
                <c:pt idx="1017">
                  <c:v>45707.666666666599</c:v>
                </c:pt>
                <c:pt idx="1018">
                  <c:v>45708.666666666599</c:v>
                </c:pt>
                <c:pt idx="1019">
                  <c:v>45709.666666666599</c:v>
                </c:pt>
                <c:pt idx="1020">
                  <c:v>45712.666666666599</c:v>
                </c:pt>
                <c:pt idx="1021">
                  <c:v>45713.666666666599</c:v>
                </c:pt>
                <c:pt idx="1022">
                  <c:v>45714.666666666599</c:v>
                </c:pt>
                <c:pt idx="1023">
                  <c:v>45715.666666666599</c:v>
                </c:pt>
                <c:pt idx="1024">
                  <c:v>45716.666666666599</c:v>
                </c:pt>
                <c:pt idx="1025">
                  <c:v>45719.666666666599</c:v>
                </c:pt>
                <c:pt idx="1026">
                  <c:v>45720.666666666599</c:v>
                </c:pt>
                <c:pt idx="1027">
                  <c:v>45721.666666666599</c:v>
                </c:pt>
                <c:pt idx="1028">
                  <c:v>45722.666666666599</c:v>
                </c:pt>
                <c:pt idx="1029">
                  <c:v>45723.666666666599</c:v>
                </c:pt>
                <c:pt idx="1030">
                  <c:v>45726.666666666599</c:v>
                </c:pt>
                <c:pt idx="1031">
                  <c:v>45727.666666666599</c:v>
                </c:pt>
                <c:pt idx="1032">
                  <c:v>45728.666666666599</c:v>
                </c:pt>
                <c:pt idx="1033">
                  <c:v>45729.666666666599</c:v>
                </c:pt>
                <c:pt idx="1034">
                  <c:v>45730.666666666599</c:v>
                </c:pt>
                <c:pt idx="1035">
                  <c:v>45733.666666666599</c:v>
                </c:pt>
                <c:pt idx="1036">
                  <c:v>45734.666666666599</c:v>
                </c:pt>
                <c:pt idx="1037">
                  <c:v>45735.666666666599</c:v>
                </c:pt>
                <c:pt idx="1038">
                  <c:v>45736.666666666599</c:v>
                </c:pt>
                <c:pt idx="1039">
                  <c:v>45737.666666666599</c:v>
                </c:pt>
                <c:pt idx="1040">
                  <c:v>45740.666666666599</c:v>
                </c:pt>
                <c:pt idx="1041">
                  <c:v>45741.666666666599</c:v>
                </c:pt>
                <c:pt idx="1042">
                  <c:v>45742.666666666599</c:v>
                </c:pt>
                <c:pt idx="1043">
                  <c:v>45743.666666666599</c:v>
                </c:pt>
                <c:pt idx="1044">
                  <c:v>45744.666666666599</c:v>
                </c:pt>
                <c:pt idx="1045">
                  <c:v>45747.666666666599</c:v>
                </c:pt>
                <c:pt idx="1046">
                  <c:v>45748.666666666599</c:v>
                </c:pt>
                <c:pt idx="1047">
                  <c:v>45749.666666666599</c:v>
                </c:pt>
                <c:pt idx="1048">
                  <c:v>45750.666666666599</c:v>
                </c:pt>
                <c:pt idx="1049">
                  <c:v>45751.666666666599</c:v>
                </c:pt>
                <c:pt idx="1050">
                  <c:v>45754.666666666599</c:v>
                </c:pt>
                <c:pt idx="1051">
                  <c:v>45755.666666666599</c:v>
                </c:pt>
                <c:pt idx="1052">
                  <c:v>45756.666666666599</c:v>
                </c:pt>
                <c:pt idx="1053">
                  <c:v>45757.666666666599</c:v>
                </c:pt>
                <c:pt idx="1054">
                  <c:v>45758.666666666599</c:v>
                </c:pt>
                <c:pt idx="1055">
                  <c:v>45761.666666666599</c:v>
                </c:pt>
                <c:pt idx="1056">
                  <c:v>45762.666666666599</c:v>
                </c:pt>
                <c:pt idx="1057">
                  <c:v>45763.666666666599</c:v>
                </c:pt>
                <c:pt idx="1058">
                  <c:v>45764.666666666599</c:v>
                </c:pt>
                <c:pt idx="1059">
                  <c:v>45768.666666666599</c:v>
                </c:pt>
                <c:pt idx="1060">
                  <c:v>45769.666666666599</c:v>
                </c:pt>
                <c:pt idx="1061">
                  <c:v>45770.666666666599</c:v>
                </c:pt>
                <c:pt idx="1062">
                  <c:v>45771.666666666599</c:v>
                </c:pt>
                <c:pt idx="1063">
                  <c:v>45772.666666666599</c:v>
                </c:pt>
                <c:pt idx="1064">
                  <c:v>45775.666666666599</c:v>
                </c:pt>
                <c:pt idx="1065">
                  <c:v>45776.666666666599</c:v>
                </c:pt>
                <c:pt idx="1066">
                  <c:v>45777.666666666599</c:v>
                </c:pt>
                <c:pt idx="1067">
                  <c:v>45778.666666666599</c:v>
                </c:pt>
                <c:pt idx="1068">
                  <c:v>45779.666666666599</c:v>
                </c:pt>
                <c:pt idx="1069">
                  <c:v>45782.666666666599</c:v>
                </c:pt>
                <c:pt idx="1070">
                  <c:v>45783.666666666599</c:v>
                </c:pt>
                <c:pt idx="1071">
                  <c:v>45784.666666666599</c:v>
                </c:pt>
                <c:pt idx="1072">
                  <c:v>45785.666666666599</c:v>
                </c:pt>
                <c:pt idx="1073">
                  <c:v>45786.666666666599</c:v>
                </c:pt>
                <c:pt idx="1074">
                  <c:v>45789.666666666599</c:v>
                </c:pt>
                <c:pt idx="1075">
                  <c:v>45790.666666666599</c:v>
                </c:pt>
                <c:pt idx="1076">
                  <c:v>45791.666666666599</c:v>
                </c:pt>
                <c:pt idx="1077">
                  <c:v>45792.666666666599</c:v>
                </c:pt>
                <c:pt idx="1078">
                  <c:v>45793.666666666599</c:v>
                </c:pt>
                <c:pt idx="1079">
                  <c:v>45796.666666666599</c:v>
                </c:pt>
                <c:pt idx="1080">
                  <c:v>45797.666666666599</c:v>
                </c:pt>
                <c:pt idx="1081">
                  <c:v>45798.666666666599</c:v>
                </c:pt>
                <c:pt idx="1082">
                  <c:v>45799.666666666599</c:v>
                </c:pt>
                <c:pt idx="1083">
                  <c:v>45800.666666666599</c:v>
                </c:pt>
                <c:pt idx="1084">
                  <c:v>45804.666666666599</c:v>
                </c:pt>
                <c:pt idx="1085">
                  <c:v>45805.666666666599</c:v>
                </c:pt>
                <c:pt idx="1086">
                  <c:v>45806.666666666599</c:v>
                </c:pt>
                <c:pt idx="1087">
                  <c:v>45807.666666666599</c:v>
                </c:pt>
                <c:pt idx="1088">
                  <c:v>45810.666666666599</c:v>
                </c:pt>
                <c:pt idx="1089">
                  <c:v>45811.666666666599</c:v>
                </c:pt>
                <c:pt idx="1090">
                  <c:v>45812.666666666599</c:v>
                </c:pt>
                <c:pt idx="1091">
                  <c:v>45813.666666666599</c:v>
                </c:pt>
                <c:pt idx="1092">
                  <c:v>45814.666666666599</c:v>
                </c:pt>
                <c:pt idx="1093">
                  <c:v>45817.666666666599</c:v>
                </c:pt>
                <c:pt idx="1094">
                  <c:v>45818.666666666599</c:v>
                </c:pt>
                <c:pt idx="1095">
                  <c:v>45819.666666666599</c:v>
                </c:pt>
                <c:pt idx="1096">
                  <c:v>45820.666666666599</c:v>
                </c:pt>
                <c:pt idx="1097">
                  <c:v>45821.666666666599</c:v>
                </c:pt>
                <c:pt idx="1098">
                  <c:v>45824.666666666599</c:v>
                </c:pt>
                <c:pt idx="1099">
                  <c:v>45825.666666666599</c:v>
                </c:pt>
                <c:pt idx="1100">
                  <c:v>45826.666666666599</c:v>
                </c:pt>
                <c:pt idx="1101">
                  <c:v>45828.666666666599</c:v>
                </c:pt>
                <c:pt idx="1102">
                  <c:v>45831.666666666599</c:v>
                </c:pt>
                <c:pt idx="1103">
                  <c:v>45832.666666666599</c:v>
                </c:pt>
                <c:pt idx="1104">
                  <c:v>45833.666666666599</c:v>
                </c:pt>
                <c:pt idx="1105">
                  <c:v>45834.666666666599</c:v>
                </c:pt>
                <c:pt idx="1106">
                  <c:v>45835.666666666599</c:v>
                </c:pt>
                <c:pt idx="1107">
                  <c:v>45838.666666666599</c:v>
                </c:pt>
                <c:pt idx="1108">
                  <c:v>45839.666666666599</c:v>
                </c:pt>
                <c:pt idx="1109">
                  <c:v>45840.666666666599</c:v>
                </c:pt>
                <c:pt idx="1110">
                  <c:v>45841.552083333299</c:v>
                </c:pt>
                <c:pt idx="1111">
                  <c:v>45845.666666666599</c:v>
                </c:pt>
                <c:pt idx="1112">
                  <c:v>45846.666666666599</c:v>
                </c:pt>
                <c:pt idx="1113">
                  <c:v>45847.666666666599</c:v>
                </c:pt>
                <c:pt idx="1114">
                  <c:v>45848.666666666599</c:v>
                </c:pt>
                <c:pt idx="1115">
                  <c:v>45849.666666666599</c:v>
                </c:pt>
                <c:pt idx="1116">
                  <c:v>45852.666666666599</c:v>
                </c:pt>
                <c:pt idx="1117">
                  <c:v>45853.666666666599</c:v>
                </c:pt>
                <c:pt idx="1118">
                  <c:v>45854.666666666599</c:v>
                </c:pt>
                <c:pt idx="1119">
                  <c:v>45855.666666666599</c:v>
                </c:pt>
                <c:pt idx="1120">
                  <c:v>45856.666666666599</c:v>
                </c:pt>
                <c:pt idx="1121">
                  <c:v>45859.666666666599</c:v>
                </c:pt>
                <c:pt idx="1122">
                  <c:v>45860.666666666599</c:v>
                </c:pt>
                <c:pt idx="1123">
                  <c:v>45861.666666666599</c:v>
                </c:pt>
                <c:pt idx="1124">
                  <c:v>45862.666666666599</c:v>
                </c:pt>
                <c:pt idx="1125">
                  <c:v>45863.666666666599</c:v>
                </c:pt>
                <c:pt idx="1126">
                  <c:v>45866.666666666599</c:v>
                </c:pt>
                <c:pt idx="1127">
                  <c:v>45867.666666666599</c:v>
                </c:pt>
                <c:pt idx="1128">
                  <c:v>45868.666666666599</c:v>
                </c:pt>
                <c:pt idx="1129">
                  <c:v>45869.666666666599</c:v>
                </c:pt>
                <c:pt idx="1130">
                  <c:v>45870.666666666599</c:v>
                </c:pt>
                <c:pt idx="1131">
                  <c:v>45873.666666666599</c:v>
                </c:pt>
                <c:pt idx="1132">
                  <c:v>45874.666666666599</c:v>
                </c:pt>
                <c:pt idx="1133">
                  <c:v>45875.666666666599</c:v>
                </c:pt>
                <c:pt idx="1134">
                  <c:v>45876.666666666599</c:v>
                </c:pt>
                <c:pt idx="1135">
                  <c:v>45877.666666666599</c:v>
                </c:pt>
                <c:pt idx="1136">
                  <c:v>45880.666666666599</c:v>
                </c:pt>
                <c:pt idx="1137">
                  <c:v>45881.666666666599</c:v>
                </c:pt>
                <c:pt idx="1138">
                  <c:v>45882.666666666599</c:v>
                </c:pt>
                <c:pt idx="1139">
                  <c:v>45883.666666666599</c:v>
                </c:pt>
                <c:pt idx="1140">
                  <c:v>45884.666666666599</c:v>
                </c:pt>
                <c:pt idx="1141">
                  <c:v>45887.666666666599</c:v>
                </c:pt>
                <c:pt idx="1142">
                  <c:v>45888.666666666599</c:v>
                </c:pt>
                <c:pt idx="1143">
                  <c:v>45889.666666666599</c:v>
                </c:pt>
                <c:pt idx="1144">
                  <c:v>45890.666666666599</c:v>
                </c:pt>
                <c:pt idx="1145">
                  <c:v>45891.666666666599</c:v>
                </c:pt>
                <c:pt idx="1146">
                  <c:v>45894.666666666599</c:v>
                </c:pt>
                <c:pt idx="1147">
                  <c:v>45895.666666666599</c:v>
                </c:pt>
                <c:pt idx="1148">
                  <c:v>45896.666666666599</c:v>
                </c:pt>
                <c:pt idx="1149">
                  <c:v>45897.666666666599</c:v>
                </c:pt>
                <c:pt idx="1150">
                  <c:v>45898.666666666599</c:v>
                </c:pt>
                <c:pt idx="1151">
                  <c:v>45902.666666666599</c:v>
                </c:pt>
                <c:pt idx="1152">
                  <c:v>45903.666666666599</c:v>
                </c:pt>
                <c:pt idx="1153">
                  <c:v>45904.666666666599</c:v>
                </c:pt>
                <c:pt idx="1154">
                  <c:v>45905.666666666599</c:v>
                </c:pt>
                <c:pt idx="1155">
                  <c:v>45908.666666666599</c:v>
                </c:pt>
                <c:pt idx="1156">
                  <c:v>45909.666666666599</c:v>
                </c:pt>
                <c:pt idx="1157">
                  <c:v>45910.666666666599</c:v>
                </c:pt>
                <c:pt idx="1158">
                  <c:v>45911.666666666599</c:v>
                </c:pt>
                <c:pt idx="1159">
                  <c:v>45912.666666666599</c:v>
                </c:pt>
                <c:pt idx="1160">
                  <c:v>45915.666666666599</c:v>
                </c:pt>
                <c:pt idx="1161">
                  <c:v>45916.666666666599</c:v>
                </c:pt>
                <c:pt idx="1162">
                  <c:v>45917.666666666599</c:v>
                </c:pt>
                <c:pt idx="1163">
                  <c:v>45918.666666666599</c:v>
                </c:pt>
                <c:pt idx="1164">
                  <c:v>45919.666666666599</c:v>
                </c:pt>
                <c:pt idx="1165">
                  <c:v>45922.666666666599</c:v>
                </c:pt>
                <c:pt idx="1166">
                  <c:v>45923.666666666599</c:v>
                </c:pt>
                <c:pt idx="1167">
                  <c:v>45924.666666666599</c:v>
                </c:pt>
                <c:pt idx="1168">
                  <c:v>45925.666666666599</c:v>
                </c:pt>
                <c:pt idx="1169">
                  <c:v>45926.666666666599</c:v>
                </c:pt>
                <c:pt idx="1170">
                  <c:v>45929.666666666599</c:v>
                </c:pt>
                <c:pt idx="1171">
                  <c:v>45930.666666666599</c:v>
                </c:pt>
                <c:pt idx="1172">
                  <c:v>45931.666666666599</c:v>
                </c:pt>
                <c:pt idx="1173">
                  <c:v>45932.666666666599</c:v>
                </c:pt>
                <c:pt idx="1174">
                  <c:v>45933.666666666599</c:v>
                </c:pt>
                <c:pt idx="1175">
                  <c:v>45936.666666666599</c:v>
                </c:pt>
                <c:pt idx="1176">
                  <c:v>45937.666666666599</c:v>
                </c:pt>
                <c:pt idx="1177">
                  <c:v>45938.666666666599</c:v>
                </c:pt>
                <c:pt idx="1178">
                  <c:v>45939.666666666599</c:v>
                </c:pt>
                <c:pt idx="1179">
                  <c:v>45940.666666666599</c:v>
                </c:pt>
                <c:pt idx="1180">
                  <c:v>45943.666666666599</c:v>
                </c:pt>
                <c:pt idx="1181">
                  <c:v>45944.666666666599</c:v>
                </c:pt>
                <c:pt idx="1182">
                  <c:v>45945.666666666599</c:v>
                </c:pt>
                <c:pt idx="1183">
                  <c:v>45946.666666666599</c:v>
                </c:pt>
                <c:pt idx="1184">
                  <c:v>45947.666666666599</c:v>
                </c:pt>
                <c:pt idx="1185">
                  <c:v>45950.666666666599</c:v>
                </c:pt>
                <c:pt idx="1186">
                  <c:v>45951.666666666599</c:v>
                </c:pt>
                <c:pt idx="1187">
                  <c:v>45952.666666666599</c:v>
                </c:pt>
                <c:pt idx="1188">
                  <c:v>45953.666666666599</c:v>
                </c:pt>
                <c:pt idx="1189">
                  <c:v>45954.666666666599</c:v>
                </c:pt>
                <c:pt idx="1190">
                  <c:v>45957.666666666599</c:v>
                </c:pt>
                <c:pt idx="1191">
                  <c:v>45958.666666666599</c:v>
                </c:pt>
                <c:pt idx="1192">
                  <c:v>45959.666666666599</c:v>
                </c:pt>
                <c:pt idx="1193">
                  <c:v>45960.666666666599</c:v>
                </c:pt>
                <c:pt idx="1194">
                  <c:v>45961.666666666599</c:v>
                </c:pt>
                <c:pt idx="1195">
                  <c:v>45964.666666666599</c:v>
                </c:pt>
                <c:pt idx="1196">
                  <c:v>45965.666666666599</c:v>
                </c:pt>
                <c:pt idx="1197">
                  <c:v>45966.666666666599</c:v>
                </c:pt>
                <c:pt idx="1198">
                  <c:v>45967.666666666599</c:v>
                </c:pt>
                <c:pt idx="1199">
                  <c:v>45968.666666666599</c:v>
                </c:pt>
                <c:pt idx="1200">
                  <c:v>45971.666666666599</c:v>
                </c:pt>
                <c:pt idx="1201">
                  <c:v>45972.666666666599</c:v>
                </c:pt>
                <c:pt idx="1202">
                  <c:v>45973.666666666599</c:v>
                </c:pt>
                <c:pt idx="1203">
                  <c:v>45974.666666666599</c:v>
                </c:pt>
                <c:pt idx="1204">
                  <c:v>45975.666666666599</c:v>
                </c:pt>
                <c:pt idx="1205">
                  <c:v>45978.666666666599</c:v>
                </c:pt>
                <c:pt idx="1206">
                  <c:v>45979.666666666599</c:v>
                </c:pt>
                <c:pt idx="1207">
                  <c:v>45980.666666666599</c:v>
                </c:pt>
                <c:pt idx="1208">
                  <c:v>45981.666666666599</c:v>
                </c:pt>
                <c:pt idx="1209">
                  <c:v>45982.666666666599</c:v>
                </c:pt>
                <c:pt idx="1210">
                  <c:v>45985.666666666599</c:v>
                </c:pt>
                <c:pt idx="1211">
                  <c:v>45986.666666666599</c:v>
                </c:pt>
                <c:pt idx="1212">
                  <c:v>45987.666666666599</c:v>
                </c:pt>
                <c:pt idx="1213">
                  <c:v>45989.552083333299</c:v>
                </c:pt>
                <c:pt idx="1214">
                  <c:v>45992.666666666599</c:v>
                </c:pt>
                <c:pt idx="1215">
                  <c:v>45993.666666666599</c:v>
                </c:pt>
                <c:pt idx="1216">
                  <c:v>45994.666666666599</c:v>
                </c:pt>
                <c:pt idx="1217">
                  <c:v>45995.666666666599</c:v>
                </c:pt>
                <c:pt idx="1218">
                  <c:v>45996.666666666599</c:v>
                </c:pt>
                <c:pt idx="1219">
                  <c:v>45999.666666666599</c:v>
                </c:pt>
                <c:pt idx="1220">
                  <c:v>46000.666666666599</c:v>
                </c:pt>
                <c:pt idx="1221">
                  <c:v>46001.666666666599</c:v>
                </c:pt>
                <c:pt idx="1222">
                  <c:v>46002.666666666599</c:v>
                </c:pt>
                <c:pt idx="1223">
                  <c:v>46003.666666666599</c:v>
                </c:pt>
                <c:pt idx="1224">
                  <c:v>46006.666666666599</c:v>
                </c:pt>
                <c:pt idx="1225">
                  <c:v>46007.666666666599</c:v>
                </c:pt>
                <c:pt idx="1226">
                  <c:v>46008.666666666599</c:v>
                </c:pt>
                <c:pt idx="1227">
                  <c:v>46009.666666666599</c:v>
                </c:pt>
                <c:pt idx="1228">
                  <c:v>46010.666666666599</c:v>
                </c:pt>
                <c:pt idx="1229">
                  <c:v>46013.666666666599</c:v>
                </c:pt>
                <c:pt idx="1230">
                  <c:v>46014.666666666599</c:v>
                </c:pt>
                <c:pt idx="1231">
                  <c:v>46015.541666666599</c:v>
                </c:pt>
                <c:pt idx="1232">
                  <c:v>46017.666666666599</c:v>
                </c:pt>
                <c:pt idx="1233">
                  <c:v>46020.666666666599</c:v>
                </c:pt>
                <c:pt idx="1234">
                  <c:v>46021.666666666599</c:v>
                </c:pt>
                <c:pt idx="1235">
                  <c:v>46022.666666666599</c:v>
                </c:pt>
                <c:pt idx="1236">
                  <c:v>46024.666666666599</c:v>
                </c:pt>
                <c:pt idx="1237">
                  <c:v>46027.666666666599</c:v>
                </c:pt>
                <c:pt idx="1238">
                  <c:v>46028.666666666599</c:v>
                </c:pt>
                <c:pt idx="1239">
                  <c:v>46029.666666666599</c:v>
                </c:pt>
                <c:pt idx="1240">
                  <c:v>46030.666666666599</c:v>
                </c:pt>
                <c:pt idx="1241">
                  <c:v>46031.666666666599</c:v>
                </c:pt>
                <c:pt idx="1242">
                  <c:v>46034.666666666599</c:v>
                </c:pt>
                <c:pt idx="1243">
                  <c:v>46035.666666666599</c:v>
                </c:pt>
                <c:pt idx="1244">
                  <c:v>46036.666666666599</c:v>
                </c:pt>
                <c:pt idx="1245">
                  <c:v>46037.666666666599</c:v>
                </c:pt>
                <c:pt idx="1246">
                  <c:v>46038.666666666599</c:v>
                </c:pt>
                <c:pt idx="1247">
                  <c:v>46042.666666666599</c:v>
                </c:pt>
                <c:pt idx="1248">
                  <c:v>46043.666666666599</c:v>
                </c:pt>
                <c:pt idx="1249">
                  <c:v>46044.666666666599</c:v>
                </c:pt>
                <c:pt idx="1250">
                  <c:v>46045.666666666599</c:v>
                </c:pt>
                <c:pt idx="1251">
                  <c:v>46048.666666666599</c:v>
                </c:pt>
                <c:pt idx="1252">
                  <c:v>46049.666666666599</c:v>
                </c:pt>
                <c:pt idx="1253">
                  <c:v>46050.666666666599</c:v>
                </c:pt>
                <c:pt idx="1254">
                  <c:v>46051.666666666599</c:v>
                </c:pt>
              </c:numCache>
            </c:numRef>
          </c:cat>
          <c:val>
            <c:numRef>
              <c:f>Sheet1!$Q$2:$Q$1256</c:f>
              <c:numCache>
                <c:formatCode>General</c:formatCode>
                <c:ptCount val="1255"/>
                <c:pt idx="0">
                  <c:v>1</c:v>
                </c:pt>
                <c:pt idx="1">
                  <c:v>0.99941581472981422</c:v>
                </c:pt>
                <c:pt idx="2">
                  <c:v>1.0139787189651575</c:v>
                </c:pt>
                <c:pt idx="3">
                  <c:v>1.0098476945545587</c:v>
                </c:pt>
                <c:pt idx="4">
                  <c:v>1.0106405174212392</c:v>
                </c:pt>
                <c:pt idx="5">
                  <c:v>1.0117671604423115</c:v>
                </c:pt>
                <c:pt idx="6">
                  <c:v>1.0171917379511786</c:v>
                </c:pt>
                <c:pt idx="7">
                  <c:v>1.0132276236177755</c:v>
                </c:pt>
                <c:pt idx="8">
                  <c:v>1.0201961193407048</c:v>
                </c:pt>
                <c:pt idx="9">
                  <c:v>1.0222824953056535</c:v>
                </c:pt>
                <c:pt idx="10">
                  <c:v>1.0168996453160855</c:v>
                </c:pt>
                <c:pt idx="11">
                  <c:v>1.0189860212810344</c:v>
                </c:pt>
                <c:pt idx="12">
                  <c:v>1.0172751929897763</c:v>
                </c:pt>
                <c:pt idx="13">
                  <c:v>1.0055080325474646</c:v>
                </c:pt>
                <c:pt idx="14">
                  <c:v>0.97855205508032495</c:v>
                </c:pt>
                <c:pt idx="15">
                  <c:v>0.9733778426872518</c:v>
                </c:pt>
                <c:pt idx="16">
                  <c:v>0.97871896515752099</c:v>
                </c:pt>
                <c:pt idx="17">
                  <c:v>0.95551846442728938</c:v>
                </c:pt>
                <c:pt idx="18">
                  <c:v>0.96966409346964277</c:v>
                </c:pt>
                <c:pt idx="19">
                  <c:v>0.98869184226997664</c:v>
                </c:pt>
                <c:pt idx="20">
                  <c:v>0.97588149384519052</c:v>
                </c:pt>
                <c:pt idx="21">
                  <c:v>0.94955142916753565</c:v>
                </c:pt>
                <c:pt idx="22">
                  <c:v>0.94608804506572042</c:v>
                </c:pt>
                <c:pt idx="23">
                  <c:v>0.96640934696432257</c:v>
                </c:pt>
                <c:pt idx="24">
                  <c:v>0.94884206133945304</c:v>
                </c:pt>
                <c:pt idx="25">
                  <c:v>0.97550594617149988</c:v>
                </c:pt>
                <c:pt idx="26">
                  <c:v>0.96983100354683893</c:v>
                </c:pt>
                <c:pt idx="27">
                  <c:v>0.98948466513665756</c:v>
                </c:pt>
                <c:pt idx="28">
                  <c:v>0.98372626747339875</c:v>
                </c:pt>
                <c:pt idx="29">
                  <c:v>0.97980388065929491</c:v>
                </c:pt>
                <c:pt idx="30">
                  <c:v>0.99190486125599842</c:v>
                </c:pt>
                <c:pt idx="31">
                  <c:v>0.98910911746296681</c:v>
                </c:pt>
                <c:pt idx="32">
                  <c:v>0.96273732526601297</c:v>
                </c:pt>
                <c:pt idx="33">
                  <c:v>0.96119340705195078</c:v>
                </c:pt>
                <c:pt idx="34">
                  <c:v>0.98472772793657415</c:v>
                </c:pt>
                <c:pt idx="35">
                  <c:v>0.99136240350511162</c:v>
                </c:pt>
                <c:pt idx="36">
                  <c:v>0.98251616941372832</c:v>
                </c:pt>
                <c:pt idx="37">
                  <c:v>0.96949718339244728</c:v>
                </c:pt>
                <c:pt idx="38">
                  <c:v>0.98677237638222404</c:v>
                </c:pt>
                <c:pt idx="39">
                  <c:v>0.9815981639891509</c:v>
                </c:pt>
                <c:pt idx="40">
                  <c:v>0.96745253494679739</c:v>
                </c:pt>
                <c:pt idx="41">
                  <c:v>0.98380972251199672</c:v>
                </c:pt>
                <c:pt idx="42">
                  <c:v>1.0112664302107239</c:v>
                </c:pt>
                <c:pt idx="43">
                  <c:v>1.039307323179637</c:v>
                </c:pt>
                <c:pt idx="44">
                  <c:v>1.0342582933444608</c:v>
                </c:pt>
                <c:pt idx="45">
                  <c:v>1.0427707072814523</c:v>
                </c:pt>
                <c:pt idx="46">
                  <c:v>1.0567494262466099</c:v>
                </c:pt>
                <c:pt idx="47">
                  <c:v>1.067598581264344</c:v>
                </c:pt>
                <c:pt idx="48">
                  <c:v>1.0678489463801379</c:v>
                </c:pt>
                <c:pt idx="49">
                  <c:v>1.0786146463592743</c:v>
                </c:pt>
                <c:pt idx="50">
                  <c:v>1.0665136657625707</c:v>
                </c:pt>
                <c:pt idx="51">
                  <c:v>1.0828291258084708</c:v>
                </c:pt>
                <c:pt idx="52">
                  <c:v>1.0880033382015442</c:v>
                </c:pt>
                <c:pt idx="53">
                  <c:v>1.0796578343417487</c:v>
                </c:pt>
                <c:pt idx="54">
                  <c:v>1.0776549134153977</c:v>
                </c:pt>
                <c:pt idx="55">
                  <c:v>1.0873356978927604</c:v>
                </c:pt>
                <c:pt idx="56">
                  <c:v>1.0731066138118091</c:v>
                </c:pt>
                <c:pt idx="57">
                  <c:v>1.0897141664928021</c:v>
                </c:pt>
                <c:pt idx="58">
                  <c:v>1.0913832672647614</c:v>
                </c:pt>
                <c:pt idx="59">
                  <c:v>1.0931358230753188</c:v>
                </c:pt>
                <c:pt idx="60">
                  <c:v>1.0622157312747762</c:v>
                </c:pt>
                <c:pt idx="61">
                  <c:v>1.0536615898184858</c:v>
                </c:pt>
                <c:pt idx="62">
                  <c:v>1.0522845816816195</c:v>
                </c:pt>
                <c:pt idx="63">
                  <c:v>1.0509493010640523</c:v>
                </c:pt>
                <c:pt idx="64">
                  <c:v>1.0339662007093682</c:v>
                </c:pt>
                <c:pt idx="65">
                  <c:v>1.0284581681619032</c:v>
                </c:pt>
                <c:pt idx="66">
                  <c:v>1.04206133945337</c:v>
                </c:pt>
                <c:pt idx="67">
                  <c:v>1.0534529522219909</c:v>
                </c:pt>
                <c:pt idx="68">
                  <c:v>1.0314208220321306</c:v>
                </c:pt>
                <c:pt idx="69">
                  <c:v>1.0274567076987275</c:v>
                </c:pt>
                <c:pt idx="70">
                  <c:v>0.9972877112455667</c:v>
                </c:pt>
                <c:pt idx="71">
                  <c:v>1.0141039015230549</c:v>
                </c:pt>
                <c:pt idx="72">
                  <c:v>1.0354683914041314</c:v>
                </c:pt>
                <c:pt idx="73">
                  <c:v>1.0230753181723351</c:v>
                </c:pt>
                <c:pt idx="74">
                  <c:v>1.0143125391195498</c:v>
                </c:pt>
                <c:pt idx="75">
                  <c:v>1.0144794491967457</c:v>
                </c:pt>
                <c:pt idx="76">
                  <c:v>1.0284998956812021</c:v>
                </c:pt>
                <c:pt idx="77">
                  <c:v>1.0230335906530361</c:v>
                </c:pt>
                <c:pt idx="78">
                  <c:v>1.0464427289797626</c:v>
                </c:pt>
                <c:pt idx="79">
                  <c:v>1.0503651157938665</c:v>
                </c:pt>
                <c:pt idx="80">
                  <c:v>1.0494053828499901</c:v>
                </c:pt>
                <c:pt idx="81">
                  <c:v>1.0403087836428129</c:v>
                </c:pt>
                <c:pt idx="82">
                  <c:v>1.0418527018568751</c:v>
                </c:pt>
                <c:pt idx="83">
                  <c:v>1.032338827456708</c:v>
                </c:pt>
                <c:pt idx="84">
                  <c:v>1.0319215522637182</c:v>
                </c:pt>
                <c:pt idx="85">
                  <c:v>1.0252868766951808</c:v>
                </c:pt>
                <c:pt idx="86">
                  <c:v>1.0464844564990614</c:v>
                </c:pt>
                <c:pt idx="87">
                  <c:v>1.0590861673273526</c:v>
                </c:pt>
                <c:pt idx="88">
                  <c:v>1.0539119549342795</c:v>
                </c:pt>
                <c:pt idx="89">
                  <c:v>1.0581681619027754</c:v>
                </c:pt>
                <c:pt idx="90">
                  <c:v>1.0733987064469022</c:v>
                </c:pt>
                <c:pt idx="91">
                  <c:v>1.0761109952013357</c:v>
                </c:pt>
                <c:pt idx="92">
                  <c:v>1.0844564990611312</c:v>
                </c:pt>
                <c:pt idx="93">
                  <c:v>1.0780721886083877</c:v>
                </c:pt>
                <c:pt idx="94">
                  <c:v>1.0739828917170879</c:v>
                </c:pt>
                <c:pt idx="95">
                  <c:v>1.0886709785103279</c:v>
                </c:pt>
                <c:pt idx="96">
                  <c:v>1.0825370331733783</c:v>
                </c:pt>
                <c:pt idx="97">
                  <c:v>1.0958898393490513</c:v>
                </c:pt>
                <c:pt idx="98">
                  <c:v>1.1079073649071569</c:v>
                </c:pt>
                <c:pt idx="99">
                  <c:v>1.1069059044439813</c:v>
                </c:pt>
                <c:pt idx="100">
                  <c:v>1.1128312121844361</c:v>
                </c:pt>
                <c:pt idx="101">
                  <c:v>1.1058627164615069</c:v>
                </c:pt>
                <c:pt idx="102">
                  <c:v>1.1213018986021288</c:v>
                </c:pt>
                <c:pt idx="103">
                  <c:v>1.1324848737742546</c:v>
                </c:pt>
                <c:pt idx="104">
                  <c:v>1.1303984978093056</c:v>
                </c:pt>
                <c:pt idx="105">
                  <c:v>1.133319424160234</c:v>
                </c:pt>
                <c:pt idx="106">
                  <c:v>1.1585645733361154</c:v>
                </c:pt>
                <c:pt idx="107">
                  <c:v>1.1586063008554144</c:v>
                </c:pt>
                <c:pt idx="108">
                  <c:v>1.1680784477362824</c:v>
                </c:pt>
                <c:pt idx="109">
                  <c:v>1.157604840392239</c:v>
                </c:pt>
                <c:pt idx="110">
                  <c:v>1.1597746713957857</c:v>
                </c:pt>
                <c:pt idx="111">
                  <c:v>1.1571875651992491</c:v>
                </c:pt>
                <c:pt idx="112">
                  <c:v>1.1724598372626751</c:v>
                </c:pt>
                <c:pt idx="113">
                  <c:v>1.1788441477154186</c:v>
                </c:pt>
                <c:pt idx="114">
                  <c:v>1.1726684748591698</c:v>
                </c:pt>
                <c:pt idx="115">
                  <c:v>1.1715001043187985</c:v>
                </c:pt>
                <c:pt idx="116">
                  <c:v>1.1558940121009806</c:v>
                </c:pt>
                <c:pt idx="117">
                  <c:v>1.1655330690590444</c:v>
                </c:pt>
                <c:pt idx="118">
                  <c:v>1.1742123930732316</c:v>
                </c:pt>
                <c:pt idx="119">
                  <c:v>1.1939912372209471</c:v>
                </c:pt>
                <c:pt idx="120">
                  <c:v>1.2087210515334865</c:v>
                </c:pt>
                <c:pt idx="121">
                  <c:v>1.20613394533695</c:v>
                </c:pt>
                <c:pt idx="122">
                  <c:v>1.1956603379929065</c:v>
                </c:pt>
                <c:pt idx="123">
                  <c:v>1.1943250573753392</c:v>
                </c:pt>
                <c:pt idx="124">
                  <c:v>1.1954934279157106</c:v>
                </c:pt>
                <c:pt idx="125">
                  <c:v>1.1888587523471732</c:v>
                </c:pt>
                <c:pt idx="126">
                  <c:v>1.1884832046734823</c:v>
                </c:pt>
                <c:pt idx="127">
                  <c:v>1.1980805341122471</c:v>
                </c:pt>
                <c:pt idx="128">
                  <c:v>1.1955351554350093</c:v>
                </c:pt>
                <c:pt idx="129">
                  <c:v>1.2080951387440015</c:v>
                </c:pt>
                <c:pt idx="130">
                  <c:v>1.2078447736282076</c:v>
                </c:pt>
                <c:pt idx="131">
                  <c:v>1.2031295639474231</c:v>
                </c:pt>
                <c:pt idx="132">
                  <c:v>1.1952430627999164</c:v>
                </c:pt>
                <c:pt idx="133">
                  <c:v>1.1973711662841644</c:v>
                </c:pt>
                <c:pt idx="134">
                  <c:v>1.2093052368036723</c:v>
                </c:pt>
                <c:pt idx="135">
                  <c:v>1.2219904026705615</c:v>
                </c:pt>
                <c:pt idx="136">
                  <c:v>1.2292927185478826</c:v>
                </c:pt>
                <c:pt idx="137">
                  <c:v>1.2229501356144379</c:v>
                </c:pt>
                <c:pt idx="138">
                  <c:v>1.2131441685791784</c:v>
                </c:pt>
                <c:pt idx="139">
                  <c:v>1.2383475902357608</c:v>
                </c:pt>
                <c:pt idx="140">
                  <c:v>1.2700187773836851</c:v>
                </c:pt>
                <c:pt idx="141">
                  <c:v>1.2712288754433552</c:v>
                </c:pt>
                <c:pt idx="142">
                  <c:v>1.2627581890256627</c:v>
                </c:pt>
                <c:pt idx="143">
                  <c:v>1.2602128103484249</c:v>
                </c:pt>
                <c:pt idx="144">
                  <c:v>1.2480283747131233</c:v>
                </c:pt>
                <c:pt idx="145">
                  <c:v>1.2506572084289591</c:v>
                </c:pt>
                <c:pt idx="146">
                  <c:v>1.2668057583976633</c:v>
                </c:pt>
                <c:pt idx="147">
                  <c:v>1.2596703525975381</c:v>
                </c:pt>
                <c:pt idx="148">
                  <c:v>1.2594617150010432</c:v>
                </c:pt>
                <c:pt idx="149">
                  <c:v>1.2566242436887127</c:v>
                </c:pt>
                <c:pt idx="150">
                  <c:v>1.2565825161694137</c:v>
                </c:pt>
                <c:pt idx="151">
                  <c:v>1.2525766743167119</c:v>
                </c:pt>
                <c:pt idx="152">
                  <c:v>1.2527018568746087</c:v>
                </c:pt>
                <c:pt idx="153">
                  <c:v>1.2403505111621114</c:v>
                </c:pt>
                <c:pt idx="154">
                  <c:v>1.2339244731900687</c:v>
                </c:pt>
                <c:pt idx="155">
                  <c:v>1.2392655956603378</c:v>
                </c:pt>
                <c:pt idx="156">
                  <c:v>1.2509493010640516</c:v>
                </c:pt>
                <c:pt idx="157">
                  <c:v>1.2719382432714372</c:v>
                </c:pt>
                <c:pt idx="158">
                  <c:v>1.2736073440433966</c:v>
                </c:pt>
                <c:pt idx="159">
                  <c:v>1.2512831212184434</c:v>
                </c:pt>
                <c:pt idx="160">
                  <c:v>1.2280408929689128</c:v>
                </c:pt>
                <c:pt idx="161">
                  <c:v>1.2301272689338616</c:v>
                </c:pt>
                <c:pt idx="162">
                  <c:v>1.2459002712288751</c:v>
                </c:pt>
                <c:pt idx="163">
                  <c:v>1.2499895681201751</c:v>
                </c:pt>
                <c:pt idx="164">
                  <c:v>1.2491132902148967</c:v>
                </c:pt>
                <c:pt idx="165">
                  <c:v>1.2274984352180263</c:v>
                </c:pt>
                <c:pt idx="166">
                  <c:v>1.1830586271646149</c:v>
                </c:pt>
                <c:pt idx="167">
                  <c:v>1.1850615480909659</c:v>
                </c:pt>
                <c:pt idx="168">
                  <c:v>1.1763822240767785</c:v>
                </c:pt>
                <c:pt idx="169">
                  <c:v>1.2063425829334444</c:v>
                </c:pt>
                <c:pt idx="170">
                  <c:v>1.1813477988733567</c:v>
                </c:pt>
                <c:pt idx="171">
                  <c:v>1.204923847277279</c:v>
                </c:pt>
                <c:pt idx="172">
                  <c:v>1.2230753181723344</c:v>
                </c:pt>
                <c:pt idx="173">
                  <c:v>1.2303359065303567</c:v>
                </c:pt>
                <c:pt idx="174">
                  <c:v>1.2303359065303567</c:v>
                </c:pt>
                <c:pt idx="175">
                  <c:v>1.2277488003338202</c:v>
                </c:pt>
                <c:pt idx="176">
                  <c:v>1.2221155852284582</c:v>
                </c:pt>
                <c:pt idx="177">
                  <c:v>1.2364281243480078</c:v>
                </c:pt>
                <c:pt idx="178">
                  <c:v>1.2633006467765495</c:v>
                </c:pt>
                <c:pt idx="179">
                  <c:v>1.2693928645942001</c:v>
                </c:pt>
                <c:pt idx="180">
                  <c:v>1.2822449405382852</c:v>
                </c:pt>
                <c:pt idx="181">
                  <c:v>1.2861673273523893</c:v>
                </c:pt>
                <c:pt idx="182">
                  <c:v>1.282745670769873</c:v>
                </c:pt>
                <c:pt idx="183">
                  <c:v>1.2967243897350305</c:v>
                </c:pt>
                <c:pt idx="184">
                  <c:v>1.2900479866471941</c:v>
                </c:pt>
                <c:pt idx="185">
                  <c:v>1.2857500521593992</c:v>
                </c:pt>
                <c:pt idx="186">
                  <c:v>1.2940121009805969</c:v>
                </c:pt>
                <c:pt idx="187">
                  <c:v>1.3485082411850617</c:v>
                </c:pt>
                <c:pt idx="188">
                  <c:v>1.3534320884623412</c:v>
                </c:pt>
                <c:pt idx="189">
                  <c:v>1.383767994992698</c:v>
                </c:pt>
                <c:pt idx="190">
                  <c:v>1.3743793031504281</c:v>
                </c:pt>
                <c:pt idx="191">
                  <c:v>1.3900688504068437</c:v>
                </c:pt>
                <c:pt idx="192">
                  <c:v>1.3936991445858549</c:v>
                </c:pt>
                <c:pt idx="193">
                  <c:v>1.4038806592948054</c:v>
                </c:pt>
                <c:pt idx="194">
                  <c:v>1.4022950135614443</c:v>
                </c:pt>
                <c:pt idx="195">
                  <c:v>1.4061756728562491</c:v>
                </c:pt>
                <c:pt idx="196">
                  <c:v>1.4018360108491554</c:v>
                </c:pt>
                <c:pt idx="197">
                  <c:v>1.3803463384101822</c:v>
                </c:pt>
                <c:pt idx="198">
                  <c:v>1.3871479240559157</c:v>
                </c:pt>
                <c:pt idx="199">
                  <c:v>1.4050490298351772</c:v>
                </c:pt>
                <c:pt idx="200">
                  <c:v>1.4023367410807437</c:v>
                </c:pt>
                <c:pt idx="201">
                  <c:v>1.4166910077195922</c:v>
                </c:pt>
                <c:pt idx="202">
                  <c:v>1.4150636344669321</c:v>
                </c:pt>
                <c:pt idx="203">
                  <c:v>1.4240350511162121</c:v>
                </c:pt>
                <c:pt idx="204">
                  <c:v>1.4317129146672241</c:v>
                </c:pt>
                <c:pt idx="205">
                  <c:v>1.4180262883371593</c:v>
                </c:pt>
                <c:pt idx="206">
                  <c:v>1.4090548716878792</c:v>
                </c:pt>
                <c:pt idx="207">
                  <c:v>1.4100146046317557</c:v>
                </c:pt>
                <c:pt idx="208">
                  <c:v>1.3756728562486968</c:v>
                </c:pt>
                <c:pt idx="209">
                  <c:v>1.4046734821614861</c:v>
                </c:pt>
                <c:pt idx="210">
                  <c:v>1.3794700605049035</c:v>
                </c:pt>
                <c:pt idx="211">
                  <c:v>1.3773419570206558</c:v>
                </c:pt>
                <c:pt idx="212">
                  <c:v>1.3748800333820161</c:v>
                </c:pt>
                <c:pt idx="213">
                  <c:v>1.3478406008762784</c:v>
                </c:pt>
                <c:pt idx="214">
                  <c:v>1.3611099520133534</c:v>
                </c:pt>
                <c:pt idx="215">
                  <c:v>1.397538076361361</c:v>
                </c:pt>
                <c:pt idx="216">
                  <c:v>1.3977467139578561</c:v>
                </c:pt>
                <c:pt idx="217">
                  <c:v>1.3899436678489472</c:v>
                </c:pt>
                <c:pt idx="218">
                  <c:v>1.429334446067182</c:v>
                </c:pt>
                <c:pt idx="219">
                  <c:v>1.4162320050073027</c:v>
                </c:pt>
                <c:pt idx="220">
                  <c:v>1.3700813686626334</c:v>
                </c:pt>
                <c:pt idx="221">
                  <c:v>1.3964114333402884</c:v>
                </c:pt>
                <c:pt idx="222">
                  <c:v>1.3557271020237851</c:v>
                </c:pt>
                <c:pt idx="223">
                  <c:v>1.3511370749008977</c:v>
                </c:pt>
                <c:pt idx="224">
                  <c:v>1.3349050698935954</c:v>
                </c:pt>
                <c:pt idx="225">
                  <c:v>1.365699979136241</c:v>
                </c:pt>
                <c:pt idx="226">
                  <c:v>1.3903609430419366</c:v>
                </c:pt>
                <c:pt idx="227">
                  <c:v>1.3965783434174841</c:v>
                </c:pt>
                <c:pt idx="228">
                  <c:v>1.4289588983934907</c:v>
                </c:pt>
                <c:pt idx="229">
                  <c:v>1.4239515960776135</c:v>
                </c:pt>
                <c:pt idx="230">
                  <c:v>1.4268725224285417</c:v>
                </c:pt>
                <c:pt idx="231">
                  <c:v>1.4158981848529106</c:v>
                </c:pt>
                <c:pt idx="232">
                  <c:v>1.4033799290632172</c:v>
                </c:pt>
                <c:pt idx="233">
                  <c:v>1.3968287085332776</c:v>
                </c:pt>
                <c:pt idx="234">
                  <c:v>1.3728771124556642</c:v>
                </c:pt>
                <c:pt idx="235">
                  <c:v>1.3201752555810555</c:v>
                </c:pt>
                <c:pt idx="236">
                  <c:v>1.3097433757563111</c:v>
                </c:pt>
                <c:pt idx="237">
                  <c:v>1.310411016065095</c:v>
                </c:pt>
                <c:pt idx="238">
                  <c:v>1.3113707490089712</c:v>
                </c:pt>
                <c:pt idx="239">
                  <c:v>1.3143334028791989</c:v>
                </c:pt>
                <c:pt idx="240">
                  <c:v>1.3280617567285624</c:v>
                </c:pt>
                <c:pt idx="241">
                  <c:v>1.2718547882328395</c:v>
                </c:pt>
                <c:pt idx="242">
                  <c:v>1.2943876486542873</c:v>
                </c:pt>
                <c:pt idx="243">
                  <c:v>1.2628833715835592</c:v>
                </c:pt>
                <c:pt idx="244">
                  <c:v>1.2657208428958897</c:v>
                </c:pt>
                <c:pt idx="245">
                  <c:v>1.2585019820571668</c:v>
                </c:pt>
                <c:pt idx="246">
                  <c:v>1.235259753807636</c:v>
                </c:pt>
                <c:pt idx="247">
                  <c:v>1.2366784894638012</c:v>
                </c:pt>
                <c:pt idx="248">
                  <c:v>1.2037972042562068</c:v>
                </c:pt>
                <c:pt idx="249">
                  <c:v>1.2380972251199664</c:v>
                </c:pt>
                <c:pt idx="250">
                  <c:v>1.2511579386605465</c:v>
                </c:pt>
                <c:pt idx="251">
                  <c:v>1.2862925099102858</c:v>
                </c:pt>
                <c:pt idx="252">
                  <c:v>1.2976423951596077</c:v>
                </c:pt>
                <c:pt idx="253">
                  <c:v>1.2883788858752345</c:v>
                </c:pt>
                <c:pt idx="254">
                  <c:v>1.3079908199457539</c:v>
                </c:pt>
                <c:pt idx="255">
                  <c:v>1.2570415188817023</c:v>
                </c:pt>
                <c:pt idx="256">
                  <c:v>1.276611725432923</c:v>
                </c:pt>
                <c:pt idx="257">
                  <c:v>1.2557896933027333</c:v>
                </c:pt>
                <c:pt idx="258">
                  <c:v>1.2708533277696643</c:v>
                </c:pt>
                <c:pt idx="259">
                  <c:v>1.2986021281034843</c:v>
                </c:pt>
                <c:pt idx="260">
                  <c:v>1.2617567285624871</c:v>
                </c:pt>
                <c:pt idx="261">
                  <c:v>1.2311287293970374</c:v>
                </c:pt>
                <c:pt idx="262">
                  <c:v>1.2309618193198415</c:v>
                </c:pt>
                <c:pt idx="263">
                  <c:v>1.2537867723763825</c:v>
                </c:pt>
                <c:pt idx="264">
                  <c:v>1.2497392030043815</c:v>
                </c:pt>
                <c:pt idx="265">
                  <c:v>1.2131441685791782</c:v>
                </c:pt>
                <c:pt idx="266">
                  <c:v>1.2014604631754644</c:v>
                </c:pt>
                <c:pt idx="267">
                  <c:v>1.200584185270186</c:v>
                </c:pt>
                <c:pt idx="268">
                  <c:v>1.1694971833924475</c:v>
                </c:pt>
                <c:pt idx="269">
                  <c:v>1.2292509910285836</c:v>
                </c:pt>
                <c:pt idx="270">
                  <c:v>1.2406008762779057</c:v>
                </c:pt>
                <c:pt idx="271">
                  <c:v>1.2467765491341545</c:v>
                </c:pt>
                <c:pt idx="272">
                  <c:v>1.2307531817233468</c:v>
                </c:pt>
                <c:pt idx="273">
                  <c:v>1.2526184018360111</c:v>
                </c:pt>
                <c:pt idx="274">
                  <c:v>1.2348007510953478</c:v>
                </c:pt>
                <c:pt idx="275">
                  <c:v>1.2095138744001672</c:v>
                </c:pt>
                <c:pt idx="276">
                  <c:v>1.1638222407677867</c:v>
                </c:pt>
                <c:pt idx="277">
                  <c:v>1.1510536198622996</c:v>
                </c:pt>
                <c:pt idx="278">
                  <c:v>1.203838931775506</c:v>
                </c:pt>
                <c:pt idx="279">
                  <c:v>1.1916962236595035</c:v>
                </c:pt>
                <c:pt idx="280">
                  <c:v>1.1686626330064678</c:v>
                </c:pt>
                <c:pt idx="281">
                  <c:v>1.153515543500939</c:v>
                </c:pt>
                <c:pt idx="282">
                  <c:v>1.1982057166701441</c:v>
                </c:pt>
                <c:pt idx="283">
                  <c:v>1.2284164406426041</c:v>
                </c:pt>
                <c:pt idx="284">
                  <c:v>1.2318798247444196</c:v>
                </c:pt>
                <c:pt idx="285">
                  <c:v>1.2536198622991868</c:v>
                </c:pt>
                <c:pt idx="286">
                  <c:v>1.2483204673482167</c:v>
                </c:pt>
                <c:pt idx="287">
                  <c:v>1.2687669518047155</c:v>
                </c:pt>
                <c:pt idx="288">
                  <c:v>1.2496974754850827</c:v>
                </c:pt>
                <c:pt idx="289">
                  <c:v>1.2689338618819113</c:v>
                </c:pt>
                <c:pt idx="290">
                  <c:v>1.2671813060713542</c:v>
                </c:pt>
                <c:pt idx="291">
                  <c:v>1.2964740246192366</c:v>
                </c:pt>
                <c:pt idx="292">
                  <c:v>1.3161276862090552</c:v>
                </c:pt>
                <c:pt idx="293">
                  <c:v>1.3096599207177135</c:v>
                </c:pt>
                <c:pt idx="294">
                  <c:v>1.2865011475067809</c:v>
                </c:pt>
                <c:pt idx="295">
                  <c:v>1.2911329021489675</c:v>
                </c:pt>
                <c:pt idx="296">
                  <c:v>1.3142916753599001</c:v>
                </c:pt>
                <c:pt idx="297">
                  <c:v>1.297225119966618</c:v>
                </c:pt>
                <c:pt idx="298">
                  <c:v>1.2497392030043815</c:v>
                </c:pt>
                <c:pt idx="299">
                  <c:v>1.2575422491132902</c:v>
                </c:pt>
                <c:pt idx="300">
                  <c:v>1.23918214062174</c:v>
                </c:pt>
                <c:pt idx="301">
                  <c:v>1.190319215522637</c:v>
                </c:pt>
                <c:pt idx="302">
                  <c:v>1.1769664093469641</c:v>
                </c:pt>
                <c:pt idx="303">
                  <c:v>1.2001669100771959</c:v>
                </c:pt>
                <c:pt idx="304">
                  <c:v>1.1676611725432922</c:v>
                </c:pt>
                <c:pt idx="305">
                  <c:v>1.1705403713749216</c:v>
                </c:pt>
                <c:pt idx="306">
                  <c:v>1.1904861255998331</c:v>
                </c:pt>
                <c:pt idx="307">
                  <c:v>1.1949092426455248</c:v>
                </c:pt>
                <c:pt idx="308">
                  <c:v>1.1717504694345922</c:v>
                </c:pt>
                <c:pt idx="309">
                  <c:v>1.1434592113498852</c:v>
                </c:pt>
                <c:pt idx="310">
                  <c:v>1.1713749217609015</c:v>
                </c:pt>
                <c:pt idx="311">
                  <c:v>1.1275610264969749</c:v>
                </c:pt>
                <c:pt idx="312">
                  <c:v>1.181806801585646</c:v>
                </c:pt>
                <c:pt idx="313">
                  <c:v>1.2085541414562904</c:v>
                </c:pt>
                <c:pt idx="314">
                  <c:v>1.1580221155852284</c:v>
                </c:pt>
                <c:pt idx="315">
                  <c:v>1.1870227414980181</c:v>
                </c:pt>
                <c:pt idx="316">
                  <c:v>1.1757980388065929</c:v>
                </c:pt>
                <c:pt idx="317">
                  <c:v>1.2100146046317548</c:v>
                </c:pt>
                <c:pt idx="318">
                  <c:v>1.1573127477571461</c:v>
                </c:pt>
                <c:pt idx="319">
                  <c:v>1.146380137700814</c:v>
                </c:pt>
                <c:pt idx="320">
                  <c:v>1.1040267056123516</c:v>
                </c:pt>
                <c:pt idx="321">
                  <c:v>1.1245566451074487</c:v>
                </c:pt>
                <c:pt idx="322">
                  <c:v>1.0872105153348637</c:v>
                </c:pt>
                <c:pt idx="323">
                  <c:v>1.0655122052993953</c:v>
                </c:pt>
                <c:pt idx="324">
                  <c:v>1.0895889839349053</c:v>
                </c:pt>
                <c:pt idx="325">
                  <c:v>1.0911746296682665</c:v>
                </c:pt>
                <c:pt idx="326">
                  <c:v>1.1133736699353227</c:v>
                </c:pt>
                <c:pt idx="327">
                  <c:v>1.0602128103484252</c:v>
                </c:pt>
                <c:pt idx="328">
                  <c:v>1.0562904235343211</c:v>
                </c:pt>
                <c:pt idx="329">
                  <c:v>1.0538702274149805</c:v>
                </c:pt>
                <c:pt idx="330">
                  <c:v>1.0876277905278535</c:v>
                </c:pt>
                <c:pt idx="331">
                  <c:v>1.0833298560400588</c:v>
                </c:pt>
                <c:pt idx="332">
                  <c:v>1.0954308366367622</c:v>
                </c:pt>
                <c:pt idx="333">
                  <c:v>1.1095347381598166</c:v>
                </c:pt>
                <c:pt idx="334">
                  <c:v>1.1401627373252663</c:v>
                </c:pt>
                <c:pt idx="335">
                  <c:v>1.1344460671813064</c:v>
                </c:pt>
                <c:pt idx="336">
                  <c:v>1.1367410807427503</c:v>
                </c:pt>
                <c:pt idx="337">
                  <c:v>1.1457542249113293</c:v>
                </c:pt>
                <c:pt idx="338">
                  <c:v>1.1267264761109954</c:v>
                </c:pt>
                <c:pt idx="339">
                  <c:v>1.1214270811600253</c:v>
                </c:pt>
                <c:pt idx="340">
                  <c:v>1.1370749008971421</c:v>
                </c:pt>
                <c:pt idx="341">
                  <c:v>1.128353849363656</c:v>
                </c:pt>
                <c:pt idx="342">
                  <c:v>1.1049029835176305</c:v>
                </c:pt>
                <c:pt idx="343">
                  <c:v>1.0556645107448368</c:v>
                </c:pt>
                <c:pt idx="344">
                  <c:v>1.0108908825370337</c:v>
                </c:pt>
                <c:pt idx="345">
                  <c:v>1.0201961193407059</c:v>
                </c:pt>
                <c:pt idx="346">
                  <c:v>1.0505320258710626</c:v>
                </c:pt>
                <c:pt idx="347">
                  <c:v>1.0221990402670569</c:v>
                </c:pt>
                <c:pt idx="348">
                  <c:v>1.0333820154391831</c:v>
                </c:pt>
                <c:pt idx="349">
                  <c:v>1.0587940746922606</c:v>
                </c:pt>
                <c:pt idx="350">
                  <c:v>1.0562486960150228</c:v>
                </c:pt>
                <c:pt idx="351">
                  <c:v>1.0801585645733371</c:v>
                </c:pt>
                <c:pt idx="352">
                  <c:v>1.1170456916336333</c:v>
                </c:pt>
                <c:pt idx="353">
                  <c:v>1.1053202587106206</c:v>
                </c:pt>
                <c:pt idx="354">
                  <c:v>1.0702274149801805</c:v>
                </c:pt>
                <c:pt idx="355">
                  <c:v>1.086000417275194</c:v>
                </c:pt>
                <c:pt idx="356">
                  <c:v>1.0716878781556447</c:v>
                </c:pt>
                <c:pt idx="357">
                  <c:v>1.0831629459628636</c:v>
                </c:pt>
                <c:pt idx="358">
                  <c:v>1.0968078447736296</c:v>
                </c:pt>
                <c:pt idx="359">
                  <c:v>1.1108282912580858</c:v>
                </c:pt>
                <c:pt idx="360">
                  <c:v>1.1199666179845618</c:v>
                </c:pt>
                <c:pt idx="361">
                  <c:v>1.1168787815564376</c:v>
                </c:pt>
                <c:pt idx="362">
                  <c:v>1.1037346129772594</c:v>
                </c:pt>
                <c:pt idx="363">
                  <c:v>1.0585019820571675</c:v>
                </c:pt>
                <c:pt idx="364">
                  <c:v>1.0545378677237647</c:v>
                </c:pt>
                <c:pt idx="365">
                  <c:v>1.0602128103484258</c:v>
                </c:pt>
                <c:pt idx="366">
                  <c:v>1.0712288754433561</c:v>
                </c:pt>
                <c:pt idx="367">
                  <c:v>1.0609221781765084</c:v>
                </c:pt>
                <c:pt idx="368">
                  <c:v>1.0829543083663684</c:v>
                </c:pt>
                <c:pt idx="369">
                  <c:v>1.0943876486542885</c:v>
                </c:pt>
                <c:pt idx="370">
                  <c:v>1.1051116211141256</c:v>
                </c:pt>
                <c:pt idx="371">
                  <c:v>1.0864176924681839</c:v>
                </c:pt>
                <c:pt idx="372">
                  <c:v>1.0800333820154402</c:v>
                </c:pt>
                <c:pt idx="373">
                  <c:v>1.0511162111412486</c:v>
                </c:pt>
                <c:pt idx="374">
                  <c:v>1.1213853536407272</c:v>
                </c:pt>
                <c:pt idx="375">
                  <c:v>1.1533903609430431</c:v>
                </c:pt>
                <c:pt idx="376">
                  <c:v>1.1714583767995004</c:v>
                </c:pt>
                <c:pt idx="377">
                  <c:v>1.1600667640308795</c:v>
                </c:pt>
                <c:pt idx="378">
                  <c:v>1.1467556853745056</c:v>
                </c:pt>
                <c:pt idx="379">
                  <c:v>1.1786772376382235</c:v>
                </c:pt>
                <c:pt idx="380">
                  <c:v>1.1836010849155025</c:v>
                </c:pt>
                <c:pt idx="381">
                  <c:v>1.1805132484873784</c:v>
                </c:pt>
                <c:pt idx="382">
                  <c:v>1.169705820988943</c:v>
                </c:pt>
                <c:pt idx="383">
                  <c:v>1.1779678698101406</c:v>
                </c:pt>
                <c:pt idx="384">
                  <c:v>1.2065929480492394</c:v>
                </c:pt>
                <c:pt idx="385">
                  <c:v>1.197663258919258</c:v>
                </c:pt>
                <c:pt idx="386">
                  <c:v>1.2180680158564581</c:v>
                </c:pt>
                <c:pt idx="387">
                  <c:v>1.2245775088670987</c:v>
                </c:pt>
                <c:pt idx="388">
                  <c:v>1.2214062174003761</c:v>
                </c:pt>
                <c:pt idx="389">
                  <c:v>1.2156060922178182</c:v>
                </c:pt>
                <c:pt idx="390">
                  <c:v>1.210807427498436</c:v>
                </c:pt>
                <c:pt idx="391">
                  <c:v>1.1940329647402468</c:v>
                </c:pt>
                <c:pt idx="392">
                  <c:v>1.1589818485291057</c:v>
                </c:pt>
                <c:pt idx="393">
                  <c:v>1.1535155435009397</c:v>
                </c:pt>
                <c:pt idx="394">
                  <c:v>1.1508032547465064</c:v>
                </c:pt>
                <c:pt idx="395">
                  <c:v>1.1635718756519935</c:v>
                </c:pt>
                <c:pt idx="396">
                  <c:v>1.1186730648862933</c:v>
                </c:pt>
                <c:pt idx="397">
                  <c:v>1.1067389943667858</c:v>
                </c:pt>
                <c:pt idx="398">
                  <c:v>1.0973085750052167</c:v>
                </c:pt>
                <c:pt idx="399">
                  <c:v>1.0910494471103702</c:v>
                </c:pt>
                <c:pt idx="400">
                  <c:v>1.0865846025453794</c:v>
                </c:pt>
                <c:pt idx="401">
                  <c:v>1.0684748591696231</c:v>
                </c:pt>
                <c:pt idx="402">
                  <c:v>1.0567494262466104</c:v>
                </c:pt>
                <c:pt idx="403">
                  <c:v>1.0769455455873156</c:v>
                </c:pt>
                <c:pt idx="404">
                  <c:v>1.0787398289171717</c:v>
                </c:pt>
                <c:pt idx="405">
                  <c:v>1.1035259753807645</c:v>
                </c:pt>
                <c:pt idx="406">
                  <c:v>1.1126643021072407</c:v>
                </c:pt>
                <c:pt idx="407">
                  <c:v>1.0514917588149395</c:v>
                </c:pt>
                <c:pt idx="408">
                  <c:v>1.0524514917588159</c:v>
                </c:pt>
                <c:pt idx="409">
                  <c:v>1.0239098685583152</c:v>
                </c:pt>
                <c:pt idx="410">
                  <c:v>1.0212393073231807</c:v>
                </c:pt>
                <c:pt idx="411">
                  <c:v>1.0203213018986033</c:v>
                </c:pt>
                <c:pt idx="412">
                  <c:v>1.0116837054037147</c:v>
                </c:pt>
                <c:pt idx="413">
                  <c:v>0.99707907364907244</c:v>
                </c:pt>
                <c:pt idx="414">
                  <c:v>1.0055497600667649</c:v>
                </c:pt>
                <c:pt idx="415">
                  <c:v>0.99278113916127764</c:v>
                </c:pt>
                <c:pt idx="416">
                  <c:v>0.99081994575422572</c:v>
                </c:pt>
                <c:pt idx="417">
                  <c:v>0.98648028374713204</c:v>
                </c:pt>
                <c:pt idx="418">
                  <c:v>1.0059253077404555</c:v>
                </c:pt>
                <c:pt idx="419">
                  <c:v>0.99102858335072053</c:v>
                </c:pt>
                <c:pt idx="420">
                  <c:v>0.97183392447319072</c:v>
                </c:pt>
                <c:pt idx="421">
                  <c:v>1.0045482996035893</c:v>
                </c:pt>
                <c:pt idx="422">
                  <c:v>1.0385145003129572</c:v>
                </c:pt>
                <c:pt idx="423">
                  <c:v>1.0398497809305245</c:v>
                </c:pt>
                <c:pt idx="424">
                  <c:v>1.0297934487794709</c:v>
                </c:pt>
                <c:pt idx="425">
                  <c:v>0.97742541205925393</c:v>
                </c:pt>
                <c:pt idx="426">
                  <c:v>0.95660337992906397</c:v>
                </c:pt>
                <c:pt idx="427">
                  <c:v>0.94058001251825651</c:v>
                </c:pt>
                <c:pt idx="428">
                  <c:v>0.94199874817442186</c:v>
                </c:pt>
                <c:pt idx="429">
                  <c:v>0.97742541205925404</c:v>
                </c:pt>
                <c:pt idx="430">
                  <c:v>0.95372418109743462</c:v>
                </c:pt>
                <c:pt idx="431">
                  <c:v>0.99115376590861759</c:v>
                </c:pt>
                <c:pt idx="432">
                  <c:v>0.99520133528061838</c:v>
                </c:pt>
                <c:pt idx="433">
                  <c:v>0.98677237638222481</c:v>
                </c:pt>
                <c:pt idx="434">
                  <c:v>0.98539536824535867</c:v>
                </c:pt>
                <c:pt idx="435">
                  <c:v>1.0103066972668482</c:v>
                </c:pt>
                <c:pt idx="436">
                  <c:v>1.0317129146672237</c:v>
                </c:pt>
                <c:pt idx="437">
                  <c:v>1.0459419987481753</c:v>
                </c:pt>
                <c:pt idx="438">
                  <c:v>0.96524097642395246</c:v>
                </c:pt>
                <c:pt idx="439">
                  <c:v>0.94617150010431961</c:v>
                </c:pt>
                <c:pt idx="440">
                  <c:v>0.98422699770498734</c:v>
                </c:pt>
                <c:pt idx="441">
                  <c:v>0.96862090548716961</c:v>
                </c:pt>
                <c:pt idx="442">
                  <c:v>0.95209680784477446</c:v>
                </c:pt>
                <c:pt idx="443">
                  <c:v>0.91842269977049951</c:v>
                </c:pt>
                <c:pt idx="444">
                  <c:v>0.89401210098059758</c:v>
                </c:pt>
                <c:pt idx="445">
                  <c:v>0.92380554976006768</c:v>
                </c:pt>
                <c:pt idx="446">
                  <c:v>0.95084498226580538</c:v>
                </c:pt>
                <c:pt idx="447">
                  <c:v>0.95501773419570324</c:v>
                </c:pt>
                <c:pt idx="448">
                  <c:v>0.93682453578134894</c:v>
                </c:pt>
                <c:pt idx="449">
                  <c:v>1.0138952639265608</c:v>
                </c:pt>
                <c:pt idx="450">
                  <c:v>1.0311287293970386</c:v>
                </c:pt>
                <c:pt idx="451">
                  <c:v>1.007928228666807</c:v>
                </c:pt>
                <c:pt idx="452">
                  <c:v>1.0096807844773639</c:v>
                </c:pt>
                <c:pt idx="453">
                  <c:v>1.0086793240141885</c:v>
                </c:pt>
                <c:pt idx="454">
                  <c:v>1.0084706864176936</c:v>
                </c:pt>
                <c:pt idx="455">
                  <c:v>1.0065512205299405</c:v>
                </c:pt>
                <c:pt idx="456">
                  <c:v>1.0100146046317557</c:v>
                </c:pt>
                <c:pt idx="457">
                  <c:v>1.0224494053828512</c:v>
                </c:pt>
                <c:pt idx="458">
                  <c:v>1.0330899228040906</c:v>
                </c:pt>
                <c:pt idx="459">
                  <c:v>1.0327143751303998</c:v>
                </c:pt>
                <c:pt idx="460">
                  <c:v>1.0088045065720854</c:v>
                </c:pt>
                <c:pt idx="461">
                  <c:v>1.0028374713123316</c:v>
                </c:pt>
                <c:pt idx="462">
                  <c:v>1.0646359273941175</c:v>
                </c:pt>
                <c:pt idx="463">
                  <c:v>1.0627581890256634</c:v>
                </c:pt>
                <c:pt idx="464">
                  <c:v>1.0641351971625297</c:v>
                </c:pt>
                <c:pt idx="465">
                  <c:v>1.0440225328604222</c:v>
                </c:pt>
                <c:pt idx="466">
                  <c:v>1.0228249530565416</c:v>
                </c:pt>
                <c:pt idx="467">
                  <c:v>1.0196953891091183</c:v>
                </c:pt>
                <c:pt idx="468">
                  <c:v>1.0323388274567085</c:v>
                </c:pt>
                <c:pt idx="469">
                  <c:v>1.0240767786355109</c:v>
                </c:pt>
                <c:pt idx="470">
                  <c:v>1.053661589818486</c:v>
                </c:pt>
                <c:pt idx="471">
                  <c:v>1.0720634258293353</c:v>
                </c:pt>
                <c:pt idx="472">
                  <c:v>1.0733152514083046</c:v>
                </c:pt>
                <c:pt idx="473">
                  <c:v>1.0390569580638438</c:v>
                </c:pt>
                <c:pt idx="474">
                  <c:v>1.0210306697266855</c:v>
                </c:pt>
                <c:pt idx="475">
                  <c:v>1.003338201543919</c:v>
                </c:pt>
                <c:pt idx="476">
                  <c:v>1.0089714166492811</c:v>
                </c:pt>
                <c:pt idx="477">
                  <c:v>1.0199457542249122</c:v>
                </c:pt>
                <c:pt idx="478">
                  <c:v>0.9939077821823501</c:v>
                </c:pt>
                <c:pt idx="479">
                  <c:v>0.99616106822449491</c:v>
                </c:pt>
                <c:pt idx="480">
                  <c:v>0.98877529730857594</c:v>
                </c:pt>
                <c:pt idx="481">
                  <c:v>0.97863551011892425</c:v>
                </c:pt>
                <c:pt idx="482">
                  <c:v>1.0056749426246616</c:v>
                </c:pt>
                <c:pt idx="483">
                  <c:v>1.0007093678280832</c:v>
                </c:pt>
                <c:pt idx="484">
                  <c:v>0.99970790736490778</c:v>
                </c:pt>
                <c:pt idx="485">
                  <c:v>0.95597746713957898</c:v>
                </c:pt>
                <c:pt idx="486">
                  <c:v>0.92764448153557311</c:v>
                </c:pt>
                <c:pt idx="487">
                  <c:v>0.93857709159190539</c:v>
                </c:pt>
                <c:pt idx="488">
                  <c:v>0.94771541831838146</c:v>
                </c:pt>
                <c:pt idx="489">
                  <c:v>0.95493427915710449</c:v>
                </c:pt>
                <c:pt idx="490">
                  <c:v>0.98380972251199705</c:v>
                </c:pt>
                <c:pt idx="491">
                  <c:v>0.99524306279991692</c:v>
                </c:pt>
                <c:pt idx="492">
                  <c:v>0.99824744418944322</c:v>
                </c:pt>
                <c:pt idx="493">
                  <c:v>1.0029209263509289</c:v>
                </c:pt>
                <c:pt idx="494">
                  <c:v>0.98397663258919299</c:v>
                </c:pt>
                <c:pt idx="495">
                  <c:v>0.9677863551011896</c:v>
                </c:pt>
                <c:pt idx="496">
                  <c:v>1.0023784686000421</c:v>
                </c:pt>
                <c:pt idx="497">
                  <c:v>1.012226163154601</c:v>
                </c:pt>
                <c:pt idx="498">
                  <c:v>1.0099728771124561</c:v>
                </c:pt>
                <c:pt idx="499">
                  <c:v>1.0040058418527025</c:v>
                </c:pt>
                <c:pt idx="500">
                  <c:v>1.0348424786146468</c:v>
                </c:pt>
                <c:pt idx="501">
                  <c:v>1.0355101189234306</c:v>
                </c:pt>
                <c:pt idx="502">
                  <c:v>1.0127686209054878</c:v>
                </c:pt>
                <c:pt idx="503">
                  <c:v>1.0340496557479664</c:v>
                </c:pt>
                <c:pt idx="504">
                  <c:v>1.0546630502816614</c:v>
                </c:pt>
                <c:pt idx="505">
                  <c:v>1.10411016065095</c:v>
                </c:pt>
                <c:pt idx="506">
                  <c:v>1.078030461089089</c:v>
                </c:pt>
                <c:pt idx="507">
                  <c:v>1.0714375130398504</c:v>
                </c:pt>
                <c:pt idx="508">
                  <c:v>1.1164615063634473</c:v>
                </c:pt>
                <c:pt idx="509">
                  <c:v>1.1129981222616323</c:v>
                </c:pt>
                <c:pt idx="510">
                  <c:v>1.10002086375965</c:v>
                </c:pt>
                <c:pt idx="511">
                  <c:v>1.0978510327561033</c:v>
                </c:pt>
                <c:pt idx="512">
                  <c:v>1.1321510536198629</c:v>
                </c:pt>
                <c:pt idx="513">
                  <c:v>1.1356978927602761</c:v>
                </c:pt>
                <c:pt idx="514">
                  <c:v>1.1238055497600674</c:v>
                </c:pt>
                <c:pt idx="515">
                  <c:v>1.0938869184227002</c:v>
                </c:pt>
                <c:pt idx="516">
                  <c:v>1.0768203630294186</c:v>
                </c:pt>
                <c:pt idx="517">
                  <c:v>1.0543292301272698</c:v>
                </c:pt>
                <c:pt idx="518">
                  <c:v>1.0494888378885885</c:v>
                </c:pt>
                <c:pt idx="519">
                  <c:v>1.0630920091800553</c:v>
                </c:pt>
                <c:pt idx="520">
                  <c:v>1.0399332359691227</c:v>
                </c:pt>
                <c:pt idx="521">
                  <c:v>1.0438556227832265</c:v>
                </c:pt>
                <c:pt idx="522">
                  <c:v>1.0407677863551021</c:v>
                </c:pt>
                <c:pt idx="523">
                  <c:v>1.0276236177759244</c:v>
                </c:pt>
                <c:pt idx="524">
                  <c:v>1.0478197371166298</c:v>
                </c:pt>
                <c:pt idx="525">
                  <c:v>1.0652618401836025</c:v>
                </c:pt>
                <c:pt idx="526">
                  <c:v>1.0718547882328409</c:v>
                </c:pt>
                <c:pt idx="527">
                  <c:v>1.060504902983519</c:v>
                </c:pt>
                <c:pt idx="528">
                  <c:v>1.0586271646150649</c:v>
                </c:pt>
                <c:pt idx="529">
                  <c:v>1.052868766951806</c:v>
                </c:pt>
                <c:pt idx="530">
                  <c:v>1.0373044022532873</c:v>
                </c:pt>
                <c:pt idx="531">
                  <c:v>1.0595451700396423</c:v>
                </c:pt>
                <c:pt idx="532">
                  <c:v>1.0882119757980402</c:v>
                </c:pt>
                <c:pt idx="533">
                  <c:v>1.1076152722720647</c:v>
                </c:pt>
                <c:pt idx="534">
                  <c:v>1.1525140830377647</c:v>
                </c:pt>
                <c:pt idx="535">
                  <c:v>1.1659920717713346</c:v>
                </c:pt>
                <c:pt idx="536">
                  <c:v>1.1359482578760707</c:v>
                </c:pt>
                <c:pt idx="537">
                  <c:v>1.1424160233674119</c:v>
                </c:pt>
                <c:pt idx="538">
                  <c:v>1.1361986229918644</c:v>
                </c:pt>
                <c:pt idx="539">
                  <c:v>1.1586063008554155</c:v>
                </c:pt>
                <c:pt idx="540">
                  <c:v>1.1707490089714179</c:v>
                </c:pt>
                <c:pt idx="541">
                  <c:v>1.1532651783851462</c:v>
                </c:pt>
                <c:pt idx="542">
                  <c:v>1.1484665136657639</c:v>
                </c:pt>
                <c:pt idx="543">
                  <c:v>1.1704986438556242</c:v>
                </c:pt>
                <c:pt idx="544">
                  <c:v>1.1852701856874623</c:v>
                </c:pt>
                <c:pt idx="545">
                  <c:v>1.2030043813895277</c:v>
                </c:pt>
                <c:pt idx="546">
                  <c:v>1.1985395368245371</c:v>
                </c:pt>
                <c:pt idx="547">
                  <c:v>1.1983308992280421</c:v>
                </c:pt>
                <c:pt idx="548">
                  <c:v>1.1864802837471324</c:v>
                </c:pt>
                <c:pt idx="549">
                  <c:v>1.2167744627581905</c:v>
                </c:pt>
                <c:pt idx="550">
                  <c:v>1.2075526809931161</c:v>
                </c:pt>
                <c:pt idx="551">
                  <c:v>1.1801794283329867</c:v>
                </c:pt>
                <c:pt idx="552">
                  <c:v>1.1829334446067192</c:v>
                </c:pt>
                <c:pt idx="553">
                  <c:v>1.2094304193615699</c:v>
                </c:pt>
                <c:pt idx="554">
                  <c:v>1.1939912372209482</c:v>
                </c:pt>
                <c:pt idx="555">
                  <c:v>1.2050907573544762</c:v>
                </c:pt>
                <c:pt idx="556">
                  <c:v>1.2032964740246201</c:v>
                </c:pt>
                <c:pt idx="557">
                  <c:v>1.203630294179012</c:v>
                </c:pt>
                <c:pt idx="558">
                  <c:v>1.1938660546630513</c:v>
                </c:pt>
                <c:pt idx="559">
                  <c:v>1.1924055914875871</c:v>
                </c:pt>
                <c:pt idx="560">
                  <c:v>1.1757563112872949</c:v>
                </c:pt>
                <c:pt idx="561">
                  <c:v>1.1492593365324442</c:v>
                </c:pt>
                <c:pt idx="562">
                  <c:v>1.2325057375339046</c:v>
                </c:pt>
                <c:pt idx="563">
                  <c:v>1.2719799707907373</c:v>
                </c:pt>
                <c:pt idx="564">
                  <c:v>1.2821197579803889</c:v>
                </c:pt>
                <c:pt idx="565">
                  <c:v>1.2750260796995627</c:v>
                </c:pt>
                <c:pt idx="566">
                  <c:v>1.2744001669100782</c:v>
                </c:pt>
                <c:pt idx="567">
                  <c:v>1.2701856874608812</c:v>
                </c:pt>
                <c:pt idx="568">
                  <c:v>1.2744001669100782</c:v>
                </c:pt>
                <c:pt idx="569">
                  <c:v>1.2962653870227423</c:v>
                </c:pt>
                <c:pt idx="570">
                  <c:v>1.2879198831629468</c:v>
                </c:pt>
                <c:pt idx="571">
                  <c:v>1.2810348424786155</c:v>
                </c:pt>
                <c:pt idx="572">
                  <c:v>1.3031921552263726</c:v>
                </c:pt>
                <c:pt idx="573">
                  <c:v>1.2940121009805974</c:v>
                </c:pt>
                <c:pt idx="574">
                  <c:v>1.2892551637805139</c:v>
                </c:pt>
                <c:pt idx="575">
                  <c:v>1.2912998122261636</c:v>
                </c:pt>
                <c:pt idx="576">
                  <c:v>1.3008136866263305</c:v>
                </c:pt>
                <c:pt idx="577">
                  <c:v>1.3102441059878993</c:v>
                </c:pt>
                <c:pt idx="578">
                  <c:v>1.3291049447110372</c:v>
                </c:pt>
                <c:pt idx="579">
                  <c:v>1.3283538493636557</c:v>
                </c:pt>
                <c:pt idx="580">
                  <c:v>1.3402044648445655</c:v>
                </c:pt>
                <c:pt idx="581">
                  <c:v>1.3155017734195706</c:v>
                </c:pt>
                <c:pt idx="582">
                  <c:v>1.309618193198415</c:v>
                </c:pt>
                <c:pt idx="583">
                  <c:v>1.3599833089922813</c:v>
                </c:pt>
                <c:pt idx="584">
                  <c:v>1.3890673899436685</c:v>
                </c:pt>
                <c:pt idx="585">
                  <c:v>1.3820571667014401</c:v>
                </c:pt>
                <c:pt idx="586">
                  <c:v>1.3702900062591283</c:v>
                </c:pt>
                <c:pt idx="587">
                  <c:v>1.3877738368454</c:v>
                </c:pt>
                <c:pt idx="588">
                  <c:v>1.3995409972877115</c:v>
                </c:pt>
                <c:pt idx="589">
                  <c:v>1.4017942833298562</c:v>
                </c:pt>
                <c:pt idx="590">
                  <c:v>1.3923638639682874</c:v>
                </c:pt>
                <c:pt idx="591">
                  <c:v>1.3493845190903404</c:v>
                </c:pt>
                <c:pt idx="592">
                  <c:v>1.3572292927185483</c:v>
                </c:pt>
                <c:pt idx="593">
                  <c:v>1.363613603171292</c:v>
                </c:pt>
                <c:pt idx="594">
                  <c:v>1.3847277279365746</c:v>
                </c:pt>
                <c:pt idx="595">
                  <c:v>1.394909242645525</c:v>
                </c:pt>
                <c:pt idx="596">
                  <c:v>1.4076361360317129</c:v>
                </c:pt>
                <c:pt idx="597">
                  <c:v>1.4525349467974131</c:v>
                </c:pt>
                <c:pt idx="598">
                  <c:v>1.4284581681619029</c:v>
                </c:pt>
                <c:pt idx="599">
                  <c:v>1.4105987899019405</c:v>
                </c:pt>
                <c:pt idx="600">
                  <c:v>1.3918631337366996</c:v>
                </c:pt>
                <c:pt idx="601">
                  <c:v>1.4175255581055708</c:v>
                </c:pt>
                <c:pt idx="602">
                  <c:v>1.3979553515543504</c:v>
                </c:pt>
                <c:pt idx="603">
                  <c:v>1.3711662841644068</c:v>
                </c:pt>
                <c:pt idx="604">
                  <c:v>1.3960776131858963</c:v>
                </c:pt>
                <c:pt idx="605">
                  <c:v>1.4014187356561654</c:v>
                </c:pt>
                <c:pt idx="606">
                  <c:v>1.3980805341122471</c:v>
                </c:pt>
                <c:pt idx="607">
                  <c:v>1.4209889422073858</c:v>
                </c:pt>
                <c:pt idx="608">
                  <c:v>1.4103484247861464</c:v>
                </c:pt>
                <c:pt idx="609">
                  <c:v>1.4110160650949297</c:v>
                </c:pt>
                <c:pt idx="610">
                  <c:v>1.4240350511162105</c:v>
                </c:pt>
                <c:pt idx="611">
                  <c:v>1.4071354058001246</c:v>
                </c:pt>
                <c:pt idx="612">
                  <c:v>1.3846442728979755</c:v>
                </c:pt>
                <c:pt idx="613">
                  <c:v>1.3873148341331105</c:v>
                </c:pt>
                <c:pt idx="614">
                  <c:v>1.4070519507615269</c:v>
                </c:pt>
                <c:pt idx="615">
                  <c:v>1.4298351762987689</c:v>
                </c:pt>
                <c:pt idx="616">
                  <c:v>1.4406008762779052</c:v>
                </c:pt>
                <c:pt idx="617">
                  <c:v>1.4426455247235552</c:v>
                </c:pt>
                <c:pt idx="618">
                  <c:v>1.5000625912789487</c:v>
                </c:pt>
                <c:pt idx="619">
                  <c:v>1.4816607552680994</c:v>
                </c:pt>
                <c:pt idx="620">
                  <c:v>1.4474024619236388</c:v>
                </c:pt>
                <c:pt idx="621">
                  <c:v>1.4344669309409557</c:v>
                </c:pt>
                <c:pt idx="622">
                  <c:v>1.4400584185270187</c:v>
                </c:pt>
                <c:pt idx="623">
                  <c:v>1.4645524723555183</c:v>
                </c:pt>
                <c:pt idx="624">
                  <c:v>1.4094304193615688</c:v>
                </c:pt>
                <c:pt idx="625">
                  <c:v>1.3800125182557899</c:v>
                </c:pt>
                <c:pt idx="626">
                  <c:v>1.4119340705195078</c:v>
                </c:pt>
                <c:pt idx="627">
                  <c:v>1.4017108282912583</c:v>
                </c:pt>
                <c:pt idx="628">
                  <c:v>1.4034633841018151</c:v>
                </c:pt>
                <c:pt idx="629">
                  <c:v>1.366576257041519</c:v>
                </c:pt>
                <c:pt idx="630">
                  <c:v>1.363071145420405</c:v>
                </c:pt>
                <c:pt idx="631">
                  <c:v>1.3677446275818901</c:v>
                </c:pt>
                <c:pt idx="632">
                  <c:v>1.377467139578552</c:v>
                </c:pt>
                <c:pt idx="633">
                  <c:v>1.3605257667431672</c:v>
                </c:pt>
                <c:pt idx="634">
                  <c:v>1.3445858543709577</c:v>
                </c:pt>
                <c:pt idx="635">
                  <c:v>1.3475067807218861</c:v>
                </c:pt>
                <c:pt idx="636">
                  <c:v>1.3394950970164823</c:v>
                </c:pt>
                <c:pt idx="637">
                  <c:v>1.3521385353640727</c:v>
                </c:pt>
                <c:pt idx="638">
                  <c:v>1.3430419361568955</c:v>
                </c:pt>
                <c:pt idx="639">
                  <c:v>1.3369497183392445</c:v>
                </c:pt>
                <c:pt idx="640">
                  <c:v>1.3222616315460045</c:v>
                </c:pt>
                <c:pt idx="641">
                  <c:v>1.3205925307740454</c:v>
                </c:pt>
                <c:pt idx="642">
                  <c:v>1.3431253911954932</c:v>
                </c:pt>
                <c:pt idx="643">
                  <c:v>1.3455455873148339</c:v>
                </c:pt>
                <c:pt idx="644">
                  <c:v>1.3644898810765698</c:v>
                </c:pt>
                <c:pt idx="645">
                  <c:v>1.3351554350093886</c:v>
                </c:pt>
                <c:pt idx="646">
                  <c:v>1.3477154183183808</c:v>
                </c:pt>
                <c:pt idx="647">
                  <c:v>1.350719799707907</c:v>
                </c:pt>
                <c:pt idx="648">
                  <c:v>1.3703734612977259</c:v>
                </c:pt>
                <c:pt idx="649">
                  <c:v>1.371959107031087</c:v>
                </c:pt>
                <c:pt idx="650">
                  <c:v>1.3676611725432921</c:v>
                </c:pt>
                <c:pt idx="651">
                  <c:v>1.3714166492802005</c:v>
                </c:pt>
                <c:pt idx="652">
                  <c:v>1.3918214062174006</c:v>
                </c:pt>
                <c:pt idx="653">
                  <c:v>1.3890256624243689</c:v>
                </c:pt>
                <c:pt idx="654">
                  <c:v>1.3766325891925726</c:v>
                </c:pt>
                <c:pt idx="655">
                  <c:v>1.3948257876069265</c:v>
                </c:pt>
                <c:pt idx="656">
                  <c:v>1.4101397871896515</c:v>
                </c:pt>
                <c:pt idx="657">
                  <c:v>1.3843939077821821</c:v>
                </c:pt>
                <c:pt idx="658">
                  <c:v>1.4022950135614436</c:v>
                </c:pt>
                <c:pt idx="659">
                  <c:v>1.4133110786563738</c:v>
                </c:pt>
                <c:pt idx="660">
                  <c:v>1.3779261422908409</c:v>
                </c:pt>
                <c:pt idx="661">
                  <c:v>1.3730857500521594</c:v>
                </c:pt>
                <c:pt idx="662">
                  <c:v>1.3713749217609013</c:v>
                </c:pt>
                <c:pt idx="663">
                  <c:v>1.3384936365533069</c:v>
                </c:pt>
                <c:pt idx="664">
                  <c:v>1.3333194241602335</c:v>
                </c:pt>
                <c:pt idx="665">
                  <c:v>1.3228040892968913</c:v>
                </c:pt>
                <c:pt idx="666">
                  <c:v>1.3250156478197372</c:v>
                </c:pt>
                <c:pt idx="667">
                  <c:v>1.3024827873982892</c:v>
                </c:pt>
                <c:pt idx="668">
                  <c:v>1.3051950761527229</c:v>
                </c:pt>
                <c:pt idx="669">
                  <c:v>1.3087419152931359</c:v>
                </c:pt>
                <c:pt idx="670">
                  <c:v>1.3175464218652202</c:v>
                </c:pt>
                <c:pt idx="671">
                  <c:v>1.3427915710411018</c:v>
                </c:pt>
                <c:pt idx="672">
                  <c:v>1.3076987273106615</c:v>
                </c:pt>
                <c:pt idx="673">
                  <c:v>1.3309409555601919</c:v>
                </c:pt>
                <c:pt idx="674">
                  <c:v>1.3326100563321512</c:v>
                </c:pt>
                <c:pt idx="675">
                  <c:v>1.3655747965783436</c:v>
                </c:pt>
                <c:pt idx="676">
                  <c:v>1.3762570415188817</c:v>
                </c:pt>
                <c:pt idx="677">
                  <c:v>1.3702900062591279</c:v>
                </c:pt>
                <c:pt idx="678">
                  <c:v>1.3871061965366158</c:v>
                </c:pt>
                <c:pt idx="679">
                  <c:v>1.3818485291049447</c:v>
                </c:pt>
                <c:pt idx="680">
                  <c:v>1.3675359899853954</c:v>
                </c:pt>
                <c:pt idx="681">
                  <c:v>1.3880242019611932</c:v>
                </c:pt>
                <c:pt idx="682">
                  <c:v>1.3856040058418526</c:v>
                </c:pt>
                <c:pt idx="683">
                  <c:v>1.377467139578552</c:v>
                </c:pt>
                <c:pt idx="684">
                  <c:v>1.3825161694137282</c:v>
                </c:pt>
                <c:pt idx="685">
                  <c:v>1.3631128729397037</c:v>
                </c:pt>
                <c:pt idx="686">
                  <c:v>1.3741706655539327</c:v>
                </c:pt>
                <c:pt idx="687">
                  <c:v>1.3792196953891089</c:v>
                </c:pt>
                <c:pt idx="688">
                  <c:v>1.4215313999582724</c:v>
                </c:pt>
                <c:pt idx="689">
                  <c:v>1.3682036302941789</c:v>
                </c:pt>
                <c:pt idx="690">
                  <c:v>1.3762153139995827</c:v>
                </c:pt>
                <c:pt idx="691">
                  <c:v>1.4075109534738162</c:v>
                </c:pt>
                <c:pt idx="692">
                  <c:v>1.4108491550177344</c:v>
                </c:pt>
                <c:pt idx="693">
                  <c:v>1.4440642603797207</c:v>
                </c:pt>
                <c:pt idx="694">
                  <c:v>1.4534529522219908</c:v>
                </c:pt>
                <c:pt idx="695">
                  <c:v>1.472146880867933</c:v>
                </c:pt>
                <c:pt idx="696">
                  <c:v>1.4877112455664516</c:v>
                </c:pt>
                <c:pt idx="697">
                  <c:v>1.5044022532860426</c:v>
                </c:pt>
                <c:pt idx="698">
                  <c:v>1.5155435009388698</c:v>
                </c:pt>
                <c:pt idx="699">
                  <c:v>1.5050698935948263</c:v>
                </c:pt>
                <c:pt idx="700">
                  <c:v>1.5425412059253085</c:v>
                </c:pt>
                <c:pt idx="701">
                  <c:v>1.5300646776549141</c:v>
                </c:pt>
                <c:pt idx="702">
                  <c:v>1.5450448570832469</c:v>
                </c:pt>
                <c:pt idx="703">
                  <c:v>1.5425412059253085</c:v>
                </c:pt>
                <c:pt idx="704">
                  <c:v>1.569664093469644</c:v>
                </c:pt>
                <c:pt idx="705">
                  <c:v>1.5432923012726902</c:v>
                </c:pt>
                <c:pt idx="706">
                  <c:v>1.5749634884206141</c:v>
                </c:pt>
                <c:pt idx="707">
                  <c:v>1.5567285624869607</c:v>
                </c:pt>
                <c:pt idx="708">
                  <c:v>1.5766743167118722</c:v>
                </c:pt>
                <c:pt idx="709">
                  <c:v>1.5749217609013151</c:v>
                </c:pt>
                <c:pt idx="710">
                  <c:v>1.5798456081785945</c:v>
                </c:pt>
                <c:pt idx="711">
                  <c:v>1.5969121635718762</c:v>
                </c:pt>
                <c:pt idx="712">
                  <c:v>1.5808470686417699</c:v>
                </c:pt>
                <c:pt idx="713">
                  <c:v>1.5810974337575636</c:v>
                </c:pt>
                <c:pt idx="714">
                  <c:v>1.5627373252660133</c:v>
                </c:pt>
                <c:pt idx="715">
                  <c:v>1.5403296474024621</c:v>
                </c:pt>
                <c:pt idx="716">
                  <c:v>1.5544335489255168</c:v>
                </c:pt>
                <c:pt idx="717">
                  <c:v>1.5389109117462971</c:v>
                </c:pt>
                <c:pt idx="718">
                  <c:v>1.5478823283955772</c:v>
                </c:pt>
                <c:pt idx="719">
                  <c:v>1.5615689547256419</c:v>
                </c:pt>
                <c:pt idx="720">
                  <c:v>1.5493427915710414</c:v>
                </c:pt>
                <c:pt idx="721">
                  <c:v>1.5621948675151263</c:v>
                </c:pt>
                <c:pt idx="722">
                  <c:v>1.5621531399958273</c:v>
                </c:pt>
                <c:pt idx="723">
                  <c:v>1.52693511370749</c:v>
                </c:pt>
                <c:pt idx="724">
                  <c:v>1.5469643229709993</c:v>
                </c:pt>
                <c:pt idx="725">
                  <c:v>1.5549760066764029</c:v>
                </c:pt>
                <c:pt idx="726">
                  <c:v>1.5575213853536407</c:v>
                </c:pt>
                <c:pt idx="727">
                  <c:v>1.5465053202587107</c:v>
                </c:pt>
                <c:pt idx="728">
                  <c:v>1.5586897558940123</c:v>
                </c:pt>
                <c:pt idx="729">
                  <c:v>1.5630294179011059</c:v>
                </c:pt>
                <c:pt idx="730">
                  <c:v>1.563363238055498</c:v>
                </c:pt>
                <c:pt idx="731">
                  <c:v>1.5609013144168582</c:v>
                </c:pt>
                <c:pt idx="732">
                  <c:v>1.5659503442520344</c:v>
                </c:pt>
                <c:pt idx="733">
                  <c:v>1.569121635718757</c:v>
                </c:pt>
                <c:pt idx="734">
                  <c:v>1.5475485082411855</c:v>
                </c:pt>
                <c:pt idx="735">
                  <c:v>1.5464218652201132</c:v>
                </c:pt>
                <c:pt idx="736">
                  <c:v>1.5353223450865849</c:v>
                </c:pt>
                <c:pt idx="737">
                  <c:v>1.5345295222199042</c:v>
                </c:pt>
                <c:pt idx="738">
                  <c:v>1.5634884206133948</c:v>
                </c:pt>
                <c:pt idx="739">
                  <c:v>1.5680784477362826</c:v>
                </c:pt>
                <c:pt idx="740">
                  <c:v>1.5972042562069688</c:v>
                </c:pt>
                <c:pt idx="741">
                  <c:v>1.6049655747965788</c:v>
                </c:pt>
                <c:pt idx="742">
                  <c:v>1.6209889422073862</c:v>
                </c:pt>
                <c:pt idx="743">
                  <c:v>1.628499895681202</c:v>
                </c:pt>
                <c:pt idx="744">
                  <c:v>1.625161694137284</c:v>
                </c:pt>
                <c:pt idx="745">
                  <c:v>1.6435218026288338</c:v>
                </c:pt>
                <c:pt idx="746">
                  <c:v>1.6635510118923433</c:v>
                </c:pt>
                <c:pt idx="747">
                  <c:v>1.6545378677237639</c:v>
                </c:pt>
                <c:pt idx="748">
                  <c:v>1.6645107448362193</c:v>
                </c:pt>
                <c:pt idx="749">
                  <c:v>1.6797830168996453</c:v>
                </c:pt>
                <c:pt idx="750">
                  <c:v>1.6894220738577093</c:v>
                </c:pt>
                <c:pt idx="751">
                  <c:v>1.6854996870436052</c:v>
                </c:pt>
                <c:pt idx="752">
                  <c:v>1.7096599207177134</c:v>
                </c:pt>
                <c:pt idx="753">
                  <c:v>1.7049447110369287</c:v>
                </c:pt>
                <c:pt idx="754">
                  <c:v>1.6590027122887543</c:v>
                </c:pt>
                <c:pt idx="755">
                  <c:v>1.6848737742541202</c:v>
                </c:pt>
                <c:pt idx="756">
                  <c:v>1.7159190486125597</c:v>
                </c:pt>
                <c:pt idx="757">
                  <c:v>1.6926768203630291</c:v>
                </c:pt>
                <c:pt idx="758">
                  <c:v>1.6920091800542456</c:v>
                </c:pt>
                <c:pt idx="759">
                  <c:v>1.7277279365741707</c:v>
                </c:pt>
                <c:pt idx="760">
                  <c:v>1.7279783016899646</c:v>
                </c:pt>
                <c:pt idx="761">
                  <c:v>1.7548508241185061</c:v>
                </c:pt>
                <c:pt idx="762">
                  <c:v>1.7327769664093469</c:v>
                </c:pt>
                <c:pt idx="763">
                  <c:v>1.6954725641560608</c:v>
                </c:pt>
                <c:pt idx="764">
                  <c:v>1.7087001877738366</c:v>
                </c:pt>
                <c:pt idx="765">
                  <c:v>1.6964740246192362</c:v>
                </c:pt>
                <c:pt idx="766">
                  <c:v>1.686042144794492</c:v>
                </c:pt>
                <c:pt idx="767">
                  <c:v>1.6807427498435219</c:v>
                </c:pt>
                <c:pt idx="768">
                  <c:v>1.6781973711662843</c:v>
                </c:pt>
                <c:pt idx="769">
                  <c:v>1.717713331942416</c:v>
                </c:pt>
                <c:pt idx="770">
                  <c:v>1.71224702691425</c:v>
                </c:pt>
                <c:pt idx="771">
                  <c:v>1.7005633215105365</c:v>
                </c:pt>
                <c:pt idx="772">
                  <c:v>1.7003129563947426</c:v>
                </c:pt>
                <c:pt idx="773">
                  <c:v>1.701314416857918</c:v>
                </c:pt>
                <c:pt idx="774">
                  <c:v>1.7260171082829125</c:v>
                </c:pt>
                <c:pt idx="775">
                  <c:v>1.7337784268725223</c:v>
                </c:pt>
                <c:pt idx="776">
                  <c:v>1.7313582307531816</c:v>
                </c:pt>
                <c:pt idx="777">
                  <c:v>1.6801585645733359</c:v>
                </c:pt>
                <c:pt idx="778">
                  <c:v>1.677821823492593</c:v>
                </c:pt>
                <c:pt idx="779">
                  <c:v>1.7072397245983726</c:v>
                </c:pt>
                <c:pt idx="780">
                  <c:v>1.6950552889630712</c:v>
                </c:pt>
                <c:pt idx="781">
                  <c:v>1.6879616106822448</c:v>
                </c:pt>
                <c:pt idx="782">
                  <c:v>1.7328604214479448</c:v>
                </c:pt>
                <c:pt idx="783">
                  <c:v>1.7321093261005633</c:v>
                </c:pt>
                <c:pt idx="784">
                  <c:v>1.7743375756311286</c:v>
                </c:pt>
                <c:pt idx="785">
                  <c:v>1.7376173586480281</c:v>
                </c:pt>
                <c:pt idx="786">
                  <c:v>1.741372835384936</c:v>
                </c:pt>
                <c:pt idx="787">
                  <c:v>1.7584393907782181</c:v>
                </c:pt>
                <c:pt idx="788">
                  <c:v>1.7743793031504278</c:v>
                </c:pt>
                <c:pt idx="789">
                  <c:v>1.7916544961402046</c:v>
                </c:pt>
                <c:pt idx="790">
                  <c:v>1.789025662424369</c:v>
                </c:pt>
                <c:pt idx="791">
                  <c:v>1.7644898810765701</c:v>
                </c:pt>
                <c:pt idx="792">
                  <c:v>1.7594408512413935</c:v>
                </c:pt>
                <c:pt idx="793">
                  <c:v>1.7585228458168161</c:v>
                </c:pt>
                <c:pt idx="794">
                  <c:v>1.7555601919465886</c:v>
                </c:pt>
                <c:pt idx="795">
                  <c:v>1.7716252868766951</c:v>
                </c:pt>
                <c:pt idx="796">
                  <c:v>1.758564573336115</c:v>
                </c:pt>
                <c:pt idx="797">
                  <c:v>1.7544335489255163</c:v>
                </c:pt>
                <c:pt idx="798">
                  <c:v>1.7437095764656791</c:v>
                </c:pt>
                <c:pt idx="799">
                  <c:v>1.7755894012100981</c:v>
                </c:pt>
                <c:pt idx="800">
                  <c:v>1.7717087419152933</c:v>
                </c:pt>
                <c:pt idx="801">
                  <c:v>1.7787606926768207</c:v>
                </c:pt>
                <c:pt idx="802">
                  <c:v>1.7661589818485295</c:v>
                </c:pt>
                <c:pt idx="803">
                  <c:v>1.785645733361152</c:v>
                </c:pt>
                <c:pt idx="804">
                  <c:v>1.7604840392238683</c:v>
                </c:pt>
                <c:pt idx="805">
                  <c:v>1.7260171082829128</c:v>
                </c:pt>
                <c:pt idx="806">
                  <c:v>1.7299394950970166</c:v>
                </c:pt>
                <c:pt idx="807">
                  <c:v>1.7185061548090967</c:v>
                </c:pt>
                <c:pt idx="808">
                  <c:v>1.6869184226997707</c:v>
                </c:pt>
                <c:pt idx="809">
                  <c:v>1.6654287502607972</c:v>
                </c:pt>
                <c:pt idx="810">
                  <c:v>1.6731066138118089</c:v>
                </c:pt>
                <c:pt idx="811">
                  <c:v>1.7006885040684334</c:v>
                </c:pt>
                <c:pt idx="812">
                  <c:v>1.7069059044439809</c:v>
                </c:pt>
                <c:pt idx="813">
                  <c:v>1.6650949301064053</c:v>
                </c:pt>
                <c:pt idx="814">
                  <c:v>1.6954725641560611</c:v>
                </c:pt>
                <c:pt idx="815">
                  <c:v>1.6784894638013772</c:v>
                </c:pt>
                <c:pt idx="816">
                  <c:v>1.624577508867098</c:v>
                </c:pt>
                <c:pt idx="817">
                  <c:v>1.6479866471938247</c:v>
                </c:pt>
                <c:pt idx="818">
                  <c:v>1.6600876277905281</c:v>
                </c:pt>
                <c:pt idx="819">
                  <c:v>1.6968912998122265</c:v>
                </c:pt>
                <c:pt idx="820">
                  <c:v>1.7255998330899234</c:v>
                </c:pt>
                <c:pt idx="821">
                  <c:v>1.7080742749843525</c:v>
                </c:pt>
                <c:pt idx="822">
                  <c:v>1.7130815773002301</c:v>
                </c:pt>
                <c:pt idx="823">
                  <c:v>1.720509075735448</c:v>
                </c:pt>
                <c:pt idx="824">
                  <c:v>1.7306071354058008</c:v>
                </c:pt>
                <c:pt idx="825">
                  <c:v>1.7263509284373053</c:v>
                </c:pt>
                <c:pt idx="826">
                  <c:v>1.7382015439182148</c:v>
                </c:pt>
                <c:pt idx="827">
                  <c:v>1.765407886501148</c:v>
                </c:pt>
                <c:pt idx="828">
                  <c:v>1.7566868349676619</c:v>
                </c:pt>
                <c:pt idx="829">
                  <c:v>1.7534320884623413</c:v>
                </c:pt>
                <c:pt idx="830">
                  <c:v>1.7748383058627171</c:v>
                </c:pt>
                <c:pt idx="831">
                  <c:v>1.790277488003339</c:v>
                </c:pt>
                <c:pt idx="832">
                  <c:v>1.7964531608595877</c:v>
                </c:pt>
                <c:pt idx="833">
                  <c:v>1.7817650740663475</c:v>
                </c:pt>
                <c:pt idx="834">
                  <c:v>1.7949509701648245</c:v>
                </c:pt>
                <c:pt idx="835">
                  <c:v>1.795618610473608</c:v>
                </c:pt>
                <c:pt idx="836">
                  <c:v>1.7908199457542258</c:v>
                </c:pt>
                <c:pt idx="837">
                  <c:v>1.7303150427707079</c:v>
                </c:pt>
                <c:pt idx="838">
                  <c:v>1.732234508658461</c:v>
                </c:pt>
                <c:pt idx="839">
                  <c:v>1.7255163780513254</c:v>
                </c:pt>
                <c:pt idx="840">
                  <c:v>1.7361568954725648</c:v>
                </c:pt>
                <c:pt idx="841">
                  <c:v>1.7692885457959531</c:v>
                </c:pt>
                <c:pt idx="842">
                  <c:v>1.7714166492802008</c:v>
                </c:pt>
                <c:pt idx="843">
                  <c:v>1.7686209054871695</c:v>
                </c:pt>
                <c:pt idx="844">
                  <c:v>1.7853953682453585</c:v>
                </c:pt>
                <c:pt idx="845">
                  <c:v>1.8054663050281667</c:v>
                </c:pt>
                <c:pt idx="846">
                  <c:v>1.8404339662007101</c:v>
                </c:pt>
                <c:pt idx="847">
                  <c:v>1.842603797204257</c:v>
                </c:pt>
                <c:pt idx="848">
                  <c:v>1.8467348216148558</c:v>
                </c:pt>
                <c:pt idx="849">
                  <c:v>1.8709367828082628</c:v>
                </c:pt>
                <c:pt idx="850">
                  <c:v>1.8624660963905704</c:v>
                </c:pt>
                <c:pt idx="851">
                  <c:v>1.8597955351554358</c:v>
                </c:pt>
                <c:pt idx="852">
                  <c:v>1.8768203630294189</c:v>
                </c:pt>
                <c:pt idx="853">
                  <c:v>1.8680158564573348</c:v>
                </c:pt>
                <c:pt idx="854">
                  <c:v>1.8817024827873994</c:v>
                </c:pt>
                <c:pt idx="855">
                  <c:v>1.886751512622576</c:v>
                </c:pt>
                <c:pt idx="856">
                  <c:v>1.8896307114542055</c:v>
                </c:pt>
                <c:pt idx="857">
                  <c:v>1.8650114750678084</c:v>
                </c:pt>
                <c:pt idx="858">
                  <c:v>1.9058209889422086</c:v>
                </c:pt>
                <c:pt idx="859">
                  <c:v>1.9164615063634476</c:v>
                </c:pt>
                <c:pt idx="860">
                  <c:v>1.9226789067389951</c:v>
                </c:pt>
                <c:pt idx="861">
                  <c:v>1.9510118923430013</c:v>
                </c:pt>
                <c:pt idx="862">
                  <c:v>1.9455038597955363</c:v>
                </c:pt>
                <c:pt idx="863">
                  <c:v>1.9175464218652212</c:v>
                </c:pt>
                <c:pt idx="864">
                  <c:v>1.9455455873148351</c:v>
                </c:pt>
                <c:pt idx="865">
                  <c:v>1.8973503025245158</c:v>
                </c:pt>
                <c:pt idx="866">
                  <c:v>1.8925516378051332</c:v>
                </c:pt>
                <c:pt idx="867">
                  <c:v>1.8942624660963912</c:v>
                </c:pt>
                <c:pt idx="868">
                  <c:v>1.8757354475276451</c:v>
                </c:pt>
                <c:pt idx="869">
                  <c:v>1.8506989359482586</c:v>
                </c:pt>
                <c:pt idx="870">
                  <c:v>1.8375547673690806</c:v>
                </c:pt>
                <c:pt idx="871">
                  <c:v>1.823951596077614</c:v>
                </c:pt>
                <c:pt idx="872">
                  <c:v>1.848278739828918</c:v>
                </c:pt>
                <c:pt idx="873">
                  <c:v>1.8562486960150228</c:v>
                </c:pt>
                <c:pt idx="874">
                  <c:v>1.7896933027331532</c:v>
                </c:pt>
                <c:pt idx="875">
                  <c:v>1.7458794074692265</c:v>
                </c:pt>
                <c:pt idx="876">
                  <c:v>1.7745462132276242</c:v>
                </c:pt>
                <c:pt idx="877">
                  <c:v>1.7806384310452752</c:v>
                </c:pt>
                <c:pt idx="878">
                  <c:v>1.7647402461923647</c:v>
                </c:pt>
                <c:pt idx="879">
                  <c:v>1.7456707698727321</c:v>
                </c:pt>
                <c:pt idx="880">
                  <c:v>1.7404965574796589</c:v>
                </c:pt>
                <c:pt idx="881">
                  <c:v>1.7045274358439402</c:v>
                </c:pt>
                <c:pt idx="882">
                  <c:v>1.6488629250991038</c:v>
                </c:pt>
                <c:pt idx="883">
                  <c:v>1.6674733987064481</c:v>
                </c:pt>
                <c:pt idx="884">
                  <c:v>1.6625495514291688</c:v>
                </c:pt>
                <c:pt idx="885">
                  <c:v>1.6803254746505334</c:v>
                </c:pt>
                <c:pt idx="886">
                  <c:v>1.6942207385770927</c:v>
                </c:pt>
                <c:pt idx="887">
                  <c:v>1.697517212601712</c:v>
                </c:pt>
                <c:pt idx="888">
                  <c:v>1.7275610264969758</c:v>
                </c:pt>
                <c:pt idx="889">
                  <c:v>1.7394533694971848</c:v>
                </c:pt>
                <c:pt idx="890">
                  <c:v>1.7568537450448583</c:v>
                </c:pt>
                <c:pt idx="891">
                  <c:v>1.7461715001043201</c:v>
                </c:pt>
                <c:pt idx="892">
                  <c:v>1.7589401210098072</c:v>
                </c:pt>
                <c:pt idx="893">
                  <c:v>1.7725850198205733</c:v>
                </c:pt>
                <c:pt idx="894">
                  <c:v>1.7698310035468405</c:v>
                </c:pt>
                <c:pt idx="895">
                  <c:v>1.733987064469019</c:v>
                </c:pt>
                <c:pt idx="896">
                  <c:v>1.7391612768620923</c:v>
                </c:pt>
                <c:pt idx="897">
                  <c:v>1.7253911954934296</c:v>
                </c:pt>
                <c:pt idx="898">
                  <c:v>1.7268516586688936</c:v>
                </c:pt>
                <c:pt idx="899">
                  <c:v>1.7133319424160249</c:v>
                </c:pt>
                <c:pt idx="900">
                  <c:v>1.7238472772793672</c:v>
                </c:pt>
                <c:pt idx="901">
                  <c:v>1.7406217400375561</c:v>
                </c:pt>
                <c:pt idx="902">
                  <c:v>1.7084915501773432</c:v>
                </c:pt>
                <c:pt idx="903">
                  <c:v>1.7062382641351983</c:v>
                </c:pt>
                <c:pt idx="904">
                  <c:v>1.7041101606509503</c:v>
                </c:pt>
                <c:pt idx="905">
                  <c:v>1.6761944502399342</c:v>
                </c:pt>
                <c:pt idx="906">
                  <c:v>1.6929689129981236</c:v>
                </c:pt>
                <c:pt idx="907">
                  <c:v>1.7283538493636563</c:v>
                </c:pt>
                <c:pt idx="908">
                  <c:v>1.7652409764239527</c:v>
                </c:pt>
                <c:pt idx="909">
                  <c:v>1.781765074066348</c:v>
                </c:pt>
                <c:pt idx="910">
                  <c:v>1.7967452534946808</c:v>
                </c:pt>
                <c:pt idx="911">
                  <c:v>1.7998748174421042</c:v>
                </c:pt>
                <c:pt idx="912">
                  <c:v>1.8157730022950147</c:v>
                </c:pt>
                <c:pt idx="913">
                  <c:v>1.7976632589192585</c:v>
                </c:pt>
                <c:pt idx="914">
                  <c:v>1.8305445441268529</c:v>
                </c:pt>
                <c:pt idx="915">
                  <c:v>1.8162737325266023</c:v>
                </c:pt>
                <c:pt idx="916">
                  <c:v>1.8089296891299822</c:v>
                </c:pt>
                <c:pt idx="917">
                  <c:v>1.790819945754226</c:v>
                </c:pt>
                <c:pt idx="918">
                  <c:v>1.8030878364281253</c:v>
                </c:pt>
                <c:pt idx="919">
                  <c:v>1.799749634884207</c:v>
                </c:pt>
                <c:pt idx="920">
                  <c:v>1.7860212810348433</c:v>
                </c:pt>
                <c:pt idx="921">
                  <c:v>1.7955351554350105</c:v>
                </c:pt>
                <c:pt idx="922">
                  <c:v>1.755435009388693</c:v>
                </c:pt>
                <c:pt idx="923">
                  <c:v>1.7405800125182571</c:v>
                </c:pt>
                <c:pt idx="924">
                  <c:v>1.7381180888796175</c:v>
                </c:pt>
                <c:pt idx="925">
                  <c:v>1.7361151679532665</c:v>
                </c:pt>
                <c:pt idx="926">
                  <c:v>1.7089088253703333</c:v>
                </c:pt>
                <c:pt idx="927">
                  <c:v>1.7304819528479047</c:v>
                </c:pt>
                <c:pt idx="928">
                  <c:v>1.7419570206551236</c:v>
                </c:pt>
                <c:pt idx="929">
                  <c:v>1.7351971625286893</c:v>
                </c:pt>
                <c:pt idx="930">
                  <c:v>1.7372000834550405</c:v>
                </c:pt>
                <c:pt idx="931">
                  <c:v>1.748967243897352</c:v>
                </c:pt>
                <c:pt idx="932">
                  <c:v>1.7472981431253929</c:v>
                </c:pt>
                <c:pt idx="933">
                  <c:v>1.7363655330690608</c:v>
                </c:pt>
                <c:pt idx="934">
                  <c:v>1.7388691842269997</c:v>
                </c:pt>
                <c:pt idx="935">
                  <c:v>1.7448779470060527</c:v>
                </c:pt>
                <c:pt idx="936">
                  <c:v>1.7474650532025893</c:v>
                </c:pt>
                <c:pt idx="937">
                  <c:v>1.7838931775505968</c:v>
                </c:pt>
                <c:pt idx="938">
                  <c:v>1.7717504694345945</c:v>
                </c:pt>
                <c:pt idx="939">
                  <c:v>1.7722929271854813</c:v>
                </c:pt>
                <c:pt idx="940">
                  <c:v>1.7865637387857314</c:v>
                </c:pt>
                <c:pt idx="941">
                  <c:v>1.7800542457750907</c:v>
                </c:pt>
                <c:pt idx="942">
                  <c:v>1.8024201961193429</c:v>
                </c:pt>
                <c:pt idx="943">
                  <c:v>1.8048403922386835</c:v>
                </c:pt>
                <c:pt idx="944">
                  <c:v>1.69559774671396</c:v>
                </c:pt>
                <c:pt idx="945">
                  <c:v>1.712372209472149</c:v>
                </c:pt>
                <c:pt idx="946">
                  <c:v>1.7044022532860441</c:v>
                </c:pt>
                <c:pt idx="947">
                  <c:v>1.7169205090757376</c:v>
                </c:pt>
                <c:pt idx="948">
                  <c:v>1.7533069059044462</c:v>
                </c:pt>
                <c:pt idx="949">
                  <c:v>1.7752138535364097</c:v>
                </c:pt>
                <c:pt idx="950">
                  <c:v>1.7631546004590051</c:v>
                </c:pt>
                <c:pt idx="951">
                  <c:v>1.7442520342165679</c:v>
                </c:pt>
                <c:pt idx="952">
                  <c:v>1.7651992489046546</c:v>
                </c:pt>
                <c:pt idx="953">
                  <c:v>1.7742541205925328</c:v>
                </c:pt>
                <c:pt idx="954">
                  <c:v>1.7813060713540598</c:v>
                </c:pt>
                <c:pt idx="955">
                  <c:v>1.7316920509075753</c:v>
                </c:pt>
                <c:pt idx="956">
                  <c:v>1.7348633423742974</c:v>
                </c:pt>
                <c:pt idx="957">
                  <c:v>1.7433340287919898</c:v>
                </c:pt>
                <c:pt idx="958">
                  <c:v>1.7337366993532251</c:v>
                </c:pt>
                <c:pt idx="959">
                  <c:v>1.722804089296893</c:v>
                </c:pt>
                <c:pt idx="960">
                  <c:v>1.7400375547673708</c:v>
                </c:pt>
                <c:pt idx="961">
                  <c:v>1.747506780721888</c:v>
                </c:pt>
                <c:pt idx="962">
                  <c:v>1.7858960984769474</c:v>
                </c:pt>
                <c:pt idx="963">
                  <c:v>1.7650323388274585</c:v>
                </c:pt>
                <c:pt idx="964">
                  <c:v>1.7669935322345103</c:v>
                </c:pt>
                <c:pt idx="965">
                  <c:v>1.7983726267473414</c:v>
                </c:pt>
                <c:pt idx="966">
                  <c:v>1.7992906321719189</c:v>
                </c:pt>
                <c:pt idx="967">
                  <c:v>1.825245149175883</c:v>
                </c:pt>
                <c:pt idx="968">
                  <c:v>1.8469434592113512</c:v>
                </c:pt>
                <c:pt idx="969">
                  <c:v>1.850907573544754</c:v>
                </c:pt>
                <c:pt idx="970">
                  <c:v>1.8611308157730035</c:v>
                </c:pt>
                <c:pt idx="971">
                  <c:v>1.8499061130815786</c:v>
                </c:pt>
                <c:pt idx="972">
                  <c:v>1.8735238890048</c:v>
                </c:pt>
                <c:pt idx="973">
                  <c:v>1.8759023576048417</c:v>
                </c:pt>
                <c:pt idx="974">
                  <c:v>1.8663467556853757</c:v>
                </c:pt>
                <c:pt idx="975">
                  <c:v>1.8843730440225341</c:v>
                </c:pt>
                <c:pt idx="976">
                  <c:v>1.8963488420613406</c:v>
                </c:pt>
                <c:pt idx="977">
                  <c:v>1.8251199666179856</c:v>
                </c:pt>
                <c:pt idx="978">
                  <c:v>1.8236177759232224</c:v>
                </c:pt>
                <c:pt idx="979">
                  <c:v>1.8218234925933665</c:v>
                </c:pt>
                <c:pt idx="980">
                  <c:v>1.8161902774880043</c:v>
                </c:pt>
                <c:pt idx="981">
                  <c:v>1.8332151053619874</c:v>
                </c:pt>
                <c:pt idx="982">
                  <c:v>1.8281243480075122</c:v>
                </c:pt>
                <c:pt idx="983">
                  <c:v>1.7964948883788872</c:v>
                </c:pt>
                <c:pt idx="984">
                  <c:v>1.7727102023784698</c:v>
                </c:pt>
                <c:pt idx="985">
                  <c:v>1.7588149384519103</c:v>
                </c:pt>
                <c:pt idx="986">
                  <c:v>1.7466305028166087</c:v>
                </c:pt>
                <c:pt idx="987">
                  <c:v>1.7665345295222212</c:v>
                </c:pt>
                <c:pt idx="988">
                  <c:v>1.7853119132067612</c:v>
                </c:pt>
                <c:pt idx="989">
                  <c:v>1.7624452326309212</c:v>
                </c:pt>
                <c:pt idx="990">
                  <c:v>1.7715835593573974</c:v>
                </c:pt>
                <c:pt idx="991">
                  <c:v>1.7481744210306709</c:v>
                </c:pt>
                <c:pt idx="992">
                  <c:v>1.740830377634051</c:v>
                </c:pt>
                <c:pt idx="993">
                  <c:v>1.7344877947006065</c:v>
                </c:pt>
                <c:pt idx="994">
                  <c:v>1.7788858752347185</c:v>
                </c:pt>
                <c:pt idx="995">
                  <c:v>1.7716670143959954</c:v>
                </c:pt>
                <c:pt idx="996">
                  <c:v>1.7902357604840407</c:v>
                </c:pt>
                <c:pt idx="997">
                  <c:v>1.7880242019611949</c:v>
                </c:pt>
                <c:pt idx="998">
                  <c:v>1.8618819111203853</c:v>
                </c:pt>
                <c:pt idx="999">
                  <c:v>1.864010014604633</c:v>
                </c:pt>
                <c:pt idx="1000">
                  <c:v>1.852952221990404</c:v>
                </c:pt>
                <c:pt idx="1001">
                  <c:v>1.8133110786563751</c:v>
                </c:pt>
                <c:pt idx="1002">
                  <c:v>1.8660546630502828</c:v>
                </c:pt>
                <c:pt idx="1003">
                  <c:v>1.8457333611516806</c:v>
                </c:pt>
                <c:pt idx="1004">
                  <c:v>1.7316503233882756</c:v>
                </c:pt>
                <c:pt idx="1005">
                  <c:v>1.7319424160233685</c:v>
                </c:pt>
                <c:pt idx="1006">
                  <c:v>1.7146672230335918</c:v>
                </c:pt>
                <c:pt idx="1007">
                  <c:v>1.7207177133319433</c:v>
                </c:pt>
                <c:pt idx="1008">
                  <c:v>1.7245566451074492</c:v>
                </c:pt>
                <c:pt idx="1009">
                  <c:v>1.7351137074900904</c:v>
                </c:pt>
                <c:pt idx="1010">
                  <c:v>1.7097851032756108</c:v>
                </c:pt>
                <c:pt idx="1011">
                  <c:v>1.7200918005424586</c:v>
                </c:pt>
                <c:pt idx="1012">
                  <c:v>1.716837054037138</c:v>
                </c:pt>
                <c:pt idx="1013">
                  <c:v>1.7068224494053834</c:v>
                </c:pt>
                <c:pt idx="1014">
                  <c:v>1.7130815773002301</c:v>
                </c:pt>
                <c:pt idx="1015">
                  <c:v>1.7042770707281458</c:v>
                </c:pt>
                <c:pt idx="1016">
                  <c:v>1.7093261005633222</c:v>
                </c:pt>
                <c:pt idx="1017">
                  <c:v>1.730732317963698</c:v>
                </c:pt>
                <c:pt idx="1018">
                  <c:v>1.7364072605883591</c:v>
                </c:pt>
                <c:pt idx="1019">
                  <c:v>1.7033590653035686</c:v>
                </c:pt>
                <c:pt idx="1020">
                  <c:v>1.6857917796786992</c:v>
                </c:pt>
                <c:pt idx="1021">
                  <c:v>1.6603379929063227</c:v>
                </c:pt>
                <c:pt idx="1022">
                  <c:v>1.6679741289380356</c:v>
                </c:pt>
                <c:pt idx="1023">
                  <c:v>1.6379303150427715</c:v>
                </c:pt>
                <c:pt idx="1024">
                  <c:v>1.656540788650116</c:v>
                </c:pt>
                <c:pt idx="1025">
                  <c:v>1.6210723972459851</c:v>
                </c:pt>
                <c:pt idx="1026">
                  <c:v>1.6215731274775727</c:v>
                </c:pt>
                <c:pt idx="1027">
                  <c:v>1.6733569789276037</c:v>
                </c:pt>
                <c:pt idx="1028">
                  <c:v>1.6561235134571259</c:v>
                </c:pt>
                <c:pt idx="1029">
                  <c:v>1.6411850615480921</c:v>
                </c:pt>
                <c:pt idx="1030">
                  <c:v>1.5863133736699364</c:v>
                </c:pt>
                <c:pt idx="1031">
                  <c:v>1.5875234717296065</c:v>
                </c:pt>
                <c:pt idx="1032">
                  <c:v>1.5992906321719182</c:v>
                </c:pt>
                <c:pt idx="1033">
                  <c:v>1.5805132484873783</c:v>
                </c:pt>
                <c:pt idx="1034">
                  <c:v>1.6213644898810775</c:v>
                </c:pt>
                <c:pt idx="1035">
                  <c:v>1.6219486751512633</c:v>
                </c:pt>
                <c:pt idx="1036">
                  <c:v>1.6003338201543928</c:v>
                </c:pt>
                <c:pt idx="1037">
                  <c:v>1.6182766534529534</c:v>
                </c:pt>
                <c:pt idx="1038">
                  <c:v>1.6141873565616536</c:v>
                </c:pt>
                <c:pt idx="1039">
                  <c:v>1.6326309200918017</c:v>
                </c:pt>
                <c:pt idx="1040">
                  <c:v>1.6402253286042157</c:v>
                </c:pt>
                <c:pt idx="1041">
                  <c:v>1.648904652618403</c:v>
                </c:pt>
                <c:pt idx="1042">
                  <c:v>1.6272480701022336</c:v>
                </c:pt>
                <c:pt idx="1043">
                  <c:v>1.6297934487794712</c:v>
                </c:pt>
                <c:pt idx="1044">
                  <c:v>1.5806384310452757</c:v>
                </c:pt>
                <c:pt idx="1045">
                  <c:v>1.5664093469643243</c:v>
                </c:pt>
                <c:pt idx="1046">
                  <c:v>1.5947840600876293</c:v>
                </c:pt>
                <c:pt idx="1047">
                  <c:v>1.5945754224911344</c:v>
                </c:pt>
                <c:pt idx="1048">
                  <c:v>1.5568954725641577</c:v>
                </c:pt>
                <c:pt idx="1049">
                  <c:v>1.501523054454414</c:v>
                </c:pt>
                <c:pt idx="1050">
                  <c:v>1.4932610056332165</c:v>
                </c:pt>
                <c:pt idx="1051">
                  <c:v>1.4794909242645538</c:v>
                </c:pt>
                <c:pt idx="1052">
                  <c:v>1.6294179011057808</c:v>
                </c:pt>
                <c:pt idx="1053">
                  <c:v>1.5912789484665153</c:v>
                </c:pt>
                <c:pt idx="1054">
                  <c:v>1.6209054871687896</c:v>
                </c:pt>
                <c:pt idx="1055">
                  <c:v>1.618234925933655</c:v>
                </c:pt>
                <c:pt idx="1056">
                  <c:v>1.6095556019194677</c:v>
                </c:pt>
                <c:pt idx="1057">
                  <c:v>1.550636344669311</c:v>
                </c:pt>
                <c:pt idx="1058">
                  <c:v>1.5346547047778025</c:v>
                </c:pt>
                <c:pt idx="1059">
                  <c:v>1.4985186730648878</c:v>
                </c:pt>
                <c:pt idx="1060">
                  <c:v>1.5306488629251007</c:v>
                </c:pt>
                <c:pt idx="1061">
                  <c:v>1.5622365950344266</c:v>
                </c:pt>
                <c:pt idx="1062">
                  <c:v>1.6161068224494068</c:v>
                </c:pt>
                <c:pt idx="1063">
                  <c:v>1.6350928437304417</c:v>
                </c:pt>
                <c:pt idx="1064">
                  <c:v>1.6322136448988123</c:v>
                </c:pt>
                <c:pt idx="1065">
                  <c:v>1.6442311704569179</c:v>
                </c:pt>
                <c:pt idx="1066">
                  <c:v>1.6493219278113931</c:v>
                </c:pt>
                <c:pt idx="1067">
                  <c:v>1.7750886709785119</c:v>
                </c:pt>
                <c:pt idx="1068">
                  <c:v>1.8163154600459019</c:v>
                </c:pt>
                <c:pt idx="1069">
                  <c:v>1.8200292092635111</c:v>
                </c:pt>
                <c:pt idx="1070">
                  <c:v>1.8080951387440034</c:v>
                </c:pt>
                <c:pt idx="1071">
                  <c:v>1.8082620488211996</c:v>
                </c:pt>
                <c:pt idx="1072">
                  <c:v>1.8283747131233068</c:v>
                </c:pt>
                <c:pt idx="1073">
                  <c:v>1.8307114542040497</c:v>
                </c:pt>
                <c:pt idx="1074">
                  <c:v>1.8746505320258731</c:v>
                </c:pt>
                <c:pt idx="1075">
                  <c:v>1.8741498017942853</c:v>
                </c:pt>
                <c:pt idx="1076">
                  <c:v>1.8900062591278968</c:v>
                </c:pt>
                <c:pt idx="1077">
                  <c:v>1.8907990819945772</c:v>
                </c:pt>
                <c:pt idx="1078">
                  <c:v>1.8955560191946605</c:v>
                </c:pt>
                <c:pt idx="1079">
                  <c:v>1.9147506780721906</c:v>
                </c:pt>
                <c:pt idx="1080">
                  <c:v>1.9118297517212621</c:v>
                </c:pt>
                <c:pt idx="1081">
                  <c:v>1.8884623409138344</c:v>
                </c:pt>
                <c:pt idx="1082">
                  <c:v>1.8980179428333004</c:v>
                </c:pt>
                <c:pt idx="1083">
                  <c:v>1.8784894638013787</c:v>
                </c:pt>
                <c:pt idx="1084">
                  <c:v>1.9223450865846041</c:v>
                </c:pt>
                <c:pt idx="1085">
                  <c:v>1.9084498226580446</c:v>
                </c:pt>
                <c:pt idx="1086">
                  <c:v>1.9139578552055097</c:v>
                </c:pt>
                <c:pt idx="1087">
                  <c:v>1.9209680784477376</c:v>
                </c:pt>
                <c:pt idx="1088">
                  <c:v>1.927686209054873</c:v>
                </c:pt>
                <c:pt idx="1089">
                  <c:v>1.9318589609847705</c:v>
                </c:pt>
                <c:pt idx="1090">
                  <c:v>1.9356144377216784</c:v>
                </c:pt>
                <c:pt idx="1091">
                  <c:v>1.9515126225745889</c:v>
                </c:pt>
                <c:pt idx="1092">
                  <c:v>1.9627790527853128</c:v>
                </c:pt>
                <c:pt idx="1093">
                  <c:v>1.9726684748591705</c:v>
                </c:pt>
                <c:pt idx="1094">
                  <c:v>1.9650323388274578</c:v>
                </c:pt>
                <c:pt idx="1095">
                  <c:v>1.9721260171082839</c:v>
                </c:pt>
                <c:pt idx="1096">
                  <c:v>1.998205716670145</c:v>
                </c:pt>
                <c:pt idx="1097">
                  <c:v>1.9818902566242447</c:v>
                </c:pt>
                <c:pt idx="1098">
                  <c:v>1.9993323596912174</c:v>
                </c:pt>
                <c:pt idx="1099">
                  <c:v>1.99474233256833</c:v>
                </c:pt>
                <c:pt idx="1100">
                  <c:v>2.003922386814105</c:v>
                </c:pt>
                <c:pt idx="1101">
                  <c:v>1.992071771333195</c:v>
                </c:pt>
                <c:pt idx="1102">
                  <c:v>2.0279574379303158</c:v>
                </c:pt>
                <c:pt idx="1103">
                  <c:v>2.045107448362196</c:v>
                </c:pt>
                <c:pt idx="1104">
                  <c:v>2.0541205925307748</c:v>
                </c:pt>
                <c:pt idx="1105">
                  <c:v>2.0757354475276455</c:v>
                </c:pt>
                <c:pt idx="1106">
                  <c:v>2.0694345921134998</c:v>
                </c:pt>
                <c:pt idx="1107">
                  <c:v>2.0755685374504496</c:v>
                </c:pt>
                <c:pt idx="1108">
                  <c:v>2.0532025871061976</c:v>
                </c:pt>
                <c:pt idx="1109">
                  <c:v>2.0491967452534956</c:v>
                </c:pt>
                <c:pt idx="1110">
                  <c:v>2.0815355727102034</c:v>
                </c:pt>
                <c:pt idx="1111">
                  <c:v>2.0768620905487181</c:v>
                </c:pt>
                <c:pt idx="1112">
                  <c:v>2.0722720634258303</c:v>
                </c:pt>
                <c:pt idx="1113">
                  <c:v>2.1010223242228259</c:v>
                </c:pt>
                <c:pt idx="1114">
                  <c:v>2.0925516378051334</c:v>
                </c:pt>
                <c:pt idx="1115">
                  <c:v>2.1002295013561452</c:v>
                </c:pt>
                <c:pt idx="1116">
                  <c:v>2.0989776757771756</c:v>
                </c:pt>
                <c:pt idx="1117">
                  <c:v>2.1106613811808894</c:v>
                </c:pt>
                <c:pt idx="1118">
                  <c:v>2.1098268307949097</c:v>
                </c:pt>
                <c:pt idx="1119">
                  <c:v>2.1351971625286881</c:v>
                </c:pt>
                <c:pt idx="1120">
                  <c:v>2.128312121844357</c:v>
                </c:pt>
                <c:pt idx="1121">
                  <c:v>2.128353849363656</c:v>
                </c:pt>
                <c:pt idx="1122">
                  <c:v>2.1083663676194457</c:v>
                </c:pt>
                <c:pt idx="1123">
                  <c:v>2.1108700187773843</c:v>
                </c:pt>
                <c:pt idx="1124">
                  <c:v>2.1317755059461718</c:v>
                </c:pt>
                <c:pt idx="1125">
                  <c:v>2.1435843939077825</c:v>
                </c:pt>
                <c:pt idx="1126">
                  <c:v>2.1385353640726059</c:v>
                </c:pt>
                <c:pt idx="1127">
                  <c:v>2.1388274567076988</c:v>
                </c:pt>
                <c:pt idx="1128">
                  <c:v>2.1416232005007299</c:v>
                </c:pt>
                <c:pt idx="1129">
                  <c:v>2.2261631546004588</c:v>
                </c:pt>
                <c:pt idx="1130">
                  <c:v>2.1869810139787189</c:v>
                </c:pt>
                <c:pt idx="1131">
                  <c:v>2.23509284373044</c:v>
                </c:pt>
                <c:pt idx="1132">
                  <c:v>2.2021698310035465</c:v>
                </c:pt>
                <c:pt idx="1133">
                  <c:v>2.1904443980805341</c:v>
                </c:pt>
                <c:pt idx="1134">
                  <c:v>2.1733361151679533</c:v>
                </c:pt>
                <c:pt idx="1135">
                  <c:v>2.1783434174838305</c:v>
                </c:pt>
                <c:pt idx="1136">
                  <c:v>2.177216774462758</c:v>
                </c:pt>
                <c:pt idx="1137">
                  <c:v>2.2083872313790947</c:v>
                </c:pt>
                <c:pt idx="1138">
                  <c:v>2.1722511996661802</c:v>
                </c:pt>
                <c:pt idx="1139">
                  <c:v>2.1801794283329858</c:v>
                </c:pt>
                <c:pt idx="1140">
                  <c:v>2.1705403713749218</c:v>
                </c:pt>
                <c:pt idx="1141">
                  <c:v>2.1577300229501359</c:v>
                </c:pt>
                <c:pt idx="1142">
                  <c:v>2.127143751303985</c:v>
                </c:pt>
                <c:pt idx="1143">
                  <c:v>2.1102441059878991</c:v>
                </c:pt>
                <c:pt idx="1144">
                  <c:v>2.1040684331316504</c:v>
                </c:pt>
                <c:pt idx="1145">
                  <c:v>2.1165449614020448</c:v>
                </c:pt>
                <c:pt idx="1146">
                  <c:v>2.1041518881702483</c:v>
                </c:pt>
                <c:pt idx="1147">
                  <c:v>2.0948883788858752</c:v>
                </c:pt>
                <c:pt idx="1148">
                  <c:v>2.1145003129563946</c:v>
                </c:pt>
                <c:pt idx="1149">
                  <c:v>2.1266012935530982</c:v>
                </c:pt>
                <c:pt idx="1150">
                  <c:v>2.1142916753598997</c:v>
                </c:pt>
                <c:pt idx="1151">
                  <c:v>2.1077404548299601</c:v>
                </c:pt>
                <c:pt idx="1152">
                  <c:v>2.1087001877738367</c:v>
                </c:pt>
                <c:pt idx="1153">
                  <c:v>2.1196327978301688</c:v>
                </c:pt>
                <c:pt idx="1154">
                  <c:v>2.0655122052993948</c:v>
                </c:pt>
                <c:pt idx="1155">
                  <c:v>2.078865011475068</c:v>
                </c:pt>
                <c:pt idx="1156">
                  <c:v>2.0797412893803466</c:v>
                </c:pt>
                <c:pt idx="1157">
                  <c:v>2.0879198831629457</c:v>
                </c:pt>
                <c:pt idx="1158">
                  <c:v>2.0905904443980803</c:v>
                </c:pt>
                <c:pt idx="1159">
                  <c:v>2.1276862090548714</c:v>
                </c:pt>
                <c:pt idx="1160">
                  <c:v>2.1504694345921136</c:v>
                </c:pt>
                <c:pt idx="1161">
                  <c:v>2.1240976423951596</c:v>
                </c:pt>
                <c:pt idx="1162">
                  <c:v>2.1281869392864592</c:v>
                </c:pt>
                <c:pt idx="1163">
                  <c:v>2.1216357187565196</c:v>
                </c:pt>
                <c:pt idx="1164">
                  <c:v>2.1611934070519503</c:v>
                </c:pt>
                <c:pt idx="1165">
                  <c:v>2.1466722303359065</c:v>
                </c:pt>
                <c:pt idx="1166">
                  <c:v>2.1248904652618399</c:v>
                </c:pt>
                <c:pt idx="1167">
                  <c:v>2.1248904652618399</c:v>
                </c:pt>
                <c:pt idx="1168">
                  <c:v>2.1157104110160647</c:v>
                </c:pt>
                <c:pt idx="1169">
                  <c:v>2.1341957020655116</c:v>
                </c:pt>
                <c:pt idx="1170">
                  <c:v>2.1472981431253908</c:v>
                </c:pt>
                <c:pt idx="1171">
                  <c:v>2.1612768620905483</c:v>
                </c:pt>
                <c:pt idx="1172">
                  <c:v>2.1686209054871686</c:v>
                </c:pt>
                <c:pt idx="1173">
                  <c:v>2.1520550803254741</c:v>
                </c:pt>
                <c:pt idx="1174">
                  <c:v>2.1587732109326097</c:v>
                </c:pt>
                <c:pt idx="1175">
                  <c:v>2.2055914875860627</c:v>
                </c:pt>
                <c:pt idx="1176">
                  <c:v>2.1864385562278321</c:v>
                </c:pt>
                <c:pt idx="1177">
                  <c:v>2.1900688504068433</c:v>
                </c:pt>
                <c:pt idx="1178">
                  <c:v>2.1798456081785935</c:v>
                </c:pt>
                <c:pt idx="1179">
                  <c:v>2.1321093261005628</c:v>
                </c:pt>
                <c:pt idx="1180">
                  <c:v>2.1450031295639467</c:v>
                </c:pt>
                <c:pt idx="1181">
                  <c:v>2.1430002086375963</c:v>
                </c:pt>
                <c:pt idx="1182">
                  <c:v>2.1424160233674101</c:v>
                </c:pt>
                <c:pt idx="1183">
                  <c:v>2.1348216148549963</c:v>
                </c:pt>
                <c:pt idx="1184">
                  <c:v>2.1430419361568953</c:v>
                </c:pt>
                <c:pt idx="1185">
                  <c:v>2.156436469851867</c:v>
                </c:pt>
                <c:pt idx="1186">
                  <c:v>2.1600667640308782</c:v>
                </c:pt>
                <c:pt idx="1187">
                  <c:v>2.1720842895889838</c:v>
                </c:pt>
                <c:pt idx="1188">
                  <c:v>2.1721677446275813</c:v>
                </c:pt>
                <c:pt idx="1189">
                  <c:v>2.1848946380137697</c:v>
                </c:pt>
                <c:pt idx="1190">
                  <c:v>2.2179011057792613</c:v>
                </c:pt>
                <c:pt idx="1191">
                  <c:v>2.2619236386396828</c:v>
                </c:pt>
                <c:pt idx="1192">
                  <c:v>2.2597538076361356</c:v>
                </c:pt>
                <c:pt idx="1193">
                  <c:v>2.19386605466305</c:v>
                </c:pt>
                <c:pt idx="1194">
                  <c:v>2.1606926768203625</c:v>
                </c:pt>
                <c:pt idx="1195">
                  <c:v>2.1574379303150422</c:v>
                </c:pt>
                <c:pt idx="1196">
                  <c:v>2.1461715001043187</c:v>
                </c:pt>
                <c:pt idx="1197">
                  <c:v>2.1162528687669515</c:v>
                </c:pt>
                <c:pt idx="1198">
                  <c:v>2.0742749843521797</c:v>
                </c:pt>
                <c:pt idx="1199">
                  <c:v>2.0731066138118082</c:v>
                </c:pt>
                <c:pt idx="1200">
                  <c:v>2.1114124765282694</c:v>
                </c:pt>
                <c:pt idx="1201">
                  <c:v>2.1225954517003953</c:v>
                </c:pt>
                <c:pt idx="1202">
                  <c:v>2.1328604214479436</c:v>
                </c:pt>
                <c:pt idx="1203">
                  <c:v>2.1001043187982464</c:v>
                </c:pt>
                <c:pt idx="1204">
                  <c:v>2.1288545795952416</c:v>
                </c:pt>
                <c:pt idx="1205">
                  <c:v>2.1176298769038167</c:v>
                </c:pt>
                <c:pt idx="1206">
                  <c:v>2.0604631754642173</c:v>
                </c:pt>
                <c:pt idx="1207">
                  <c:v>2.0326309200917994</c:v>
                </c:pt>
                <c:pt idx="1208">
                  <c:v>1.9963697058209879</c:v>
                </c:pt>
                <c:pt idx="1209">
                  <c:v>1.970039641143333</c:v>
                </c:pt>
                <c:pt idx="1210">
                  <c:v>1.9778844147715406</c:v>
                </c:pt>
                <c:pt idx="1211">
                  <c:v>1.9903609430419349</c:v>
                </c:pt>
                <c:pt idx="1212">
                  <c:v>2.0258710619653648</c:v>
                </c:pt>
                <c:pt idx="1213">
                  <c:v>2.0530356770289995</c:v>
                </c:pt>
                <c:pt idx="1214">
                  <c:v>2.0310452743584384</c:v>
                </c:pt>
                <c:pt idx="1215">
                  <c:v>2.044648445649905</c:v>
                </c:pt>
                <c:pt idx="1216">
                  <c:v>1.9934487794700595</c:v>
                </c:pt>
                <c:pt idx="1217">
                  <c:v>2.0064260379720413</c:v>
                </c:pt>
                <c:pt idx="1218">
                  <c:v>2.0161068224494043</c:v>
                </c:pt>
                <c:pt idx="1219">
                  <c:v>2.0489046526184005</c:v>
                </c:pt>
                <c:pt idx="1220">
                  <c:v>2.053077404548298</c:v>
                </c:pt>
                <c:pt idx="1221">
                  <c:v>1.9969121635718741</c:v>
                </c:pt>
                <c:pt idx="1222">
                  <c:v>2.0174003755476719</c:v>
                </c:pt>
                <c:pt idx="1223">
                  <c:v>1.9967869810139767</c:v>
                </c:pt>
                <c:pt idx="1224">
                  <c:v>1.981306071354056</c:v>
                </c:pt>
                <c:pt idx="1225">
                  <c:v>1.9878572918839956</c:v>
                </c:pt>
                <c:pt idx="1226">
                  <c:v>1.9867306488629233</c:v>
                </c:pt>
                <c:pt idx="1227">
                  <c:v>2.0195284790319197</c:v>
                </c:pt>
                <c:pt idx="1228">
                  <c:v>2.0276236177759213</c:v>
                </c:pt>
                <c:pt idx="1229">
                  <c:v>2.0234508658460233</c:v>
                </c:pt>
                <c:pt idx="1230">
                  <c:v>2.0315042770707263</c:v>
                </c:pt>
                <c:pt idx="1231">
                  <c:v>2.0363863968287061</c:v>
                </c:pt>
                <c:pt idx="1232">
                  <c:v>2.0350928437304381</c:v>
                </c:pt>
                <c:pt idx="1233">
                  <c:v>2.0325474650532005</c:v>
                </c:pt>
                <c:pt idx="1234">
                  <c:v>2.0341331107865614</c:v>
                </c:pt>
                <c:pt idx="1235">
                  <c:v>2.0180262883371558</c:v>
                </c:pt>
                <c:pt idx="1236">
                  <c:v>1.9734612977258477</c:v>
                </c:pt>
                <c:pt idx="1237">
                  <c:v>1.9730857500521568</c:v>
                </c:pt>
                <c:pt idx="1238">
                  <c:v>1.9967035259753778</c:v>
                </c:pt>
                <c:pt idx="1239">
                  <c:v>2.017400375547671</c:v>
                </c:pt>
                <c:pt idx="1240">
                  <c:v>1.9950344252034189</c:v>
                </c:pt>
                <c:pt idx="1241">
                  <c:v>1.9999165449613991</c:v>
                </c:pt>
                <c:pt idx="1242">
                  <c:v>1.991153765908614</c:v>
                </c:pt>
                <c:pt idx="1243">
                  <c:v>1.9639891508449796</c:v>
                </c:pt>
                <c:pt idx="1244">
                  <c:v>1.9168787815564337</c:v>
                </c:pt>
                <c:pt idx="1245">
                  <c:v>1.9055288963071118</c:v>
                </c:pt>
                <c:pt idx="1246">
                  <c:v>1.9188817024827844</c:v>
                </c:pt>
                <c:pt idx="1247">
                  <c:v>1.8965992071771303</c:v>
                </c:pt>
                <c:pt idx="1248">
                  <c:v>1.8531608595868947</c:v>
                </c:pt>
                <c:pt idx="1249">
                  <c:v>1.8824953056540759</c:v>
                </c:pt>
                <c:pt idx="1250">
                  <c:v>1.9442937617358618</c:v>
                </c:pt>
                <c:pt idx="1251">
                  <c:v>1.962361777592319</c:v>
                </c:pt>
                <c:pt idx="1252">
                  <c:v>2.005341122470266</c:v>
                </c:pt>
                <c:pt idx="1253">
                  <c:v>2.0097225119966589</c:v>
                </c:pt>
                <c:pt idx="1254">
                  <c:v>1.8088879616106797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C6-4E64-9EAC-D6BC5F801578}"/>
            </c:ext>
          </c:extLst>
        </c:ser>
        <c:ser>
          <c:idx val="3"/>
          <c:order val="3"/>
          <c:tx>
            <c:strRef>
              <c:f>Sheet1!$R$1</c:f>
              <c:strCache>
                <c:ptCount val="1"/>
                <c:pt idx="0">
                  <c:v>JPM Cumulative Return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Sheet1!$A$2:$A$1256</c:f>
              <c:numCache>
                <c:formatCode>m/d/yyyy\ h:mm:ss</c:formatCode>
                <c:ptCount val="1255"/>
                <c:pt idx="0">
                  <c:v>44228.666666666599</c:v>
                </c:pt>
                <c:pt idx="1">
                  <c:v>44229.666666666599</c:v>
                </c:pt>
                <c:pt idx="2">
                  <c:v>44230.666666666599</c:v>
                </c:pt>
                <c:pt idx="3">
                  <c:v>44231.666666666599</c:v>
                </c:pt>
                <c:pt idx="4">
                  <c:v>44232.666666666599</c:v>
                </c:pt>
                <c:pt idx="5">
                  <c:v>44235.666666666599</c:v>
                </c:pt>
                <c:pt idx="6">
                  <c:v>44236.666666666599</c:v>
                </c:pt>
                <c:pt idx="7">
                  <c:v>44237.666666666599</c:v>
                </c:pt>
                <c:pt idx="8">
                  <c:v>44238.666666666599</c:v>
                </c:pt>
                <c:pt idx="9">
                  <c:v>44239.666666666599</c:v>
                </c:pt>
                <c:pt idx="10">
                  <c:v>44243.666666666599</c:v>
                </c:pt>
                <c:pt idx="11">
                  <c:v>44244.666666666599</c:v>
                </c:pt>
                <c:pt idx="12">
                  <c:v>44245.666666666599</c:v>
                </c:pt>
                <c:pt idx="13">
                  <c:v>44246.666666666599</c:v>
                </c:pt>
                <c:pt idx="14">
                  <c:v>44249.666666666599</c:v>
                </c:pt>
                <c:pt idx="15">
                  <c:v>44250.666666666599</c:v>
                </c:pt>
                <c:pt idx="16">
                  <c:v>44251.666666666599</c:v>
                </c:pt>
                <c:pt idx="17">
                  <c:v>44252.666666666599</c:v>
                </c:pt>
                <c:pt idx="18">
                  <c:v>44253.666666666599</c:v>
                </c:pt>
                <c:pt idx="19">
                  <c:v>44256.666666666599</c:v>
                </c:pt>
                <c:pt idx="20">
                  <c:v>44257.666666666599</c:v>
                </c:pt>
                <c:pt idx="21">
                  <c:v>44258.666666666599</c:v>
                </c:pt>
                <c:pt idx="22">
                  <c:v>44259.666666666599</c:v>
                </c:pt>
                <c:pt idx="23">
                  <c:v>44260.666666666599</c:v>
                </c:pt>
                <c:pt idx="24">
                  <c:v>44263.666666666599</c:v>
                </c:pt>
                <c:pt idx="25">
                  <c:v>44264.666666666599</c:v>
                </c:pt>
                <c:pt idx="26">
                  <c:v>44265.666666666599</c:v>
                </c:pt>
                <c:pt idx="27">
                  <c:v>44266.666666666599</c:v>
                </c:pt>
                <c:pt idx="28">
                  <c:v>44267.666666666599</c:v>
                </c:pt>
                <c:pt idx="29">
                  <c:v>44270.666666666599</c:v>
                </c:pt>
                <c:pt idx="30">
                  <c:v>44271.666666666599</c:v>
                </c:pt>
                <c:pt idx="31">
                  <c:v>44272.666666666599</c:v>
                </c:pt>
                <c:pt idx="32">
                  <c:v>44273.666666666599</c:v>
                </c:pt>
                <c:pt idx="33">
                  <c:v>44274.666666666599</c:v>
                </c:pt>
                <c:pt idx="34">
                  <c:v>44277.666666666599</c:v>
                </c:pt>
                <c:pt idx="35">
                  <c:v>44278.666666666599</c:v>
                </c:pt>
                <c:pt idx="36">
                  <c:v>44279.666666666599</c:v>
                </c:pt>
                <c:pt idx="37">
                  <c:v>44280.666666666599</c:v>
                </c:pt>
                <c:pt idx="38">
                  <c:v>44281.666666666599</c:v>
                </c:pt>
                <c:pt idx="39">
                  <c:v>44284.666666666599</c:v>
                </c:pt>
                <c:pt idx="40">
                  <c:v>44285.666666666599</c:v>
                </c:pt>
                <c:pt idx="41">
                  <c:v>44286.666666666599</c:v>
                </c:pt>
                <c:pt idx="42">
                  <c:v>44287.666666666599</c:v>
                </c:pt>
                <c:pt idx="43">
                  <c:v>44291.666666666599</c:v>
                </c:pt>
                <c:pt idx="44">
                  <c:v>44292.666666666599</c:v>
                </c:pt>
                <c:pt idx="45">
                  <c:v>44293.666666666599</c:v>
                </c:pt>
                <c:pt idx="46">
                  <c:v>44294.666666666599</c:v>
                </c:pt>
                <c:pt idx="47">
                  <c:v>44295.666666666599</c:v>
                </c:pt>
                <c:pt idx="48">
                  <c:v>44298.666666666599</c:v>
                </c:pt>
                <c:pt idx="49">
                  <c:v>44299.666666666599</c:v>
                </c:pt>
                <c:pt idx="50">
                  <c:v>44300.666666666599</c:v>
                </c:pt>
                <c:pt idx="51">
                  <c:v>44301.666666666599</c:v>
                </c:pt>
                <c:pt idx="52">
                  <c:v>44302.666666666599</c:v>
                </c:pt>
                <c:pt idx="53">
                  <c:v>44305.666666666599</c:v>
                </c:pt>
                <c:pt idx="54">
                  <c:v>44306.666666666599</c:v>
                </c:pt>
                <c:pt idx="55">
                  <c:v>44307.666666666599</c:v>
                </c:pt>
                <c:pt idx="56">
                  <c:v>44308.666666666599</c:v>
                </c:pt>
                <c:pt idx="57">
                  <c:v>44309.666666666599</c:v>
                </c:pt>
                <c:pt idx="58">
                  <c:v>44312.666666666599</c:v>
                </c:pt>
                <c:pt idx="59">
                  <c:v>44313.666666666599</c:v>
                </c:pt>
                <c:pt idx="60">
                  <c:v>44314.666666666599</c:v>
                </c:pt>
                <c:pt idx="61">
                  <c:v>44315.666666666599</c:v>
                </c:pt>
                <c:pt idx="62">
                  <c:v>44316.666666666599</c:v>
                </c:pt>
                <c:pt idx="63">
                  <c:v>44319.666666666599</c:v>
                </c:pt>
                <c:pt idx="64">
                  <c:v>44320.666666666599</c:v>
                </c:pt>
                <c:pt idx="65">
                  <c:v>44321.666666666599</c:v>
                </c:pt>
                <c:pt idx="66">
                  <c:v>44322.666666666599</c:v>
                </c:pt>
                <c:pt idx="67">
                  <c:v>44323.666666666599</c:v>
                </c:pt>
                <c:pt idx="68">
                  <c:v>44326.666666666599</c:v>
                </c:pt>
                <c:pt idx="69">
                  <c:v>44327.666666666599</c:v>
                </c:pt>
                <c:pt idx="70">
                  <c:v>44328.666666666599</c:v>
                </c:pt>
                <c:pt idx="71">
                  <c:v>44329.666666666599</c:v>
                </c:pt>
                <c:pt idx="72">
                  <c:v>44330.666666666599</c:v>
                </c:pt>
                <c:pt idx="73">
                  <c:v>44333.666666666599</c:v>
                </c:pt>
                <c:pt idx="74">
                  <c:v>44334.666666666599</c:v>
                </c:pt>
                <c:pt idx="75">
                  <c:v>44335.666666666599</c:v>
                </c:pt>
                <c:pt idx="76">
                  <c:v>44336.666666666599</c:v>
                </c:pt>
                <c:pt idx="77">
                  <c:v>44337.666666666599</c:v>
                </c:pt>
                <c:pt idx="78">
                  <c:v>44340.666666666599</c:v>
                </c:pt>
                <c:pt idx="79">
                  <c:v>44341.666666666599</c:v>
                </c:pt>
                <c:pt idx="80">
                  <c:v>44342.666666666599</c:v>
                </c:pt>
                <c:pt idx="81">
                  <c:v>44343.666666666599</c:v>
                </c:pt>
                <c:pt idx="82">
                  <c:v>44344.666666666599</c:v>
                </c:pt>
                <c:pt idx="83">
                  <c:v>44348.666666666599</c:v>
                </c:pt>
                <c:pt idx="84">
                  <c:v>44349.666666666599</c:v>
                </c:pt>
                <c:pt idx="85">
                  <c:v>44350.666666666599</c:v>
                </c:pt>
                <c:pt idx="86">
                  <c:v>44351.666666666599</c:v>
                </c:pt>
                <c:pt idx="87">
                  <c:v>44354.666666666599</c:v>
                </c:pt>
                <c:pt idx="88">
                  <c:v>44355.666666666599</c:v>
                </c:pt>
                <c:pt idx="89">
                  <c:v>44356.666666666599</c:v>
                </c:pt>
                <c:pt idx="90">
                  <c:v>44357.666666666599</c:v>
                </c:pt>
                <c:pt idx="91">
                  <c:v>44358.666666666599</c:v>
                </c:pt>
                <c:pt idx="92">
                  <c:v>44361.666666666599</c:v>
                </c:pt>
                <c:pt idx="93">
                  <c:v>44362.666666666599</c:v>
                </c:pt>
                <c:pt idx="94">
                  <c:v>44363.666666666599</c:v>
                </c:pt>
                <c:pt idx="95">
                  <c:v>44364.666666666599</c:v>
                </c:pt>
                <c:pt idx="96">
                  <c:v>44365.666666666599</c:v>
                </c:pt>
                <c:pt idx="97">
                  <c:v>44368.666666666599</c:v>
                </c:pt>
                <c:pt idx="98">
                  <c:v>44369.666666666599</c:v>
                </c:pt>
                <c:pt idx="99">
                  <c:v>44370.666666666599</c:v>
                </c:pt>
                <c:pt idx="100">
                  <c:v>44371.666666666599</c:v>
                </c:pt>
                <c:pt idx="101">
                  <c:v>44372.666666666599</c:v>
                </c:pt>
                <c:pt idx="102">
                  <c:v>44375.666666666599</c:v>
                </c:pt>
                <c:pt idx="103">
                  <c:v>44376.666666666599</c:v>
                </c:pt>
                <c:pt idx="104">
                  <c:v>44377.666666666599</c:v>
                </c:pt>
                <c:pt idx="105">
                  <c:v>44378.666666666599</c:v>
                </c:pt>
                <c:pt idx="106">
                  <c:v>44379.666666666599</c:v>
                </c:pt>
                <c:pt idx="107">
                  <c:v>44383.666666666599</c:v>
                </c:pt>
                <c:pt idx="108">
                  <c:v>44384.666666666599</c:v>
                </c:pt>
                <c:pt idx="109">
                  <c:v>44385.666666666599</c:v>
                </c:pt>
                <c:pt idx="110">
                  <c:v>44386.666666666599</c:v>
                </c:pt>
                <c:pt idx="111">
                  <c:v>44389.666666666599</c:v>
                </c:pt>
                <c:pt idx="112">
                  <c:v>44390.666666666599</c:v>
                </c:pt>
                <c:pt idx="113">
                  <c:v>44391.666666666599</c:v>
                </c:pt>
                <c:pt idx="114">
                  <c:v>44392.666666666599</c:v>
                </c:pt>
                <c:pt idx="115">
                  <c:v>44393.666666666599</c:v>
                </c:pt>
                <c:pt idx="116">
                  <c:v>44396.666666666599</c:v>
                </c:pt>
                <c:pt idx="117">
                  <c:v>44397.666666666599</c:v>
                </c:pt>
                <c:pt idx="118">
                  <c:v>44398.666666666599</c:v>
                </c:pt>
                <c:pt idx="119">
                  <c:v>44399.666666666599</c:v>
                </c:pt>
                <c:pt idx="120">
                  <c:v>44400.666666666599</c:v>
                </c:pt>
                <c:pt idx="121">
                  <c:v>44403.666666666599</c:v>
                </c:pt>
                <c:pt idx="122">
                  <c:v>44404.666666666599</c:v>
                </c:pt>
                <c:pt idx="123">
                  <c:v>44405.666666666599</c:v>
                </c:pt>
                <c:pt idx="124">
                  <c:v>44406.666666666599</c:v>
                </c:pt>
                <c:pt idx="125">
                  <c:v>44407.666666666599</c:v>
                </c:pt>
                <c:pt idx="126">
                  <c:v>44410.666666666599</c:v>
                </c:pt>
                <c:pt idx="127">
                  <c:v>44411.666666666599</c:v>
                </c:pt>
                <c:pt idx="128">
                  <c:v>44412.666666666599</c:v>
                </c:pt>
                <c:pt idx="129">
                  <c:v>44413.666666666599</c:v>
                </c:pt>
                <c:pt idx="130">
                  <c:v>44414.666666666599</c:v>
                </c:pt>
                <c:pt idx="131">
                  <c:v>44417.666666666599</c:v>
                </c:pt>
                <c:pt idx="132">
                  <c:v>44418.666666666599</c:v>
                </c:pt>
                <c:pt idx="133">
                  <c:v>44419.666666666599</c:v>
                </c:pt>
                <c:pt idx="134">
                  <c:v>44420.666666666599</c:v>
                </c:pt>
                <c:pt idx="135">
                  <c:v>44421.666666666599</c:v>
                </c:pt>
                <c:pt idx="136">
                  <c:v>44424.666666666599</c:v>
                </c:pt>
                <c:pt idx="137">
                  <c:v>44425.666666666599</c:v>
                </c:pt>
                <c:pt idx="138">
                  <c:v>44426.666666666599</c:v>
                </c:pt>
                <c:pt idx="139">
                  <c:v>44427.666666666599</c:v>
                </c:pt>
                <c:pt idx="140">
                  <c:v>44428.666666666599</c:v>
                </c:pt>
                <c:pt idx="141">
                  <c:v>44431.666666666599</c:v>
                </c:pt>
                <c:pt idx="142">
                  <c:v>44432.666666666599</c:v>
                </c:pt>
                <c:pt idx="143">
                  <c:v>44433.666666666599</c:v>
                </c:pt>
                <c:pt idx="144">
                  <c:v>44434.666666666599</c:v>
                </c:pt>
                <c:pt idx="145">
                  <c:v>44435.666666666599</c:v>
                </c:pt>
                <c:pt idx="146">
                  <c:v>44438.666666666599</c:v>
                </c:pt>
                <c:pt idx="147">
                  <c:v>44439.666666666599</c:v>
                </c:pt>
                <c:pt idx="148">
                  <c:v>44440.666666666599</c:v>
                </c:pt>
                <c:pt idx="149">
                  <c:v>44441.666666666599</c:v>
                </c:pt>
                <c:pt idx="150">
                  <c:v>44442.666666666599</c:v>
                </c:pt>
                <c:pt idx="151">
                  <c:v>44446.666666666599</c:v>
                </c:pt>
                <c:pt idx="152">
                  <c:v>44447.666666666599</c:v>
                </c:pt>
                <c:pt idx="153">
                  <c:v>44448.666666666599</c:v>
                </c:pt>
                <c:pt idx="154">
                  <c:v>44449.666666666599</c:v>
                </c:pt>
                <c:pt idx="155">
                  <c:v>44452.666666666599</c:v>
                </c:pt>
                <c:pt idx="156">
                  <c:v>44453.666666666599</c:v>
                </c:pt>
                <c:pt idx="157">
                  <c:v>44454.666666666599</c:v>
                </c:pt>
                <c:pt idx="158">
                  <c:v>44455.666666666599</c:v>
                </c:pt>
                <c:pt idx="159">
                  <c:v>44456.666666666599</c:v>
                </c:pt>
                <c:pt idx="160">
                  <c:v>44459.666666666599</c:v>
                </c:pt>
                <c:pt idx="161">
                  <c:v>44460.666666666599</c:v>
                </c:pt>
                <c:pt idx="162">
                  <c:v>44461.666666666599</c:v>
                </c:pt>
                <c:pt idx="163">
                  <c:v>44462.666666666599</c:v>
                </c:pt>
                <c:pt idx="164">
                  <c:v>44463.666666666599</c:v>
                </c:pt>
                <c:pt idx="165">
                  <c:v>44466.666666666599</c:v>
                </c:pt>
                <c:pt idx="166">
                  <c:v>44467.666666666599</c:v>
                </c:pt>
                <c:pt idx="167">
                  <c:v>44468.666666666599</c:v>
                </c:pt>
                <c:pt idx="168">
                  <c:v>44469.666666666599</c:v>
                </c:pt>
                <c:pt idx="169">
                  <c:v>44470.666666666599</c:v>
                </c:pt>
                <c:pt idx="170">
                  <c:v>44473.666666666599</c:v>
                </c:pt>
                <c:pt idx="171">
                  <c:v>44474.666666666599</c:v>
                </c:pt>
                <c:pt idx="172">
                  <c:v>44475.666666666599</c:v>
                </c:pt>
                <c:pt idx="173">
                  <c:v>44476.666666666599</c:v>
                </c:pt>
                <c:pt idx="174">
                  <c:v>44477.666666666599</c:v>
                </c:pt>
                <c:pt idx="175">
                  <c:v>44480.666666666599</c:v>
                </c:pt>
                <c:pt idx="176">
                  <c:v>44481.666666666599</c:v>
                </c:pt>
                <c:pt idx="177">
                  <c:v>44482.666666666599</c:v>
                </c:pt>
                <c:pt idx="178">
                  <c:v>44483.666666666599</c:v>
                </c:pt>
                <c:pt idx="179">
                  <c:v>44484.666666666599</c:v>
                </c:pt>
                <c:pt idx="180">
                  <c:v>44487.666666666599</c:v>
                </c:pt>
                <c:pt idx="181">
                  <c:v>44488.666666666599</c:v>
                </c:pt>
                <c:pt idx="182">
                  <c:v>44489.666666666599</c:v>
                </c:pt>
                <c:pt idx="183">
                  <c:v>44490.666666666599</c:v>
                </c:pt>
                <c:pt idx="184">
                  <c:v>44491.666666666599</c:v>
                </c:pt>
                <c:pt idx="185">
                  <c:v>44494.666666666599</c:v>
                </c:pt>
                <c:pt idx="186">
                  <c:v>44495.666666666599</c:v>
                </c:pt>
                <c:pt idx="187">
                  <c:v>44496.666666666599</c:v>
                </c:pt>
                <c:pt idx="188">
                  <c:v>44497.666666666599</c:v>
                </c:pt>
                <c:pt idx="189">
                  <c:v>44498.666666666599</c:v>
                </c:pt>
                <c:pt idx="190">
                  <c:v>44501.666666666599</c:v>
                </c:pt>
                <c:pt idx="191">
                  <c:v>44502.666666666599</c:v>
                </c:pt>
                <c:pt idx="192">
                  <c:v>44503.666666666599</c:v>
                </c:pt>
                <c:pt idx="193">
                  <c:v>44504.666666666599</c:v>
                </c:pt>
                <c:pt idx="194">
                  <c:v>44505.666666666599</c:v>
                </c:pt>
                <c:pt idx="195">
                  <c:v>44508.666666666599</c:v>
                </c:pt>
                <c:pt idx="196">
                  <c:v>44509.666666666599</c:v>
                </c:pt>
                <c:pt idx="197">
                  <c:v>44510.666666666599</c:v>
                </c:pt>
                <c:pt idx="198">
                  <c:v>44511.666666666599</c:v>
                </c:pt>
                <c:pt idx="199">
                  <c:v>44512.666666666599</c:v>
                </c:pt>
                <c:pt idx="200">
                  <c:v>44515.666666666599</c:v>
                </c:pt>
                <c:pt idx="201">
                  <c:v>44516.666666666599</c:v>
                </c:pt>
                <c:pt idx="202">
                  <c:v>44517.666666666599</c:v>
                </c:pt>
                <c:pt idx="203">
                  <c:v>44518.666666666599</c:v>
                </c:pt>
                <c:pt idx="204">
                  <c:v>44519.666666666599</c:v>
                </c:pt>
                <c:pt idx="205">
                  <c:v>44522.666666666599</c:v>
                </c:pt>
                <c:pt idx="206">
                  <c:v>44523.666666666599</c:v>
                </c:pt>
                <c:pt idx="207">
                  <c:v>44524.666666666599</c:v>
                </c:pt>
                <c:pt idx="208">
                  <c:v>44526.552083333299</c:v>
                </c:pt>
                <c:pt idx="209">
                  <c:v>44529.666666666599</c:v>
                </c:pt>
                <c:pt idx="210">
                  <c:v>44530.666666666599</c:v>
                </c:pt>
                <c:pt idx="211">
                  <c:v>44531.666666666599</c:v>
                </c:pt>
                <c:pt idx="212">
                  <c:v>44532.666666666599</c:v>
                </c:pt>
                <c:pt idx="213">
                  <c:v>44533.666666666599</c:v>
                </c:pt>
                <c:pt idx="214">
                  <c:v>44536.666666666599</c:v>
                </c:pt>
                <c:pt idx="215">
                  <c:v>44537.666666666599</c:v>
                </c:pt>
                <c:pt idx="216">
                  <c:v>44538.666666666599</c:v>
                </c:pt>
                <c:pt idx="217">
                  <c:v>44539.666666666599</c:v>
                </c:pt>
                <c:pt idx="218">
                  <c:v>44540.666666666599</c:v>
                </c:pt>
                <c:pt idx="219">
                  <c:v>44543.666666666599</c:v>
                </c:pt>
                <c:pt idx="220">
                  <c:v>44544.666666666599</c:v>
                </c:pt>
                <c:pt idx="221">
                  <c:v>44545.666666666599</c:v>
                </c:pt>
                <c:pt idx="222">
                  <c:v>44546.666666666599</c:v>
                </c:pt>
                <c:pt idx="223">
                  <c:v>44547.666666666599</c:v>
                </c:pt>
                <c:pt idx="224">
                  <c:v>44550.666666666599</c:v>
                </c:pt>
                <c:pt idx="225">
                  <c:v>44551.666666666599</c:v>
                </c:pt>
                <c:pt idx="226">
                  <c:v>44552.666666666599</c:v>
                </c:pt>
                <c:pt idx="227">
                  <c:v>44553.666666666599</c:v>
                </c:pt>
                <c:pt idx="228">
                  <c:v>44557.666666666599</c:v>
                </c:pt>
                <c:pt idx="229">
                  <c:v>44558.666666666599</c:v>
                </c:pt>
                <c:pt idx="230">
                  <c:v>44559.666666666599</c:v>
                </c:pt>
                <c:pt idx="231">
                  <c:v>44560.666666666599</c:v>
                </c:pt>
                <c:pt idx="232">
                  <c:v>44561.666666666599</c:v>
                </c:pt>
                <c:pt idx="233">
                  <c:v>44564.666666666599</c:v>
                </c:pt>
                <c:pt idx="234">
                  <c:v>44565.666666666599</c:v>
                </c:pt>
                <c:pt idx="235">
                  <c:v>44566.666666666599</c:v>
                </c:pt>
                <c:pt idx="236">
                  <c:v>44567.666666666599</c:v>
                </c:pt>
                <c:pt idx="237">
                  <c:v>44568.666666666599</c:v>
                </c:pt>
                <c:pt idx="238">
                  <c:v>44571.666666666599</c:v>
                </c:pt>
                <c:pt idx="239">
                  <c:v>44572.666666666599</c:v>
                </c:pt>
                <c:pt idx="240">
                  <c:v>44573.666666666599</c:v>
                </c:pt>
                <c:pt idx="241">
                  <c:v>44574.666666666599</c:v>
                </c:pt>
                <c:pt idx="242">
                  <c:v>44575.666666666599</c:v>
                </c:pt>
                <c:pt idx="243">
                  <c:v>44579.666666666599</c:v>
                </c:pt>
                <c:pt idx="244">
                  <c:v>44580.666666666599</c:v>
                </c:pt>
                <c:pt idx="245">
                  <c:v>44581.666666666599</c:v>
                </c:pt>
                <c:pt idx="246">
                  <c:v>44582.666666666599</c:v>
                </c:pt>
                <c:pt idx="247">
                  <c:v>44585.666666666599</c:v>
                </c:pt>
                <c:pt idx="248">
                  <c:v>44586.666666666599</c:v>
                </c:pt>
                <c:pt idx="249">
                  <c:v>44587.666666666599</c:v>
                </c:pt>
                <c:pt idx="250">
                  <c:v>44588.666666666599</c:v>
                </c:pt>
                <c:pt idx="251">
                  <c:v>44589.666666666599</c:v>
                </c:pt>
                <c:pt idx="252">
                  <c:v>44592.666666666599</c:v>
                </c:pt>
                <c:pt idx="253">
                  <c:v>44593.666666666599</c:v>
                </c:pt>
                <c:pt idx="254">
                  <c:v>44594.666666666599</c:v>
                </c:pt>
                <c:pt idx="255">
                  <c:v>44595.666666666599</c:v>
                </c:pt>
                <c:pt idx="256">
                  <c:v>44596.666666666599</c:v>
                </c:pt>
                <c:pt idx="257">
                  <c:v>44599.666666666599</c:v>
                </c:pt>
                <c:pt idx="258">
                  <c:v>44600.666666666599</c:v>
                </c:pt>
                <c:pt idx="259">
                  <c:v>44601.666666666599</c:v>
                </c:pt>
                <c:pt idx="260">
                  <c:v>44602.666666666599</c:v>
                </c:pt>
                <c:pt idx="261">
                  <c:v>44603.666666666599</c:v>
                </c:pt>
                <c:pt idx="262">
                  <c:v>44606.666666666599</c:v>
                </c:pt>
                <c:pt idx="263">
                  <c:v>44607.666666666599</c:v>
                </c:pt>
                <c:pt idx="264">
                  <c:v>44608.666666666599</c:v>
                </c:pt>
                <c:pt idx="265">
                  <c:v>44609.666666666599</c:v>
                </c:pt>
                <c:pt idx="266">
                  <c:v>44610.666666666599</c:v>
                </c:pt>
                <c:pt idx="267">
                  <c:v>44614.666666666599</c:v>
                </c:pt>
                <c:pt idx="268">
                  <c:v>44615.666666666599</c:v>
                </c:pt>
                <c:pt idx="269">
                  <c:v>44616.666666666599</c:v>
                </c:pt>
                <c:pt idx="270">
                  <c:v>44617.666666666599</c:v>
                </c:pt>
                <c:pt idx="271">
                  <c:v>44620.666666666599</c:v>
                </c:pt>
                <c:pt idx="272">
                  <c:v>44621.666666666599</c:v>
                </c:pt>
                <c:pt idx="273">
                  <c:v>44622.666666666599</c:v>
                </c:pt>
                <c:pt idx="274">
                  <c:v>44623.666666666599</c:v>
                </c:pt>
                <c:pt idx="275">
                  <c:v>44624.666666666599</c:v>
                </c:pt>
                <c:pt idx="276">
                  <c:v>44627.666666666599</c:v>
                </c:pt>
                <c:pt idx="277">
                  <c:v>44628.666666666599</c:v>
                </c:pt>
                <c:pt idx="278">
                  <c:v>44629.666666666599</c:v>
                </c:pt>
                <c:pt idx="279">
                  <c:v>44630.666666666599</c:v>
                </c:pt>
                <c:pt idx="280">
                  <c:v>44631.666666666599</c:v>
                </c:pt>
                <c:pt idx="281">
                  <c:v>44634.666666666599</c:v>
                </c:pt>
                <c:pt idx="282">
                  <c:v>44635.666666666599</c:v>
                </c:pt>
                <c:pt idx="283">
                  <c:v>44636.666666666599</c:v>
                </c:pt>
                <c:pt idx="284">
                  <c:v>44637.666666666599</c:v>
                </c:pt>
                <c:pt idx="285">
                  <c:v>44638.666666666599</c:v>
                </c:pt>
                <c:pt idx="286">
                  <c:v>44641.666666666599</c:v>
                </c:pt>
                <c:pt idx="287">
                  <c:v>44642.666666666599</c:v>
                </c:pt>
                <c:pt idx="288">
                  <c:v>44643.666666666599</c:v>
                </c:pt>
                <c:pt idx="289">
                  <c:v>44644.666666666599</c:v>
                </c:pt>
                <c:pt idx="290">
                  <c:v>44645.666666666599</c:v>
                </c:pt>
                <c:pt idx="291">
                  <c:v>44648.666666666599</c:v>
                </c:pt>
                <c:pt idx="292">
                  <c:v>44649.666666666599</c:v>
                </c:pt>
                <c:pt idx="293">
                  <c:v>44650.666666666599</c:v>
                </c:pt>
                <c:pt idx="294">
                  <c:v>44651.666666666599</c:v>
                </c:pt>
                <c:pt idx="295">
                  <c:v>44652.666666666599</c:v>
                </c:pt>
                <c:pt idx="296">
                  <c:v>44655.666666666599</c:v>
                </c:pt>
                <c:pt idx="297">
                  <c:v>44656.666666666599</c:v>
                </c:pt>
                <c:pt idx="298">
                  <c:v>44657.666666666599</c:v>
                </c:pt>
                <c:pt idx="299">
                  <c:v>44658.666666666599</c:v>
                </c:pt>
                <c:pt idx="300">
                  <c:v>44659.666666666599</c:v>
                </c:pt>
                <c:pt idx="301">
                  <c:v>44662.666666666599</c:v>
                </c:pt>
                <c:pt idx="302">
                  <c:v>44663.666666666599</c:v>
                </c:pt>
                <c:pt idx="303">
                  <c:v>44664.666666666599</c:v>
                </c:pt>
                <c:pt idx="304">
                  <c:v>44665.666666666599</c:v>
                </c:pt>
                <c:pt idx="305">
                  <c:v>44669.666666666599</c:v>
                </c:pt>
                <c:pt idx="306">
                  <c:v>44670.666666666599</c:v>
                </c:pt>
                <c:pt idx="307">
                  <c:v>44671.666666666599</c:v>
                </c:pt>
                <c:pt idx="308">
                  <c:v>44672.666666666599</c:v>
                </c:pt>
                <c:pt idx="309">
                  <c:v>44673.666666666599</c:v>
                </c:pt>
                <c:pt idx="310">
                  <c:v>44676.666666666599</c:v>
                </c:pt>
                <c:pt idx="311">
                  <c:v>44677.666666666599</c:v>
                </c:pt>
                <c:pt idx="312">
                  <c:v>44678.666666666599</c:v>
                </c:pt>
                <c:pt idx="313">
                  <c:v>44679.666666666599</c:v>
                </c:pt>
                <c:pt idx="314">
                  <c:v>44680.666666666599</c:v>
                </c:pt>
                <c:pt idx="315">
                  <c:v>44683.666666666599</c:v>
                </c:pt>
                <c:pt idx="316">
                  <c:v>44684.666666666599</c:v>
                </c:pt>
                <c:pt idx="317">
                  <c:v>44685.666666666599</c:v>
                </c:pt>
                <c:pt idx="318">
                  <c:v>44686.666666666599</c:v>
                </c:pt>
                <c:pt idx="319">
                  <c:v>44687.666666666599</c:v>
                </c:pt>
                <c:pt idx="320">
                  <c:v>44690.666666666599</c:v>
                </c:pt>
                <c:pt idx="321">
                  <c:v>44691.666666666599</c:v>
                </c:pt>
                <c:pt idx="322">
                  <c:v>44692.666666666599</c:v>
                </c:pt>
                <c:pt idx="323">
                  <c:v>44693.666666666599</c:v>
                </c:pt>
                <c:pt idx="324">
                  <c:v>44694.666666666599</c:v>
                </c:pt>
                <c:pt idx="325">
                  <c:v>44697.666666666599</c:v>
                </c:pt>
                <c:pt idx="326">
                  <c:v>44698.666666666599</c:v>
                </c:pt>
                <c:pt idx="327">
                  <c:v>44699.666666666599</c:v>
                </c:pt>
                <c:pt idx="328">
                  <c:v>44700.666666666599</c:v>
                </c:pt>
                <c:pt idx="329">
                  <c:v>44701.666666666599</c:v>
                </c:pt>
                <c:pt idx="330">
                  <c:v>44704.666666666599</c:v>
                </c:pt>
                <c:pt idx="331">
                  <c:v>44705.666666666599</c:v>
                </c:pt>
                <c:pt idx="332">
                  <c:v>44706.666666666599</c:v>
                </c:pt>
                <c:pt idx="333">
                  <c:v>44707.666666666599</c:v>
                </c:pt>
                <c:pt idx="334">
                  <c:v>44708.666666666599</c:v>
                </c:pt>
                <c:pt idx="335">
                  <c:v>44712.666666666599</c:v>
                </c:pt>
                <c:pt idx="336">
                  <c:v>44713.666666666599</c:v>
                </c:pt>
                <c:pt idx="337">
                  <c:v>44714.666666666599</c:v>
                </c:pt>
                <c:pt idx="338">
                  <c:v>44715.666666666599</c:v>
                </c:pt>
                <c:pt idx="339">
                  <c:v>44718.666666666599</c:v>
                </c:pt>
                <c:pt idx="340">
                  <c:v>44719.666666666599</c:v>
                </c:pt>
                <c:pt idx="341">
                  <c:v>44720.666666666599</c:v>
                </c:pt>
                <c:pt idx="342">
                  <c:v>44721.666666666599</c:v>
                </c:pt>
                <c:pt idx="343">
                  <c:v>44722.666666666599</c:v>
                </c:pt>
                <c:pt idx="344">
                  <c:v>44725.666666666599</c:v>
                </c:pt>
                <c:pt idx="345">
                  <c:v>44726.666666666599</c:v>
                </c:pt>
                <c:pt idx="346">
                  <c:v>44727.666666666599</c:v>
                </c:pt>
                <c:pt idx="347">
                  <c:v>44728.666666666599</c:v>
                </c:pt>
                <c:pt idx="348">
                  <c:v>44729.666666666599</c:v>
                </c:pt>
                <c:pt idx="349">
                  <c:v>44733.666666666599</c:v>
                </c:pt>
                <c:pt idx="350">
                  <c:v>44734.666666666599</c:v>
                </c:pt>
                <c:pt idx="351">
                  <c:v>44735.666666666599</c:v>
                </c:pt>
                <c:pt idx="352">
                  <c:v>44736.666666666599</c:v>
                </c:pt>
                <c:pt idx="353">
                  <c:v>44739.666666666599</c:v>
                </c:pt>
                <c:pt idx="354">
                  <c:v>44740.666666666599</c:v>
                </c:pt>
                <c:pt idx="355">
                  <c:v>44741.666666666599</c:v>
                </c:pt>
                <c:pt idx="356">
                  <c:v>44742.666666666599</c:v>
                </c:pt>
                <c:pt idx="357">
                  <c:v>44743.666666666599</c:v>
                </c:pt>
                <c:pt idx="358">
                  <c:v>44747.666666666599</c:v>
                </c:pt>
                <c:pt idx="359">
                  <c:v>44748.666666666599</c:v>
                </c:pt>
                <c:pt idx="360">
                  <c:v>44749.666666666599</c:v>
                </c:pt>
                <c:pt idx="361">
                  <c:v>44750.666666666599</c:v>
                </c:pt>
                <c:pt idx="362">
                  <c:v>44753.666666666599</c:v>
                </c:pt>
                <c:pt idx="363">
                  <c:v>44754.666666666599</c:v>
                </c:pt>
                <c:pt idx="364">
                  <c:v>44755.666666666599</c:v>
                </c:pt>
                <c:pt idx="365">
                  <c:v>44756.666666666599</c:v>
                </c:pt>
                <c:pt idx="366">
                  <c:v>44757.666666666599</c:v>
                </c:pt>
                <c:pt idx="367">
                  <c:v>44760.666666666599</c:v>
                </c:pt>
                <c:pt idx="368">
                  <c:v>44761.666666666599</c:v>
                </c:pt>
                <c:pt idx="369">
                  <c:v>44762.666666666599</c:v>
                </c:pt>
                <c:pt idx="370">
                  <c:v>44763.666666666599</c:v>
                </c:pt>
                <c:pt idx="371">
                  <c:v>44764.666666666599</c:v>
                </c:pt>
                <c:pt idx="372">
                  <c:v>44767.666666666599</c:v>
                </c:pt>
                <c:pt idx="373">
                  <c:v>44768.666666666599</c:v>
                </c:pt>
                <c:pt idx="374">
                  <c:v>44769.666666666599</c:v>
                </c:pt>
                <c:pt idx="375">
                  <c:v>44770.666666666599</c:v>
                </c:pt>
                <c:pt idx="376">
                  <c:v>44771.666666666599</c:v>
                </c:pt>
                <c:pt idx="377">
                  <c:v>44774.666666666599</c:v>
                </c:pt>
                <c:pt idx="378">
                  <c:v>44775.666666666599</c:v>
                </c:pt>
                <c:pt idx="379">
                  <c:v>44776.666666666599</c:v>
                </c:pt>
                <c:pt idx="380">
                  <c:v>44777.666666666599</c:v>
                </c:pt>
                <c:pt idx="381">
                  <c:v>44778.666666666599</c:v>
                </c:pt>
                <c:pt idx="382">
                  <c:v>44781.666666666599</c:v>
                </c:pt>
                <c:pt idx="383">
                  <c:v>44782.666666666599</c:v>
                </c:pt>
                <c:pt idx="384">
                  <c:v>44783.666666666599</c:v>
                </c:pt>
                <c:pt idx="385">
                  <c:v>44784.666666666599</c:v>
                </c:pt>
                <c:pt idx="386">
                  <c:v>44785.666666666599</c:v>
                </c:pt>
                <c:pt idx="387">
                  <c:v>44788.666666666599</c:v>
                </c:pt>
                <c:pt idx="388">
                  <c:v>44789.666666666599</c:v>
                </c:pt>
                <c:pt idx="389">
                  <c:v>44790.666666666599</c:v>
                </c:pt>
                <c:pt idx="390">
                  <c:v>44791.666666666599</c:v>
                </c:pt>
                <c:pt idx="391">
                  <c:v>44792.666666666599</c:v>
                </c:pt>
                <c:pt idx="392">
                  <c:v>44795.666666666599</c:v>
                </c:pt>
                <c:pt idx="393">
                  <c:v>44796.666666666599</c:v>
                </c:pt>
                <c:pt idx="394">
                  <c:v>44797.666666666599</c:v>
                </c:pt>
                <c:pt idx="395">
                  <c:v>44798.666666666599</c:v>
                </c:pt>
                <c:pt idx="396">
                  <c:v>44799.666666666599</c:v>
                </c:pt>
                <c:pt idx="397">
                  <c:v>44802.666666666599</c:v>
                </c:pt>
                <c:pt idx="398">
                  <c:v>44803.666666666599</c:v>
                </c:pt>
                <c:pt idx="399">
                  <c:v>44804.666666666599</c:v>
                </c:pt>
                <c:pt idx="400">
                  <c:v>44805.666666666599</c:v>
                </c:pt>
                <c:pt idx="401">
                  <c:v>44806.666666666599</c:v>
                </c:pt>
                <c:pt idx="402">
                  <c:v>44810.666666666599</c:v>
                </c:pt>
                <c:pt idx="403">
                  <c:v>44811.666666666599</c:v>
                </c:pt>
                <c:pt idx="404">
                  <c:v>44812.666666666599</c:v>
                </c:pt>
                <c:pt idx="405">
                  <c:v>44813.666666666599</c:v>
                </c:pt>
                <c:pt idx="406">
                  <c:v>44816.666666666599</c:v>
                </c:pt>
                <c:pt idx="407">
                  <c:v>44817.666666666599</c:v>
                </c:pt>
                <c:pt idx="408">
                  <c:v>44818.666666666599</c:v>
                </c:pt>
                <c:pt idx="409">
                  <c:v>44819.666666666599</c:v>
                </c:pt>
                <c:pt idx="410">
                  <c:v>44820.666666666599</c:v>
                </c:pt>
                <c:pt idx="411">
                  <c:v>44823.666666666599</c:v>
                </c:pt>
                <c:pt idx="412">
                  <c:v>44824.666666666599</c:v>
                </c:pt>
                <c:pt idx="413">
                  <c:v>44825.666666666599</c:v>
                </c:pt>
                <c:pt idx="414">
                  <c:v>44826.666666666599</c:v>
                </c:pt>
                <c:pt idx="415">
                  <c:v>44827.666666666599</c:v>
                </c:pt>
                <c:pt idx="416">
                  <c:v>44830.666666666599</c:v>
                </c:pt>
                <c:pt idx="417">
                  <c:v>44831.666666666599</c:v>
                </c:pt>
                <c:pt idx="418">
                  <c:v>44832.666666666599</c:v>
                </c:pt>
                <c:pt idx="419">
                  <c:v>44833.666666666599</c:v>
                </c:pt>
                <c:pt idx="420">
                  <c:v>44834.666666666599</c:v>
                </c:pt>
                <c:pt idx="421">
                  <c:v>44837.666666666599</c:v>
                </c:pt>
                <c:pt idx="422">
                  <c:v>44838.666666666599</c:v>
                </c:pt>
                <c:pt idx="423">
                  <c:v>44839.666666666599</c:v>
                </c:pt>
                <c:pt idx="424">
                  <c:v>44840.666666666599</c:v>
                </c:pt>
                <c:pt idx="425">
                  <c:v>44841.666666666599</c:v>
                </c:pt>
                <c:pt idx="426">
                  <c:v>44844.666666666599</c:v>
                </c:pt>
                <c:pt idx="427">
                  <c:v>44845.666666666599</c:v>
                </c:pt>
                <c:pt idx="428">
                  <c:v>44846.666666666599</c:v>
                </c:pt>
                <c:pt idx="429">
                  <c:v>44847.666666666599</c:v>
                </c:pt>
                <c:pt idx="430">
                  <c:v>44848.666666666599</c:v>
                </c:pt>
                <c:pt idx="431">
                  <c:v>44851.666666666599</c:v>
                </c:pt>
                <c:pt idx="432">
                  <c:v>44852.666666666599</c:v>
                </c:pt>
                <c:pt idx="433">
                  <c:v>44853.666666666599</c:v>
                </c:pt>
                <c:pt idx="434">
                  <c:v>44854.666666666599</c:v>
                </c:pt>
                <c:pt idx="435">
                  <c:v>44855.666666666599</c:v>
                </c:pt>
                <c:pt idx="436">
                  <c:v>44858.666666666599</c:v>
                </c:pt>
                <c:pt idx="437">
                  <c:v>44859.666666666599</c:v>
                </c:pt>
                <c:pt idx="438">
                  <c:v>44860.666666666599</c:v>
                </c:pt>
                <c:pt idx="439">
                  <c:v>44861.666666666599</c:v>
                </c:pt>
                <c:pt idx="440">
                  <c:v>44862.666666666599</c:v>
                </c:pt>
                <c:pt idx="441">
                  <c:v>44865.666666666599</c:v>
                </c:pt>
                <c:pt idx="442">
                  <c:v>44866.666666666599</c:v>
                </c:pt>
                <c:pt idx="443">
                  <c:v>44867.666666666599</c:v>
                </c:pt>
                <c:pt idx="444">
                  <c:v>44868.666666666599</c:v>
                </c:pt>
                <c:pt idx="445">
                  <c:v>44869.666666666599</c:v>
                </c:pt>
                <c:pt idx="446">
                  <c:v>44872.666666666599</c:v>
                </c:pt>
                <c:pt idx="447">
                  <c:v>44873.666666666599</c:v>
                </c:pt>
                <c:pt idx="448">
                  <c:v>44874.666666666599</c:v>
                </c:pt>
                <c:pt idx="449">
                  <c:v>44875.666666666599</c:v>
                </c:pt>
                <c:pt idx="450">
                  <c:v>44876.666666666599</c:v>
                </c:pt>
                <c:pt idx="451">
                  <c:v>44879.666666666599</c:v>
                </c:pt>
                <c:pt idx="452">
                  <c:v>44880.666666666599</c:v>
                </c:pt>
                <c:pt idx="453">
                  <c:v>44881.666666666599</c:v>
                </c:pt>
                <c:pt idx="454">
                  <c:v>44882.666666666599</c:v>
                </c:pt>
                <c:pt idx="455">
                  <c:v>44883.666666666599</c:v>
                </c:pt>
                <c:pt idx="456">
                  <c:v>44886.666666666599</c:v>
                </c:pt>
                <c:pt idx="457">
                  <c:v>44887.666666666599</c:v>
                </c:pt>
                <c:pt idx="458">
                  <c:v>44888.666666666599</c:v>
                </c:pt>
                <c:pt idx="459">
                  <c:v>44890.552083333299</c:v>
                </c:pt>
                <c:pt idx="460">
                  <c:v>44893.666666666599</c:v>
                </c:pt>
                <c:pt idx="461">
                  <c:v>44894.666666666599</c:v>
                </c:pt>
                <c:pt idx="462">
                  <c:v>44895.666666666599</c:v>
                </c:pt>
                <c:pt idx="463">
                  <c:v>44896.666666666599</c:v>
                </c:pt>
                <c:pt idx="464">
                  <c:v>44897.666666666599</c:v>
                </c:pt>
                <c:pt idx="465">
                  <c:v>44900.666666666599</c:v>
                </c:pt>
                <c:pt idx="466">
                  <c:v>44901.666666666599</c:v>
                </c:pt>
                <c:pt idx="467">
                  <c:v>44902.666666666599</c:v>
                </c:pt>
                <c:pt idx="468">
                  <c:v>44903.666666666599</c:v>
                </c:pt>
                <c:pt idx="469">
                  <c:v>44904.666666666599</c:v>
                </c:pt>
                <c:pt idx="470">
                  <c:v>44907.666666666599</c:v>
                </c:pt>
                <c:pt idx="471">
                  <c:v>44908.666666666599</c:v>
                </c:pt>
                <c:pt idx="472">
                  <c:v>44909.666666666599</c:v>
                </c:pt>
                <c:pt idx="473">
                  <c:v>44910.666666666599</c:v>
                </c:pt>
                <c:pt idx="474">
                  <c:v>44911.666666666599</c:v>
                </c:pt>
                <c:pt idx="475">
                  <c:v>44914.666666666599</c:v>
                </c:pt>
                <c:pt idx="476">
                  <c:v>44915.666666666599</c:v>
                </c:pt>
                <c:pt idx="477">
                  <c:v>44916.666666666599</c:v>
                </c:pt>
                <c:pt idx="478">
                  <c:v>44917.666666666599</c:v>
                </c:pt>
                <c:pt idx="479">
                  <c:v>44918.666666666599</c:v>
                </c:pt>
                <c:pt idx="480">
                  <c:v>44922.666666666599</c:v>
                </c:pt>
                <c:pt idx="481">
                  <c:v>44923.666666666599</c:v>
                </c:pt>
                <c:pt idx="482">
                  <c:v>44924.666666666599</c:v>
                </c:pt>
                <c:pt idx="483">
                  <c:v>44925.666666666599</c:v>
                </c:pt>
                <c:pt idx="484">
                  <c:v>44929.666666666599</c:v>
                </c:pt>
                <c:pt idx="485">
                  <c:v>44930.666666666599</c:v>
                </c:pt>
                <c:pt idx="486">
                  <c:v>44931.666666666599</c:v>
                </c:pt>
                <c:pt idx="487">
                  <c:v>44932.666666666599</c:v>
                </c:pt>
                <c:pt idx="488">
                  <c:v>44935.666666666599</c:v>
                </c:pt>
                <c:pt idx="489">
                  <c:v>44936.666666666599</c:v>
                </c:pt>
                <c:pt idx="490">
                  <c:v>44937.666666666599</c:v>
                </c:pt>
                <c:pt idx="491">
                  <c:v>44938.666666666599</c:v>
                </c:pt>
                <c:pt idx="492">
                  <c:v>44939.666666666599</c:v>
                </c:pt>
                <c:pt idx="493">
                  <c:v>44943.666666666599</c:v>
                </c:pt>
                <c:pt idx="494">
                  <c:v>44944.666666666599</c:v>
                </c:pt>
                <c:pt idx="495">
                  <c:v>44945.666666666599</c:v>
                </c:pt>
                <c:pt idx="496">
                  <c:v>44946.666666666599</c:v>
                </c:pt>
                <c:pt idx="497">
                  <c:v>44949.666666666599</c:v>
                </c:pt>
                <c:pt idx="498">
                  <c:v>44950.666666666599</c:v>
                </c:pt>
                <c:pt idx="499">
                  <c:v>44951.666666666599</c:v>
                </c:pt>
                <c:pt idx="500">
                  <c:v>44952.666666666599</c:v>
                </c:pt>
                <c:pt idx="501">
                  <c:v>44953.666666666599</c:v>
                </c:pt>
                <c:pt idx="502">
                  <c:v>44956.666666666599</c:v>
                </c:pt>
                <c:pt idx="503">
                  <c:v>44957.666666666599</c:v>
                </c:pt>
                <c:pt idx="504">
                  <c:v>44958.666666666599</c:v>
                </c:pt>
                <c:pt idx="505">
                  <c:v>44959.666666666599</c:v>
                </c:pt>
                <c:pt idx="506">
                  <c:v>44960.666666666599</c:v>
                </c:pt>
                <c:pt idx="507">
                  <c:v>44963.666666666599</c:v>
                </c:pt>
                <c:pt idx="508">
                  <c:v>44964.666666666599</c:v>
                </c:pt>
                <c:pt idx="509">
                  <c:v>44965.666666666599</c:v>
                </c:pt>
                <c:pt idx="510">
                  <c:v>44966.666666666599</c:v>
                </c:pt>
                <c:pt idx="511">
                  <c:v>44967.666666666599</c:v>
                </c:pt>
                <c:pt idx="512">
                  <c:v>44970.666666666599</c:v>
                </c:pt>
                <c:pt idx="513">
                  <c:v>44971.666666666599</c:v>
                </c:pt>
                <c:pt idx="514">
                  <c:v>44972.666666666599</c:v>
                </c:pt>
                <c:pt idx="515">
                  <c:v>44973.666666666599</c:v>
                </c:pt>
                <c:pt idx="516">
                  <c:v>44974.666666666599</c:v>
                </c:pt>
                <c:pt idx="517">
                  <c:v>44978.666666666599</c:v>
                </c:pt>
                <c:pt idx="518">
                  <c:v>44979.666666666599</c:v>
                </c:pt>
                <c:pt idx="519">
                  <c:v>44980.666666666599</c:v>
                </c:pt>
                <c:pt idx="520">
                  <c:v>44981.666666666599</c:v>
                </c:pt>
                <c:pt idx="521">
                  <c:v>44984.666666666599</c:v>
                </c:pt>
                <c:pt idx="522">
                  <c:v>44985.666666666599</c:v>
                </c:pt>
                <c:pt idx="523">
                  <c:v>44986.666666666599</c:v>
                </c:pt>
                <c:pt idx="524">
                  <c:v>44987.666666666599</c:v>
                </c:pt>
                <c:pt idx="525">
                  <c:v>44988.666666666599</c:v>
                </c:pt>
                <c:pt idx="526">
                  <c:v>44991.666666666599</c:v>
                </c:pt>
                <c:pt idx="527">
                  <c:v>44992.666666666599</c:v>
                </c:pt>
                <c:pt idx="528">
                  <c:v>44993.666666666599</c:v>
                </c:pt>
                <c:pt idx="529">
                  <c:v>44994.666666666599</c:v>
                </c:pt>
                <c:pt idx="530">
                  <c:v>44995.666666666599</c:v>
                </c:pt>
                <c:pt idx="531">
                  <c:v>44998.666666666599</c:v>
                </c:pt>
                <c:pt idx="532">
                  <c:v>44999.666666666599</c:v>
                </c:pt>
                <c:pt idx="533">
                  <c:v>45000.666666666599</c:v>
                </c:pt>
                <c:pt idx="534">
                  <c:v>45001.666666666599</c:v>
                </c:pt>
                <c:pt idx="535">
                  <c:v>45002.666666666599</c:v>
                </c:pt>
                <c:pt idx="536">
                  <c:v>45005.666666666599</c:v>
                </c:pt>
                <c:pt idx="537">
                  <c:v>45006.666666666599</c:v>
                </c:pt>
                <c:pt idx="538">
                  <c:v>45007.666666666599</c:v>
                </c:pt>
                <c:pt idx="539">
                  <c:v>45008.666666666599</c:v>
                </c:pt>
                <c:pt idx="540">
                  <c:v>45009.666666666599</c:v>
                </c:pt>
                <c:pt idx="541">
                  <c:v>45012.666666666599</c:v>
                </c:pt>
                <c:pt idx="542">
                  <c:v>45013.666666666599</c:v>
                </c:pt>
                <c:pt idx="543">
                  <c:v>45014.666666666599</c:v>
                </c:pt>
                <c:pt idx="544">
                  <c:v>45015.666666666599</c:v>
                </c:pt>
                <c:pt idx="545">
                  <c:v>45016.666666666599</c:v>
                </c:pt>
                <c:pt idx="546">
                  <c:v>45019.666666666599</c:v>
                </c:pt>
                <c:pt idx="547">
                  <c:v>45020.666666666599</c:v>
                </c:pt>
                <c:pt idx="548">
                  <c:v>45021.666666666599</c:v>
                </c:pt>
                <c:pt idx="549">
                  <c:v>45022.666666666599</c:v>
                </c:pt>
                <c:pt idx="550">
                  <c:v>45026.666666666599</c:v>
                </c:pt>
                <c:pt idx="551">
                  <c:v>45027.666666666599</c:v>
                </c:pt>
                <c:pt idx="552">
                  <c:v>45028.666666666599</c:v>
                </c:pt>
                <c:pt idx="553">
                  <c:v>45029.666666666599</c:v>
                </c:pt>
                <c:pt idx="554">
                  <c:v>45030.666666666599</c:v>
                </c:pt>
                <c:pt idx="555">
                  <c:v>45033.666666666599</c:v>
                </c:pt>
                <c:pt idx="556">
                  <c:v>45034.666666666599</c:v>
                </c:pt>
                <c:pt idx="557">
                  <c:v>45035.666666666599</c:v>
                </c:pt>
                <c:pt idx="558">
                  <c:v>45036.666666666599</c:v>
                </c:pt>
                <c:pt idx="559">
                  <c:v>45037.666666666599</c:v>
                </c:pt>
                <c:pt idx="560">
                  <c:v>45040.666666666599</c:v>
                </c:pt>
                <c:pt idx="561">
                  <c:v>45041.666666666599</c:v>
                </c:pt>
                <c:pt idx="562">
                  <c:v>45042.666666666599</c:v>
                </c:pt>
                <c:pt idx="563">
                  <c:v>45043.666666666599</c:v>
                </c:pt>
                <c:pt idx="564">
                  <c:v>45044.666666666599</c:v>
                </c:pt>
                <c:pt idx="565">
                  <c:v>45047.666666666599</c:v>
                </c:pt>
                <c:pt idx="566">
                  <c:v>45048.666666666599</c:v>
                </c:pt>
                <c:pt idx="567">
                  <c:v>45049.666666666599</c:v>
                </c:pt>
                <c:pt idx="568">
                  <c:v>45050.666666666599</c:v>
                </c:pt>
                <c:pt idx="569">
                  <c:v>45051.666666666599</c:v>
                </c:pt>
                <c:pt idx="570">
                  <c:v>45054.666666666599</c:v>
                </c:pt>
                <c:pt idx="571">
                  <c:v>45055.666666666599</c:v>
                </c:pt>
                <c:pt idx="572">
                  <c:v>45056.666666666599</c:v>
                </c:pt>
                <c:pt idx="573">
                  <c:v>45057.666666666599</c:v>
                </c:pt>
                <c:pt idx="574">
                  <c:v>45058.666666666599</c:v>
                </c:pt>
                <c:pt idx="575">
                  <c:v>45061.666666666599</c:v>
                </c:pt>
                <c:pt idx="576">
                  <c:v>45062.666666666599</c:v>
                </c:pt>
                <c:pt idx="577">
                  <c:v>45063.666666666599</c:v>
                </c:pt>
                <c:pt idx="578">
                  <c:v>45064.666666666599</c:v>
                </c:pt>
                <c:pt idx="579">
                  <c:v>45065.666666666599</c:v>
                </c:pt>
                <c:pt idx="580">
                  <c:v>45068.666666666599</c:v>
                </c:pt>
                <c:pt idx="581">
                  <c:v>45069.666666666599</c:v>
                </c:pt>
                <c:pt idx="582">
                  <c:v>45070.666666666599</c:v>
                </c:pt>
                <c:pt idx="583">
                  <c:v>45071.666666666599</c:v>
                </c:pt>
                <c:pt idx="584">
                  <c:v>45072.666666666599</c:v>
                </c:pt>
                <c:pt idx="585">
                  <c:v>45076.666666666599</c:v>
                </c:pt>
                <c:pt idx="586">
                  <c:v>45077.666666666599</c:v>
                </c:pt>
                <c:pt idx="587">
                  <c:v>45078.666666666599</c:v>
                </c:pt>
                <c:pt idx="588">
                  <c:v>45079.666666666599</c:v>
                </c:pt>
                <c:pt idx="589">
                  <c:v>45082.666666666599</c:v>
                </c:pt>
                <c:pt idx="590">
                  <c:v>45083.666666666599</c:v>
                </c:pt>
                <c:pt idx="591">
                  <c:v>45084.666666666599</c:v>
                </c:pt>
                <c:pt idx="592">
                  <c:v>45085.666666666599</c:v>
                </c:pt>
                <c:pt idx="593">
                  <c:v>45086.666666666599</c:v>
                </c:pt>
                <c:pt idx="594">
                  <c:v>45089.666666666599</c:v>
                </c:pt>
                <c:pt idx="595">
                  <c:v>45090.666666666599</c:v>
                </c:pt>
                <c:pt idx="596">
                  <c:v>45091.666666666599</c:v>
                </c:pt>
                <c:pt idx="597">
                  <c:v>45092.666666666599</c:v>
                </c:pt>
                <c:pt idx="598">
                  <c:v>45093.666666666599</c:v>
                </c:pt>
                <c:pt idx="599">
                  <c:v>45097.666666666599</c:v>
                </c:pt>
                <c:pt idx="600">
                  <c:v>45098.666666666599</c:v>
                </c:pt>
                <c:pt idx="601">
                  <c:v>45099.666666666599</c:v>
                </c:pt>
                <c:pt idx="602">
                  <c:v>45100.666666666599</c:v>
                </c:pt>
                <c:pt idx="603">
                  <c:v>45103.666666666599</c:v>
                </c:pt>
                <c:pt idx="604">
                  <c:v>45104.666666666599</c:v>
                </c:pt>
                <c:pt idx="605">
                  <c:v>45105.666666666599</c:v>
                </c:pt>
                <c:pt idx="606">
                  <c:v>45106.666666666599</c:v>
                </c:pt>
                <c:pt idx="607">
                  <c:v>45107.666666666599</c:v>
                </c:pt>
                <c:pt idx="608">
                  <c:v>45110.552083333299</c:v>
                </c:pt>
                <c:pt idx="609">
                  <c:v>45112.666666666599</c:v>
                </c:pt>
                <c:pt idx="610">
                  <c:v>45113.666666666599</c:v>
                </c:pt>
                <c:pt idx="611">
                  <c:v>45114.666666666599</c:v>
                </c:pt>
                <c:pt idx="612">
                  <c:v>45117.666666666599</c:v>
                </c:pt>
                <c:pt idx="613">
                  <c:v>45118.666666666599</c:v>
                </c:pt>
                <c:pt idx="614">
                  <c:v>45119.666666666599</c:v>
                </c:pt>
                <c:pt idx="615">
                  <c:v>45120.666666666599</c:v>
                </c:pt>
                <c:pt idx="616">
                  <c:v>45121.666666666599</c:v>
                </c:pt>
                <c:pt idx="617">
                  <c:v>45124.666666666599</c:v>
                </c:pt>
                <c:pt idx="618">
                  <c:v>45125.666666666599</c:v>
                </c:pt>
                <c:pt idx="619">
                  <c:v>45126.666666666599</c:v>
                </c:pt>
                <c:pt idx="620">
                  <c:v>45127.666666666599</c:v>
                </c:pt>
                <c:pt idx="621">
                  <c:v>45128.666666666599</c:v>
                </c:pt>
                <c:pt idx="622">
                  <c:v>45131.666666666599</c:v>
                </c:pt>
                <c:pt idx="623">
                  <c:v>45132.666666666599</c:v>
                </c:pt>
                <c:pt idx="624">
                  <c:v>45133.666666666599</c:v>
                </c:pt>
                <c:pt idx="625">
                  <c:v>45134.666666666599</c:v>
                </c:pt>
                <c:pt idx="626">
                  <c:v>45135.666666666599</c:v>
                </c:pt>
                <c:pt idx="627">
                  <c:v>45138.666666666599</c:v>
                </c:pt>
                <c:pt idx="628">
                  <c:v>45139.666666666599</c:v>
                </c:pt>
                <c:pt idx="629">
                  <c:v>45140.666666666599</c:v>
                </c:pt>
                <c:pt idx="630">
                  <c:v>45141.666666666599</c:v>
                </c:pt>
                <c:pt idx="631">
                  <c:v>45142.666666666599</c:v>
                </c:pt>
                <c:pt idx="632">
                  <c:v>45145.666666666599</c:v>
                </c:pt>
                <c:pt idx="633">
                  <c:v>45146.666666666599</c:v>
                </c:pt>
                <c:pt idx="634">
                  <c:v>45147.666666666599</c:v>
                </c:pt>
                <c:pt idx="635">
                  <c:v>45148.666666666599</c:v>
                </c:pt>
                <c:pt idx="636">
                  <c:v>45149.666666666599</c:v>
                </c:pt>
                <c:pt idx="637">
                  <c:v>45152.666666666599</c:v>
                </c:pt>
                <c:pt idx="638">
                  <c:v>45153.666666666599</c:v>
                </c:pt>
                <c:pt idx="639">
                  <c:v>45154.666666666599</c:v>
                </c:pt>
                <c:pt idx="640">
                  <c:v>45155.666666666599</c:v>
                </c:pt>
                <c:pt idx="641">
                  <c:v>45156.666666666599</c:v>
                </c:pt>
                <c:pt idx="642">
                  <c:v>45159.666666666599</c:v>
                </c:pt>
                <c:pt idx="643">
                  <c:v>45160.666666666599</c:v>
                </c:pt>
                <c:pt idx="644">
                  <c:v>45161.666666666599</c:v>
                </c:pt>
                <c:pt idx="645">
                  <c:v>45162.666666666599</c:v>
                </c:pt>
                <c:pt idx="646">
                  <c:v>45163.666666666599</c:v>
                </c:pt>
                <c:pt idx="647">
                  <c:v>45166.666666666599</c:v>
                </c:pt>
                <c:pt idx="648">
                  <c:v>45167.666666666599</c:v>
                </c:pt>
                <c:pt idx="649">
                  <c:v>45168.666666666599</c:v>
                </c:pt>
                <c:pt idx="650">
                  <c:v>45169.666666666599</c:v>
                </c:pt>
                <c:pt idx="651">
                  <c:v>45170.666666666599</c:v>
                </c:pt>
                <c:pt idx="652">
                  <c:v>45174.666666666599</c:v>
                </c:pt>
                <c:pt idx="653">
                  <c:v>45175.666666666599</c:v>
                </c:pt>
                <c:pt idx="654">
                  <c:v>45176.666666666599</c:v>
                </c:pt>
                <c:pt idx="655">
                  <c:v>45177.666666666599</c:v>
                </c:pt>
                <c:pt idx="656">
                  <c:v>45180.666666666599</c:v>
                </c:pt>
                <c:pt idx="657">
                  <c:v>45181.666666666599</c:v>
                </c:pt>
                <c:pt idx="658">
                  <c:v>45182.666666666599</c:v>
                </c:pt>
                <c:pt idx="659">
                  <c:v>45183.666666666599</c:v>
                </c:pt>
                <c:pt idx="660">
                  <c:v>45184.666666666599</c:v>
                </c:pt>
                <c:pt idx="661">
                  <c:v>45187.666666666599</c:v>
                </c:pt>
                <c:pt idx="662">
                  <c:v>45188.666666666599</c:v>
                </c:pt>
                <c:pt idx="663">
                  <c:v>45189.666666666599</c:v>
                </c:pt>
                <c:pt idx="664">
                  <c:v>45190.666666666599</c:v>
                </c:pt>
                <c:pt idx="665">
                  <c:v>45191.666666666599</c:v>
                </c:pt>
                <c:pt idx="666">
                  <c:v>45194.666666666599</c:v>
                </c:pt>
                <c:pt idx="667">
                  <c:v>45195.666666666599</c:v>
                </c:pt>
                <c:pt idx="668">
                  <c:v>45196.666666666599</c:v>
                </c:pt>
                <c:pt idx="669">
                  <c:v>45197.666666666599</c:v>
                </c:pt>
                <c:pt idx="670">
                  <c:v>45198.666666666599</c:v>
                </c:pt>
                <c:pt idx="671">
                  <c:v>45201.666666666599</c:v>
                </c:pt>
                <c:pt idx="672">
                  <c:v>45202.666666666599</c:v>
                </c:pt>
                <c:pt idx="673">
                  <c:v>45203.666666666599</c:v>
                </c:pt>
                <c:pt idx="674">
                  <c:v>45204.666666666599</c:v>
                </c:pt>
                <c:pt idx="675">
                  <c:v>45205.666666666599</c:v>
                </c:pt>
                <c:pt idx="676">
                  <c:v>45208.666666666599</c:v>
                </c:pt>
                <c:pt idx="677">
                  <c:v>45209.666666666599</c:v>
                </c:pt>
                <c:pt idx="678">
                  <c:v>45210.666666666599</c:v>
                </c:pt>
                <c:pt idx="679">
                  <c:v>45211.666666666599</c:v>
                </c:pt>
                <c:pt idx="680">
                  <c:v>45212.666666666599</c:v>
                </c:pt>
                <c:pt idx="681">
                  <c:v>45215.666666666599</c:v>
                </c:pt>
                <c:pt idx="682">
                  <c:v>45216.666666666599</c:v>
                </c:pt>
                <c:pt idx="683">
                  <c:v>45217.666666666599</c:v>
                </c:pt>
                <c:pt idx="684">
                  <c:v>45218.666666666599</c:v>
                </c:pt>
                <c:pt idx="685">
                  <c:v>45219.666666666599</c:v>
                </c:pt>
                <c:pt idx="686">
                  <c:v>45222.666666666599</c:v>
                </c:pt>
                <c:pt idx="687">
                  <c:v>45223.666666666599</c:v>
                </c:pt>
                <c:pt idx="688">
                  <c:v>45224.666666666599</c:v>
                </c:pt>
                <c:pt idx="689">
                  <c:v>45225.666666666599</c:v>
                </c:pt>
                <c:pt idx="690">
                  <c:v>45226.666666666599</c:v>
                </c:pt>
                <c:pt idx="691">
                  <c:v>45229.666666666599</c:v>
                </c:pt>
                <c:pt idx="692">
                  <c:v>45230.666666666599</c:v>
                </c:pt>
                <c:pt idx="693">
                  <c:v>45231.666666666599</c:v>
                </c:pt>
                <c:pt idx="694">
                  <c:v>45232.666666666599</c:v>
                </c:pt>
                <c:pt idx="695">
                  <c:v>45233.666666666599</c:v>
                </c:pt>
                <c:pt idx="696">
                  <c:v>45236.666666666599</c:v>
                </c:pt>
                <c:pt idx="697">
                  <c:v>45237.666666666599</c:v>
                </c:pt>
                <c:pt idx="698">
                  <c:v>45238.666666666599</c:v>
                </c:pt>
                <c:pt idx="699">
                  <c:v>45239.666666666599</c:v>
                </c:pt>
                <c:pt idx="700">
                  <c:v>45240.666666666599</c:v>
                </c:pt>
                <c:pt idx="701">
                  <c:v>45243.666666666599</c:v>
                </c:pt>
                <c:pt idx="702">
                  <c:v>45244.666666666599</c:v>
                </c:pt>
                <c:pt idx="703">
                  <c:v>45245.666666666599</c:v>
                </c:pt>
                <c:pt idx="704">
                  <c:v>45246.666666666599</c:v>
                </c:pt>
                <c:pt idx="705">
                  <c:v>45247.666666666599</c:v>
                </c:pt>
                <c:pt idx="706">
                  <c:v>45250.666666666599</c:v>
                </c:pt>
                <c:pt idx="707">
                  <c:v>45251.666666666599</c:v>
                </c:pt>
                <c:pt idx="708">
                  <c:v>45252.666666666599</c:v>
                </c:pt>
                <c:pt idx="709">
                  <c:v>45254.552083333299</c:v>
                </c:pt>
                <c:pt idx="710">
                  <c:v>45257.666666666599</c:v>
                </c:pt>
                <c:pt idx="711">
                  <c:v>45258.666666666599</c:v>
                </c:pt>
                <c:pt idx="712">
                  <c:v>45259.666666666599</c:v>
                </c:pt>
                <c:pt idx="713">
                  <c:v>45260.666666666599</c:v>
                </c:pt>
                <c:pt idx="714">
                  <c:v>45261.666666666599</c:v>
                </c:pt>
                <c:pt idx="715">
                  <c:v>45264.666666666599</c:v>
                </c:pt>
                <c:pt idx="716">
                  <c:v>45265.666666666599</c:v>
                </c:pt>
                <c:pt idx="717">
                  <c:v>45266.666666666599</c:v>
                </c:pt>
                <c:pt idx="718">
                  <c:v>45267.666666666599</c:v>
                </c:pt>
                <c:pt idx="719">
                  <c:v>45268.666666666599</c:v>
                </c:pt>
                <c:pt idx="720">
                  <c:v>45271.666666666599</c:v>
                </c:pt>
                <c:pt idx="721">
                  <c:v>45272.666666666599</c:v>
                </c:pt>
                <c:pt idx="722">
                  <c:v>45273.666666666599</c:v>
                </c:pt>
                <c:pt idx="723">
                  <c:v>45274.666666666599</c:v>
                </c:pt>
                <c:pt idx="724">
                  <c:v>45275.666666666599</c:v>
                </c:pt>
                <c:pt idx="725">
                  <c:v>45278.666666666599</c:v>
                </c:pt>
                <c:pt idx="726">
                  <c:v>45279.666666666599</c:v>
                </c:pt>
                <c:pt idx="727">
                  <c:v>45280.666666666599</c:v>
                </c:pt>
                <c:pt idx="728">
                  <c:v>45281.666666666599</c:v>
                </c:pt>
                <c:pt idx="729">
                  <c:v>45282.666666666599</c:v>
                </c:pt>
                <c:pt idx="730">
                  <c:v>45286.666666666599</c:v>
                </c:pt>
                <c:pt idx="731">
                  <c:v>45287.666666666599</c:v>
                </c:pt>
                <c:pt idx="732">
                  <c:v>45288.666666666599</c:v>
                </c:pt>
                <c:pt idx="733">
                  <c:v>45289.666666666599</c:v>
                </c:pt>
                <c:pt idx="734">
                  <c:v>45293.666666666599</c:v>
                </c:pt>
                <c:pt idx="735">
                  <c:v>45294.666666666599</c:v>
                </c:pt>
                <c:pt idx="736">
                  <c:v>45295.666666666599</c:v>
                </c:pt>
                <c:pt idx="737">
                  <c:v>45296.666666666599</c:v>
                </c:pt>
                <c:pt idx="738">
                  <c:v>45299.666666666599</c:v>
                </c:pt>
                <c:pt idx="739">
                  <c:v>45300.666666666599</c:v>
                </c:pt>
                <c:pt idx="740">
                  <c:v>45301.666666666599</c:v>
                </c:pt>
                <c:pt idx="741">
                  <c:v>45302.666666666599</c:v>
                </c:pt>
                <c:pt idx="742">
                  <c:v>45303.666666666599</c:v>
                </c:pt>
                <c:pt idx="743">
                  <c:v>45307.666666666599</c:v>
                </c:pt>
                <c:pt idx="744">
                  <c:v>45308.666666666599</c:v>
                </c:pt>
                <c:pt idx="745">
                  <c:v>45309.666666666599</c:v>
                </c:pt>
                <c:pt idx="746">
                  <c:v>45310.666666666599</c:v>
                </c:pt>
                <c:pt idx="747">
                  <c:v>45313.666666666599</c:v>
                </c:pt>
                <c:pt idx="748">
                  <c:v>45314.666666666599</c:v>
                </c:pt>
                <c:pt idx="749">
                  <c:v>45315.666666666599</c:v>
                </c:pt>
                <c:pt idx="750">
                  <c:v>45316.666666666599</c:v>
                </c:pt>
                <c:pt idx="751">
                  <c:v>45317.666666666599</c:v>
                </c:pt>
                <c:pt idx="752">
                  <c:v>45320.666666666599</c:v>
                </c:pt>
                <c:pt idx="753">
                  <c:v>45321.666666666599</c:v>
                </c:pt>
                <c:pt idx="754">
                  <c:v>45322.666666666599</c:v>
                </c:pt>
                <c:pt idx="755">
                  <c:v>45323.666666666599</c:v>
                </c:pt>
                <c:pt idx="756">
                  <c:v>45324.666666666599</c:v>
                </c:pt>
                <c:pt idx="757">
                  <c:v>45327.666666666599</c:v>
                </c:pt>
                <c:pt idx="758">
                  <c:v>45328.666666666599</c:v>
                </c:pt>
                <c:pt idx="759">
                  <c:v>45329.666666666599</c:v>
                </c:pt>
                <c:pt idx="760">
                  <c:v>45330.666666666599</c:v>
                </c:pt>
                <c:pt idx="761">
                  <c:v>45331.666666666599</c:v>
                </c:pt>
                <c:pt idx="762">
                  <c:v>45334.666666666599</c:v>
                </c:pt>
                <c:pt idx="763">
                  <c:v>45335.666666666599</c:v>
                </c:pt>
                <c:pt idx="764">
                  <c:v>45336.666666666599</c:v>
                </c:pt>
                <c:pt idx="765">
                  <c:v>45337.666666666599</c:v>
                </c:pt>
                <c:pt idx="766">
                  <c:v>45338.666666666599</c:v>
                </c:pt>
                <c:pt idx="767">
                  <c:v>45342.666666666599</c:v>
                </c:pt>
                <c:pt idx="768">
                  <c:v>45343.666666666599</c:v>
                </c:pt>
                <c:pt idx="769">
                  <c:v>45344.666666666599</c:v>
                </c:pt>
                <c:pt idx="770">
                  <c:v>45345.666666666599</c:v>
                </c:pt>
                <c:pt idx="771">
                  <c:v>45348.666666666599</c:v>
                </c:pt>
                <c:pt idx="772">
                  <c:v>45349.666666666599</c:v>
                </c:pt>
                <c:pt idx="773">
                  <c:v>45350.666666666599</c:v>
                </c:pt>
                <c:pt idx="774">
                  <c:v>45351.666666666599</c:v>
                </c:pt>
                <c:pt idx="775">
                  <c:v>45352.666666666599</c:v>
                </c:pt>
                <c:pt idx="776">
                  <c:v>45355.666666666599</c:v>
                </c:pt>
                <c:pt idx="777">
                  <c:v>45356.666666666599</c:v>
                </c:pt>
                <c:pt idx="778">
                  <c:v>45357.666666666599</c:v>
                </c:pt>
                <c:pt idx="779">
                  <c:v>45358.666666666599</c:v>
                </c:pt>
                <c:pt idx="780">
                  <c:v>45359.666666666599</c:v>
                </c:pt>
                <c:pt idx="781">
                  <c:v>45362.666666666599</c:v>
                </c:pt>
                <c:pt idx="782">
                  <c:v>45363.666666666599</c:v>
                </c:pt>
                <c:pt idx="783">
                  <c:v>45364.666666666599</c:v>
                </c:pt>
                <c:pt idx="784">
                  <c:v>45365.666666666599</c:v>
                </c:pt>
                <c:pt idx="785">
                  <c:v>45366.666666666599</c:v>
                </c:pt>
                <c:pt idx="786">
                  <c:v>45369.666666666599</c:v>
                </c:pt>
                <c:pt idx="787">
                  <c:v>45370.666666666599</c:v>
                </c:pt>
                <c:pt idx="788">
                  <c:v>45371.666666666599</c:v>
                </c:pt>
                <c:pt idx="789">
                  <c:v>45372.666666666599</c:v>
                </c:pt>
                <c:pt idx="790">
                  <c:v>45373.666666666599</c:v>
                </c:pt>
                <c:pt idx="791">
                  <c:v>45376.666666666599</c:v>
                </c:pt>
                <c:pt idx="792">
                  <c:v>45377.666666666599</c:v>
                </c:pt>
                <c:pt idx="793">
                  <c:v>45378.666666666599</c:v>
                </c:pt>
                <c:pt idx="794">
                  <c:v>45379.666666666599</c:v>
                </c:pt>
                <c:pt idx="795">
                  <c:v>45383.666666666599</c:v>
                </c:pt>
                <c:pt idx="796">
                  <c:v>45384.666666666599</c:v>
                </c:pt>
                <c:pt idx="797">
                  <c:v>45385.666666666599</c:v>
                </c:pt>
                <c:pt idx="798">
                  <c:v>45386.666666666599</c:v>
                </c:pt>
                <c:pt idx="799">
                  <c:v>45387.666666666599</c:v>
                </c:pt>
                <c:pt idx="800">
                  <c:v>45390.666666666599</c:v>
                </c:pt>
                <c:pt idx="801">
                  <c:v>45391.666666666599</c:v>
                </c:pt>
                <c:pt idx="802">
                  <c:v>45392.666666666599</c:v>
                </c:pt>
                <c:pt idx="803">
                  <c:v>45393.666666666599</c:v>
                </c:pt>
                <c:pt idx="804">
                  <c:v>45394.666666666599</c:v>
                </c:pt>
                <c:pt idx="805">
                  <c:v>45397.666666666599</c:v>
                </c:pt>
                <c:pt idx="806">
                  <c:v>45398.666666666599</c:v>
                </c:pt>
                <c:pt idx="807">
                  <c:v>45399.666666666599</c:v>
                </c:pt>
                <c:pt idx="808">
                  <c:v>45400.666666666599</c:v>
                </c:pt>
                <c:pt idx="809">
                  <c:v>45401.666666666599</c:v>
                </c:pt>
                <c:pt idx="810">
                  <c:v>45404.666666666599</c:v>
                </c:pt>
                <c:pt idx="811">
                  <c:v>45405.666666666599</c:v>
                </c:pt>
                <c:pt idx="812">
                  <c:v>45406.666666666599</c:v>
                </c:pt>
                <c:pt idx="813">
                  <c:v>45407.666666666599</c:v>
                </c:pt>
                <c:pt idx="814">
                  <c:v>45408.666666666599</c:v>
                </c:pt>
                <c:pt idx="815">
                  <c:v>45411.666666666599</c:v>
                </c:pt>
                <c:pt idx="816">
                  <c:v>45412.666666666599</c:v>
                </c:pt>
                <c:pt idx="817">
                  <c:v>45413.666666666599</c:v>
                </c:pt>
                <c:pt idx="818">
                  <c:v>45414.666666666599</c:v>
                </c:pt>
                <c:pt idx="819">
                  <c:v>45415.666666666599</c:v>
                </c:pt>
                <c:pt idx="820">
                  <c:v>45418.666666666599</c:v>
                </c:pt>
                <c:pt idx="821">
                  <c:v>45419.666666666599</c:v>
                </c:pt>
                <c:pt idx="822">
                  <c:v>45420.666666666599</c:v>
                </c:pt>
                <c:pt idx="823">
                  <c:v>45421.666666666599</c:v>
                </c:pt>
                <c:pt idx="824">
                  <c:v>45422.666666666599</c:v>
                </c:pt>
                <c:pt idx="825">
                  <c:v>45425.666666666599</c:v>
                </c:pt>
                <c:pt idx="826">
                  <c:v>45426.666666666599</c:v>
                </c:pt>
                <c:pt idx="827">
                  <c:v>45427.666666666599</c:v>
                </c:pt>
                <c:pt idx="828">
                  <c:v>45428.666666666599</c:v>
                </c:pt>
                <c:pt idx="829">
                  <c:v>45429.666666666599</c:v>
                </c:pt>
                <c:pt idx="830">
                  <c:v>45432.666666666599</c:v>
                </c:pt>
                <c:pt idx="831">
                  <c:v>45433.666666666599</c:v>
                </c:pt>
                <c:pt idx="832">
                  <c:v>45434.666666666599</c:v>
                </c:pt>
                <c:pt idx="833">
                  <c:v>45435.666666666599</c:v>
                </c:pt>
                <c:pt idx="834">
                  <c:v>45436.666666666599</c:v>
                </c:pt>
                <c:pt idx="835">
                  <c:v>45440.666666666599</c:v>
                </c:pt>
                <c:pt idx="836">
                  <c:v>45441.666666666599</c:v>
                </c:pt>
                <c:pt idx="837">
                  <c:v>45442.666666666599</c:v>
                </c:pt>
                <c:pt idx="838">
                  <c:v>45443.666666666599</c:v>
                </c:pt>
                <c:pt idx="839">
                  <c:v>45446.666666666599</c:v>
                </c:pt>
                <c:pt idx="840">
                  <c:v>45447.666666666599</c:v>
                </c:pt>
                <c:pt idx="841">
                  <c:v>45448.666666666599</c:v>
                </c:pt>
                <c:pt idx="842">
                  <c:v>45449.666666666599</c:v>
                </c:pt>
                <c:pt idx="843">
                  <c:v>45450.666666666599</c:v>
                </c:pt>
                <c:pt idx="844">
                  <c:v>45453.666666666599</c:v>
                </c:pt>
                <c:pt idx="845">
                  <c:v>45454.666666666599</c:v>
                </c:pt>
                <c:pt idx="846">
                  <c:v>45455.666666666599</c:v>
                </c:pt>
                <c:pt idx="847">
                  <c:v>45456.666666666599</c:v>
                </c:pt>
                <c:pt idx="848">
                  <c:v>45457.666666666599</c:v>
                </c:pt>
                <c:pt idx="849">
                  <c:v>45460.666666666599</c:v>
                </c:pt>
                <c:pt idx="850">
                  <c:v>45461.666666666599</c:v>
                </c:pt>
                <c:pt idx="851">
                  <c:v>45463.666666666599</c:v>
                </c:pt>
                <c:pt idx="852">
                  <c:v>45464.666666666599</c:v>
                </c:pt>
                <c:pt idx="853">
                  <c:v>45467.666666666599</c:v>
                </c:pt>
                <c:pt idx="854">
                  <c:v>45468.666666666599</c:v>
                </c:pt>
                <c:pt idx="855">
                  <c:v>45469.666666666599</c:v>
                </c:pt>
                <c:pt idx="856">
                  <c:v>45470.666666666599</c:v>
                </c:pt>
                <c:pt idx="857">
                  <c:v>45471.666666666599</c:v>
                </c:pt>
                <c:pt idx="858">
                  <c:v>45474.666666666599</c:v>
                </c:pt>
                <c:pt idx="859">
                  <c:v>45475.666666666599</c:v>
                </c:pt>
                <c:pt idx="860">
                  <c:v>45476.552083333299</c:v>
                </c:pt>
                <c:pt idx="861">
                  <c:v>45478.666666666599</c:v>
                </c:pt>
                <c:pt idx="862">
                  <c:v>45481.666666666599</c:v>
                </c:pt>
                <c:pt idx="863">
                  <c:v>45482.666666666599</c:v>
                </c:pt>
                <c:pt idx="864">
                  <c:v>45483.666666666599</c:v>
                </c:pt>
                <c:pt idx="865">
                  <c:v>45484.666666666599</c:v>
                </c:pt>
                <c:pt idx="866">
                  <c:v>45485.666666666599</c:v>
                </c:pt>
                <c:pt idx="867">
                  <c:v>45488.666666666599</c:v>
                </c:pt>
                <c:pt idx="868">
                  <c:v>45489.666666666599</c:v>
                </c:pt>
                <c:pt idx="869">
                  <c:v>45490.666666666599</c:v>
                </c:pt>
                <c:pt idx="870">
                  <c:v>45491.666666666599</c:v>
                </c:pt>
                <c:pt idx="871">
                  <c:v>45492.666666666599</c:v>
                </c:pt>
                <c:pt idx="872">
                  <c:v>45495.666666666599</c:v>
                </c:pt>
                <c:pt idx="873">
                  <c:v>45496.666666666599</c:v>
                </c:pt>
                <c:pt idx="874">
                  <c:v>45497.666666666599</c:v>
                </c:pt>
                <c:pt idx="875">
                  <c:v>45498.666666666599</c:v>
                </c:pt>
                <c:pt idx="876">
                  <c:v>45499.666666666599</c:v>
                </c:pt>
                <c:pt idx="877">
                  <c:v>45502.666666666599</c:v>
                </c:pt>
                <c:pt idx="878">
                  <c:v>45503.666666666599</c:v>
                </c:pt>
                <c:pt idx="879">
                  <c:v>45504.666666666599</c:v>
                </c:pt>
                <c:pt idx="880">
                  <c:v>45505.666666666599</c:v>
                </c:pt>
                <c:pt idx="881">
                  <c:v>45506.666666666599</c:v>
                </c:pt>
                <c:pt idx="882">
                  <c:v>45509.666666666599</c:v>
                </c:pt>
                <c:pt idx="883">
                  <c:v>45510.666666666599</c:v>
                </c:pt>
                <c:pt idx="884">
                  <c:v>45511.666666666599</c:v>
                </c:pt>
                <c:pt idx="885">
                  <c:v>45512.666666666599</c:v>
                </c:pt>
                <c:pt idx="886">
                  <c:v>45513.666666666599</c:v>
                </c:pt>
                <c:pt idx="887">
                  <c:v>45516.666666666599</c:v>
                </c:pt>
                <c:pt idx="888">
                  <c:v>45517.666666666599</c:v>
                </c:pt>
                <c:pt idx="889">
                  <c:v>45518.666666666599</c:v>
                </c:pt>
                <c:pt idx="890">
                  <c:v>45519.666666666599</c:v>
                </c:pt>
                <c:pt idx="891">
                  <c:v>45520.666666666599</c:v>
                </c:pt>
                <c:pt idx="892">
                  <c:v>45523.666666666599</c:v>
                </c:pt>
                <c:pt idx="893">
                  <c:v>45524.666666666599</c:v>
                </c:pt>
                <c:pt idx="894">
                  <c:v>45525.666666666599</c:v>
                </c:pt>
                <c:pt idx="895">
                  <c:v>45526.666666666599</c:v>
                </c:pt>
                <c:pt idx="896">
                  <c:v>45527.666666666599</c:v>
                </c:pt>
                <c:pt idx="897">
                  <c:v>45530.666666666599</c:v>
                </c:pt>
                <c:pt idx="898">
                  <c:v>45531.666666666599</c:v>
                </c:pt>
                <c:pt idx="899">
                  <c:v>45532.666666666599</c:v>
                </c:pt>
                <c:pt idx="900">
                  <c:v>45533.666666666599</c:v>
                </c:pt>
                <c:pt idx="901">
                  <c:v>45534.666666666599</c:v>
                </c:pt>
                <c:pt idx="902">
                  <c:v>45538.666666666599</c:v>
                </c:pt>
                <c:pt idx="903">
                  <c:v>45539.666666666599</c:v>
                </c:pt>
                <c:pt idx="904">
                  <c:v>45540.666666666599</c:v>
                </c:pt>
                <c:pt idx="905">
                  <c:v>45541.666666666599</c:v>
                </c:pt>
                <c:pt idx="906">
                  <c:v>45544.666666666599</c:v>
                </c:pt>
                <c:pt idx="907">
                  <c:v>45545.666666666599</c:v>
                </c:pt>
                <c:pt idx="908">
                  <c:v>45546.666666666599</c:v>
                </c:pt>
                <c:pt idx="909">
                  <c:v>45547.666666666599</c:v>
                </c:pt>
                <c:pt idx="910">
                  <c:v>45548.666666666599</c:v>
                </c:pt>
                <c:pt idx="911">
                  <c:v>45551.666666666599</c:v>
                </c:pt>
                <c:pt idx="912">
                  <c:v>45552.666666666599</c:v>
                </c:pt>
                <c:pt idx="913">
                  <c:v>45553.666666666599</c:v>
                </c:pt>
                <c:pt idx="914">
                  <c:v>45554.666666666599</c:v>
                </c:pt>
                <c:pt idx="915">
                  <c:v>45555.666666666599</c:v>
                </c:pt>
                <c:pt idx="916">
                  <c:v>45558.666666666599</c:v>
                </c:pt>
                <c:pt idx="917">
                  <c:v>45559.666666666599</c:v>
                </c:pt>
                <c:pt idx="918">
                  <c:v>45560.666666666599</c:v>
                </c:pt>
                <c:pt idx="919">
                  <c:v>45561.666666666599</c:v>
                </c:pt>
                <c:pt idx="920">
                  <c:v>45562.666666666599</c:v>
                </c:pt>
                <c:pt idx="921">
                  <c:v>45565.666666666599</c:v>
                </c:pt>
                <c:pt idx="922">
                  <c:v>45566.666666666599</c:v>
                </c:pt>
                <c:pt idx="923">
                  <c:v>45567.666666666599</c:v>
                </c:pt>
                <c:pt idx="924">
                  <c:v>45568.666666666599</c:v>
                </c:pt>
                <c:pt idx="925">
                  <c:v>45569.666666666599</c:v>
                </c:pt>
                <c:pt idx="926">
                  <c:v>45572.666666666599</c:v>
                </c:pt>
                <c:pt idx="927">
                  <c:v>45573.666666666599</c:v>
                </c:pt>
                <c:pt idx="928">
                  <c:v>45574.666666666599</c:v>
                </c:pt>
                <c:pt idx="929">
                  <c:v>45575.666666666599</c:v>
                </c:pt>
                <c:pt idx="930">
                  <c:v>45576.666666666599</c:v>
                </c:pt>
                <c:pt idx="931">
                  <c:v>45579.666666666599</c:v>
                </c:pt>
                <c:pt idx="932">
                  <c:v>45580.666666666599</c:v>
                </c:pt>
                <c:pt idx="933">
                  <c:v>45581.666666666599</c:v>
                </c:pt>
                <c:pt idx="934">
                  <c:v>45582.666666666599</c:v>
                </c:pt>
                <c:pt idx="935">
                  <c:v>45583.666666666599</c:v>
                </c:pt>
                <c:pt idx="936">
                  <c:v>45586.666666666599</c:v>
                </c:pt>
                <c:pt idx="937">
                  <c:v>45587.666666666599</c:v>
                </c:pt>
                <c:pt idx="938">
                  <c:v>45588.666666666599</c:v>
                </c:pt>
                <c:pt idx="939">
                  <c:v>45589.666666666599</c:v>
                </c:pt>
                <c:pt idx="940">
                  <c:v>45590.666666666599</c:v>
                </c:pt>
                <c:pt idx="941">
                  <c:v>45593.666666666599</c:v>
                </c:pt>
                <c:pt idx="942">
                  <c:v>45594.666666666599</c:v>
                </c:pt>
                <c:pt idx="943">
                  <c:v>45595.666666666599</c:v>
                </c:pt>
                <c:pt idx="944">
                  <c:v>45596.666666666599</c:v>
                </c:pt>
                <c:pt idx="945">
                  <c:v>45597.666666666599</c:v>
                </c:pt>
                <c:pt idx="946">
                  <c:v>45600.666666666599</c:v>
                </c:pt>
                <c:pt idx="947">
                  <c:v>45601.666666666599</c:v>
                </c:pt>
                <c:pt idx="948">
                  <c:v>45602.666666666599</c:v>
                </c:pt>
                <c:pt idx="949">
                  <c:v>45603.666666666599</c:v>
                </c:pt>
                <c:pt idx="950">
                  <c:v>45604.666666666599</c:v>
                </c:pt>
                <c:pt idx="951">
                  <c:v>45607.666666666599</c:v>
                </c:pt>
                <c:pt idx="952">
                  <c:v>45608.666666666599</c:v>
                </c:pt>
                <c:pt idx="953">
                  <c:v>45609.666666666599</c:v>
                </c:pt>
                <c:pt idx="954">
                  <c:v>45610.666666666599</c:v>
                </c:pt>
                <c:pt idx="955">
                  <c:v>45611.666666666599</c:v>
                </c:pt>
                <c:pt idx="956">
                  <c:v>45614.666666666599</c:v>
                </c:pt>
                <c:pt idx="957">
                  <c:v>45615.666666666599</c:v>
                </c:pt>
                <c:pt idx="958">
                  <c:v>45616.666666666599</c:v>
                </c:pt>
                <c:pt idx="959">
                  <c:v>45617.666666666599</c:v>
                </c:pt>
                <c:pt idx="960">
                  <c:v>45618.666666666599</c:v>
                </c:pt>
                <c:pt idx="961">
                  <c:v>45621.666666666599</c:v>
                </c:pt>
                <c:pt idx="962">
                  <c:v>45622.666666666599</c:v>
                </c:pt>
                <c:pt idx="963">
                  <c:v>45623.666666666599</c:v>
                </c:pt>
                <c:pt idx="964">
                  <c:v>45625.552083333299</c:v>
                </c:pt>
                <c:pt idx="965">
                  <c:v>45628.666666666599</c:v>
                </c:pt>
                <c:pt idx="966">
                  <c:v>45629.666666666599</c:v>
                </c:pt>
                <c:pt idx="967">
                  <c:v>45630.666666666599</c:v>
                </c:pt>
                <c:pt idx="968">
                  <c:v>45631.666666666599</c:v>
                </c:pt>
                <c:pt idx="969">
                  <c:v>45632.666666666599</c:v>
                </c:pt>
                <c:pt idx="970">
                  <c:v>45635.666666666599</c:v>
                </c:pt>
                <c:pt idx="971">
                  <c:v>45636.666666666599</c:v>
                </c:pt>
                <c:pt idx="972">
                  <c:v>45637.666666666599</c:v>
                </c:pt>
                <c:pt idx="973">
                  <c:v>45638.666666666599</c:v>
                </c:pt>
                <c:pt idx="974">
                  <c:v>45639.666666666599</c:v>
                </c:pt>
                <c:pt idx="975">
                  <c:v>45642.666666666599</c:v>
                </c:pt>
                <c:pt idx="976">
                  <c:v>45643.666666666599</c:v>
                </c:pt>
                <c:pt idx="977">
                  <c:v>45644.666666666599</c:v>
                </c:pt>
                <c:pt idx="978">
                  <c:v>45645.666666666599</c:v>
                </c:pt>
                <c:pt idx="979">
                  <c:v>45646.666666666599</c:v>
                </c:pt>
                <c:pt idx="980">
                  <c:v>45649.666666666599</c:v>
                </c:pt>
                <c:pt idx="981">
                  <c:v>45650.541666666599</c:v>
                </c:pt>
                <c:pt idx="982">
                  <c:v>45652.666666666599</c:v>
                </c:pt>
                <c:pt idx="983">
                  <c:v>45653.666666666599</c:v>
                </c:pt>
                <c:pt idx="984">
                  <c:v>45656.666666666599</c:v>
                </c:pt>
                <c:pt idx="985">
                  <c:v>45657.666666666599</c:v>
                </c:pt>
                <c:pt idx="986">
                  <c:v>45659.666666666599</c:v>
                </c:pt>
                <c:pt idx="987">
                  <c:v>45660.666666666599</c:v>
                </c:pt>
                <c:pt idx="988">
                  <c:v>45663.666666666599</c:v>
                </c:pt>
                <c:pt idx="989">
                  <c:v>45664.666666666599</c:v>
                </c:pt>
                <c:pt idx="990">
                  <c:v>45665.666666666599</c:v>
                </c:pt>
                <c:pt idx="991">
                  <c:v>45667.666666666599</c:v>
                </c:pt>
                <c:pt idx="992">
                  <c:v>45670.666666666599</c:v>
                </c:pt>
                <c:pt idx="993">
                  <c:v>45671.666666666599</c:v>
                </c:pt>
                <c:pt idx="994">
                  <c:v>45672.666666666599</c:v>
                </c:pt>
                <c:pt idx="995">
                  <c:v>45673.666666666599</c:v>
                </c:pt>
                <c:pt idx="996">
                  <c:v>45674.666666666599</c:v>
                </c:pt>
                <c:pt idx="997">
                  <c:v>45678.666666666599</c:v>
                </c:pt>
                <c:pt idx="998">
                  <c:v>45679.666666666599</c:v>
                </c:pt>
                <c:pt idx="999">
                  <c:v>45680.666666666599</c:v>
                </c:pt>
                <c:pt idx="1000">
                  <c:v>45681.666666666599</c:v>
                </c:pt>
                <c:pt idx="1001">
                  <c:v>45684.666666666599</c:v>
                </c:pt>
                <c:pt idx="1002">
                  <c:v>45685.666666666599</c:v>
                </c:pt>
                <c:pt idx="1003">
                  <c:v>45686.666666666599</c:v>
                </c:pt>
                <c:pt idx="1004">
                  <c:v>45687.666666666599</c:v>
                </c:pt>
                <c:pt idx="1005">
                  <c:v>45688.666666666599</c:v>
                </c:pt>
                <c:pt idx="1006">
                  <c:v>45691.666666666599</c:v>
                </c:pt>
                <c:pt idx="1007">
                  <c:v>45692.666666666599</c:v>
                </c:pt>
                <c:pt idx="1008">
                  <c:v>45693.666666666599</c:v>
                </c:pt>
                <c:pt idx="1009">
                  <c:v>45694.666666666599</c:v>
                </c:pt>
                <c:pt idx="1010">
                  <c:v>45695.666666666599</c:v>
                </c:pt>
                <c:pt idx="1011">
                  <c:v>45698.666666666599</c:v>
                </c:pt>
                <c:pt idx="1012">
                  <c:v>45699.666666666599</c:v>
                </c:pt>
                <c:pt idx="1013">
                  <c:v>45700.666666666599</c:v>
                </c:pt>
                <c:pt idx="1014">
                  <c:v>45701.666666666599</c:v>
                </c:pt>
                <c:pt idx="1015">
                  <c:v>45702.666666666599</c:v>
                </c:pt>
                <c:pt idx="1016">
                  <c:v>45706.666666666599</c:v>
                </c:pt>
                <c:pt idx="1017">
                  <c:v>45707.666666666599</c:v>
                </c:pt>
                <c:pt idx="1018">
                  <c:v>45708.666666666599</c:v>
                </c:pt>
                <c:pt idx="1019">
                  <c:v>45709.666666666599</c:v>
                </c:pt>
                <c:pt idx="1020">
                  <c:v>45712.666666666599</c:v>
                </c:pt>
                <c:pt idx="1021">
                  <c:v>45713.666666666599</c:v>
                </c:pt>
                <c:pt idx="1022">
                  <c:v>45714.666666666599</c:v>
                </c:pt>
                <c:pt idx="1023">
                  <c:v>45715.666666666599</c:v>
                </c:pt>
                <c:pt idx="1024">
                  <c:v>45716.666666666599</c:v>
                </c:pt>
                <c:pt idx="1025">
                  <c:v>45719.666666666599</c:v>
                </c:pt>
                <c:pt idx="1026">
                  <c:v>45720.666666666599</c:v>
                </c:pt>
                <c:pt idx="1027">
                  <c:v>45721.666666666599</c:v>
                </c:pt>
                <c:pt idx="1028">
                  <c:v>45722.666666666599</c:v>
                </c:pt>
                <c:pt idx="1029">
                  <c:v>45723.666666666599</c:v>
                </c:pt>
                <c:pt idx="1030">
                  <c:v>45726.666666666599</c:v>
                </c:pt>
                <c:pt idx="1031">
                  <c:v>45727.666666666599</c:v>
                </c:pt>
                <c:pt idx="1032">
                  <c:v>45728.666666666599</c:v>
                </c:pt>
                <c:pt idx="1033">
                  <c:v>45729.666666666599</c:v>
                </c:pt>
                <c:pt idx="1034">
                  <c:v>45730.666666666599</c:v>
                </c:pt>
                <c:pt idx="1035">
                  <c:v>45733.666666666599</c:v>
                </c:pt>
                <c:pt idx="1036">
                  <c:v>45734.666666666599</c:v>
                </c:pt>
                <c:pt idx="1037">
                  <c:v>45735.666666666599</c:v>
                </c:pt>
                <c:pt idx="1038">
                  <c:v>45736.666666666599</c:v>
                </c:pt>
                <c:pt idx="1039">
                  <c:v>45737.666666666599</c:v>
                </c:pt>
                <c:pt idx="1040">
                  <c:v>45740.666666666599</c:v>
                </c:pt>
                <c:pt idx="1041">
                  <c:v>45741.666666666599</c:v>
                </c:pt>
                <c:pt idx="1042">
                  <c:v>45742.666666666599</c:v>
                </c:pt>
                <c:pt idx="1043">
                  <c:v>45743.666666666599</c:v>
                </c:pt>
                <c:pt idx="1044">
                  <c:v>45744.666666666599</c:v>
                </c:pt>
                <c:pt idx="1045">
                  <c:v>45747.666666666599</c:v>
                </c:pt>
                <c:pt idx="1046">
                  <c:v>45748.666666666599</c:v>
                </c:pt>
                <c:pt idx="1047">
                  <c:v>45749.666666666599</c:v>
                </c:pt>
                <c:pt idx="1048">
                  <c:v>45750.666666666599</c:v>
                </c:pt>
                <c:pt idx="1049">
                  <c:v>45751.666666666599</c:v>
                </c:pt>
                <c:pt idx="1050">
                  <c:v>45754.666666666599</c:v>
                </c:pt>
                <c:pt idx="1051">
                  <c:v>45755.666666666599</c:v>
                </c:pt>
                <c:pt idx="1052">
                  <c:v>45756.666666666599</c:v>
                </c:pt>
                <c:pt idx="1053">
                  <c:v>45757.666666666599</c:v>
                </c:pt>
                <c:pt idx="1054">
                  <c:v>45758.666666666599</c:v>
                </c:pt>
                <c:pt idx="1055">
                  <c:v>45761.666666666599</c:v>
                </c:pt>
                <c:pt idx="1056">
                  <c:v>45762.666666666599</c:v>
                </c:pt>
                <c:pt idx="1057">
                  <c:v>45763.666666666599</c:v>
                </c:pt>
                <c:pt idx="1058">
                  <c:v>45764.666666666599</c:v>
                </c:pt>
                <c:pt idx="1059">
                  <c:v>45768.666666666599</c:v>
                </c:pt>
                <c:pt idx="1060">
                  <c:v>45769.666666666599</c:v>
                </c:pt>
                <c:pt idx="1061">
                  <c:v>45770.666666666599</c:v>
                </c:pt>
                <c:pt idx="1062">
                  <c:v>45771.666666666599</c:v>
                </c:pt>
                <c:pt idx="1063">
                  <c:v>45772.666666666599</c:v>
                </c:pt>
                <c:pt idx="1064">
                  <c:v>45775.666666666599</c:v>
                </c:pt>
                <c:pt idx="1065">
                  <c:v>45776.666666666599</c:v>
                </c:pt>
                <c:pt idx="1066">
                  <c:v>45777.666666666599</c:v>
                </c:pt>
                <c:pt idx="1067">
                  <c:v>45778.666666666599</c:v>
                </c:pt>
                <c:pt idx="1068">
                  <c:v>45779.666666666599</c:v>
                </c:pt>
                <c:pt idx="1069">
                  <c:v>45782.666666666599</c:v>
                </c:pt>
                <c:pt idx="1070">
                  <c:v>45783.666666666599</c:v>
                </c:pt>
                <c:pt idx="1071">
                  <c:v>45784.666666666599</c:v>
                </c:pt>
                <c:pt idx="1072">
                  <c:v>45785.666666666599</c:v>
                </c:pt>
                <c:pt idx="1073">
                  <c:v>45786.666666666599</c:v>
                </c:pt>
                <c:pt idx="1074">
                  <c:v>45789.666666666599</c:v>
                </c:pt>
                <c:pt idx="1075">
                  <c:v>45790.666666666599</c:v>
                </c:pt>
                <c:pt idx="1076">
                  <c:v>45791.666666666599</c:v>
                </c:pt>
                <c:pt idx="1077">
                  <c:v>45792.666666666599</c:v>
                </c:pt>
                <c:pt idx="1078">
                  <c:v>45793.666666666599</c:v>
                </c:pt>
                <c:pt idx="1079">
                  <c:v>45796.666666666599</c:v>
                </c:pt>
                <c:pt idx="1080">
                  <c:v>45797.666666666599</c:v>
                </c:pt>
                <c:pt idx="1081">
                  <c:v>45798.666666666599</c:v>
                </c:pt>
                <c:pt idx="1082">
                  <c:v>45799.666666666599</c:v>
                </c:pt>
                <c:pt idx="1083">
                  <c:v>45800.666666666599</c:v>
                </c:pt>
                <c:pt idx="1084">
                  <c:v>45804.666666666599</c:v>
                </c:pt>
                <c:pt idx="1085">
                  <c:v>45805.666666666599</c:v>
                </c:pt>
                <c:pt idx="1086">
                  <c:v>45806.666666666599</c:v>
                </c:pt>
                <c:pt idx="1087">
                  <c:v>45807.666666666599</c:v>
                </c:pt>
                <c:pt idx="1088">
                  <c:v>45810.666666666599</c:v>
                </c:pt>
                <c:pt idx="1089">
                  <c:v>45811.666666666599</c:v>
                </c:pt>
                <c:pt idx="1090">
                  <c:v>45812.666666666599</c:v>
                </c:pt>
                <c:pt idx="1091">
                  <c:v>45813.666666666599</c:v>
                </c:pt>
                <c:pt idx="1092">
                  <c:v>45814.666666666599</c:v>
                </c:pt>
                <c:pt idx="1093">
                  <c:v>45817.666666666599</c:v>
                </c:pt>
                <c:pt idx="1094">
                  <c:v>45818.666666666599</c:v>
                </c:pt>
                <c:pt idx="1095">
                  <c:v>45819.666666666599</c:v>
                </c:pt>
                <c:pt idx="1096">
                  <c:v>45820.666666666599</c:v>
                </c:pt>
                <c:pt idx="1097">
                  <c:v>45821.666666666599</c:v>
                </c:pt>
                <c:pt idx="1098">
                  <c:v>45824.666666666599</c:v>
                </c:pt>
                <c:pt idx="1099">
                  <c:v>45825.666666666599</c:v>
                </c:pt>
                <c:pt idx="1100">
                  <c:v>45826.666666666599</c:v>
                </c:pt>
                <c:pt idx="1101">
                  <c:v>45828.666666666599</c:v>
                </c:pt>
                <c:pt idx="1102">
                  <c:v>45831.666666666599</c:v>
                </c:pt>
                <c:pt idx="1103">
                  <c:v>45832.666666666599</c:v>
                </c:pt>
                <c:pt idx="1104">
                  <c:v>45833.666666666599</c:v>
                </c:pt>
                <c:pt idx="1105">
                  <c:v>45834.666666666599</c:v>
                </c:pt>
                <c:pt idx="1106">
                  <c:v>45835.666666666599</c:v>
                </c:pt>
                <c:pt idx="1107">
                  <c:v>45838.666666666599</c:v>
                </c:pt>
                <c:pt idx="1108">
                  <c:v>45839.666666666599</c:v>
                </c:pt>
                <c:pt idx="1109">
                  <c:v>45840.666666666599</c:v>
                </c:pt>
                <c:pt idx="1110">
                  <c:v>45841.552083333299</c:v>
                </c:pt>
                <c:pt idx="1111">
                  <c:v>45845.666666666599</c:v>
                </c:pt>
                <c:pt idx="1112">
                  <c:v>45846.666666666599</c:v>
                </c:pt>
                <c:pt idx="1113">
                  <c:v>45847.666666666599</c:v>
                </c:pt>
                <c:pt idx="1114">
                  <c:v>45848.666666666599</c:v>
                </c:pt>
                <c:pt idx="1115">
                  <c:v>45849.666666666599</c:v>
                </c:pt>
                <c:pt idx="1116">
                  <c:v>45852.666666666599</c:v>
                </c:pt>
                <c:pt idx="1117">
                  <c:v>45853.666666666599</c:v>
                </c:pt>
                <c:pt idx="1118">
                  <c:v>45854.666666666599</c:v>
                </c:pt>
                <c:pt idx="1119">
                  <c:v>45855.666666666599</c:v>
                </c:pt>
                <c:pt idx="1120">
                  <c:v>45856.666666666599</c:v>
                </c:pt>
                <c:pt idx="1121">
                  <c:v>45859.666666666599</c:v>
                </c:pt>
                <c:pt idx="1122">
                  <c:v>45860.666666666599</c:v>
                </c:pt>
                <c:pt idx="1123">
                  <c:v>45861.666666666599</c:v>
                </c:pt>
                <c:pt idx="1124">
                  <c:v>45862.666666666599</c:v>
                </c:pt>
                <c:pt idx="1125">
                  <c:v>45863.666666666599</c:v>
                </c:pt>
                <c:pt idx="1126">
                  <c:v>45866.666666666599</c:v>
                </c:pt>
                <c:pt idx="1127">
                  <c:v>45867.666666666599</c:v>
                </c:pt>
                <c:pt idx="1128">
                  <c:v>45868.666666666599</c:v>
                </c:pt>
                <c:pt idx="1129">
                  <c:v>45869.666666666599</c:v>
                </c:pt>
                <c:pt idx="1130">
                  <c:v>45870.666666666599</c:v>
                </c:pt>
                <c:pt idx="1131">
                  <c:v>45873.666666666599</c:v>
                </c:pt>
                <c:pt idx="1132">
                  <c:v>45874.666666666599</c:v>
                </c:pt>
                <c:pt idx="1133">
                  <c:v>45875.666666666599</c:v>
                </c:pt>
                <c:pt idx="1134">
                  <c:v>45876.666666666599</c:v>
                </c:pt>
                <c:pt idx="1135">
                  <c:v>45877.666666666599</c:v>
                </c:pt>
                <c:pt idx="1136">
                  <c:v>45880.666666666599</c:v>
                </c:pt>
                <c:pt idx="1137">
                  <c:v>45881.666666666599</c:v>
                </c:pt>
                <c:pt idx="1138">
                  <c:v>45882.666666666599</c:v>
                </c:pt>
                <c:pt idx="1139">
                  <c:v>45883.666666666599</c:v>
                </c:pt>
                <c:pt idx="1140">
                  <c:v>45884.666666666599</c:v>
                </c:pt>
                <c:pt idx="1141">
                  <c:v>45887.666666666599</c:v>
                </c:pt>
                <c:pt idx="1142">
                  <c:v>45888.666666666599</c:v>
                </c:pt>
                <c:pt idx="1143">
                  <c:v>45889.666666666599</c:v>
                </c:pt>
                <c:pt idx="1144">
                  <c:v>45890.666666666599</c:v>
                </c:pt>
                <c:pt idx="1145">
                  <c:v>45891.666666666599</c:v>
                </c:pt>
                <c:pt idx="1146">
                  <c:v>45894.666666666599</c:v>
                </c:pt>
                <c:pt idx="1147">
                  <c:v>45895.666666666599</c:v>
                </c:pt>
                <c:pt idx="1148">
                  <c:v>45896.666666666599</c:v>
                </c:pt>
                <c:pt idx="1149">
                  <c:v>45897.666666666599</c:v>
                </c:pt>
                <c:pt idx="1150">
                  <c:v>45898.666666666599</c:v>
                </c:pt>
                <c:pt idx="1151">
                  <c:v>45902.666666666599</c:v>
                </c:pt>
                <c:pt idx="1152">
                  <c:v>45903.666666666599</c:v>
                </c:pt>
                <c:pt idx="1153">
                  <c:v>45904.666666666599</c:v>
                </c:pt>
                <c:pt idx="1154">
                  <c:v>45905.666666666599</c:v>
                </c:pt>
                <c:pt idx="1155">
                  <c:v>45908.666666666599</c:v>
                </c:pt>
                <c:pt idx="1156">
                  <c:v>45909.666666666599</c:v>
                </c:pt>
                <c:pt idx="1157">
                  <c:v>45910.666666666599</c:v>
                </c:pt>
                <c:pt idx="1158">
                  <c:v>45911.666666666599</c:v>
                </c:pt>
                <c:pt idx="1159">
                  <c:v>45912.666666666599</c:v>
                </c:pt>
                <c:pt idx="1160">
                  <c:v>45915.666666666599</c:v>
                </c:pt>
                <c:pt idx="1161">
                  <c:v>45916.666666666599</c:v>
                </c:pt>
                <c:pt idx="1162">
                  <c:v>45917.666666666599</c:v>
                </c:pt>
                <c:pt idx="1163">
                  <c:v>45918.666666666599</c:v>
                </c:pt>
                <c:pt idx="1164">
                  <c:v>45919.666666666599</c:v>
                </c:pt>
                <c:pt idx="1165">
                  <c:v>45922.666666666599</c:v>
                </c:pt>
                <c:pt idx="1166">
                  <c:v>45923.666666666599</c:v>
                </c:pt>
                <c:pt idx="1167">
                  <c:v>45924.666666666599</c:v>
                </c:pt>
                <c:pt idx="1168">
                  <c:v>45925.666666666599</c:v>
                </c:pt>
                <c:pt idx="1169">
                  <c:v>45926.666666666599</c:v>
                </c:pt>
                <c:pt idx="1170">
                  <c:v>45929.666666666599</c:v>
                </c:pt>
                <c:pt idx="1171">
                  <c:v>45930.666666666599</c:v>
                </c:pt>
                <c:pt idx="1172">
                  <c:v>45931.666666666599</c:v>
                </c:pt>
                <c:pt idx="1173">
                  <c:v>45932.666666666599</c:v>
                </c:pt>
                <c:pt idx="1174">
                  <c:v>45933.666666666599</c:v>
                </c:pt>
                <c:pt idx="1175">
                  <c:v>45936.666666666599</c:v>
                </c:pt>
                <c:pt idx="1176">
                  <c:v>45937.666666666599</c:v>
                </c:pt>
                <c:pt idx="1177">
                  <c:v>45938.666666666599</c:v>
                </c:pt>
                <c:pt idx="1178">
                  <c:v>45939.666666666599</c:v>
                </c:pt>
                <c:pt idx="1179">
                  <c:v>45940.666666666599</c:v>
                </c:pt>
                <c:pt idx="1180">
                  <c:v>45943.666666666599</c:v>
                </c:pt>
                <c:pt idx="1181">
                  <c:v>45944.666666666599</c:v>
                </c:pt>
                <c:pt idx="1182">
                  <c:v>45945.666666666599</c:v>
                </c:pt>
                <c:pt idx="1183">
                  <c:v>45946.666666666599</c:v>
                </c:pt>
                <c:pt idx="1184">
                  <c:v>45947.666666666599</c:v>
                </c:pt>
                <c:pt idx="1185">
                  <c:v>45950.666666666599</c:v>
                </c:pt>
                <c:pt idx="1186">
                  <c:v>45951.666666666599</c:v>
                </c:pt>
                <c:pt idx="1187">
                  <c:v>45952.666666666599</c:v>
                </c:pt>
                <c:pt idx="1188">
                  <c:v>45953.666666666599</c:v>
                </c:pt>
                <c:pt idx="1189">
                  <c:v>45954.666666666599</c:v>
                </c:pt>
                <c:pt idx="1190">
                  <c:v>45957.666666666599</c:v>
                </c:pt>
                <c:pt idx="1191">
                  <c:v>45958.666666666599</c:v>
                </c:pt>
                <c:pt idx="1192">
                  <c:v>45959.666666666599</c:v>
                </c:pt>
                <c:pt idx="1193">
                  <c:v>45960.666666666599</c:v>
                </c:pt>
                <c:pt idx="1194">
                  <c:v>45961.666666666599</c:v>
                </c:pt>
                <c:pt idx="1195">
                  <c:v>45964.666666666599</c:v>
                </c:pt>
                <c:pt idx="1196">
                  <c:v>45965.666666666599</c:v>
                </c:pt>
                <c:pt idx="1197">
                  <c:v>45966.666666666599</c:v>
                </c:pt>
                <c:pt idx="1198">
                  <c:v>45967.666666666599</c:v>
                </c:pt>
                <c:pt idx="1199">
                  <c:v>45968.666666666599</c:v>
                </c:pt>
                <c:pt idx="1200">
                  <c:v>45971.666666666599</c:v>
                </c:pt>
                <c:pt idx="1201">
                  <c:v>45972.666666666599</c:v>
                </c:pt>
                <c:pt idx="1202">
                  <c:v>45973.666666666599</c:v>
                </c:pt>
                <c:pt idx="1203">
                  <c:v>45974.666666666599</c:v>
                </c:pt>
                <c:pt idx="1204">
                  <c:v>45975.666666666599</c:v>
                </c:pt>
                <c:pt idx="1205">
                  <c:v>45978.666666666599</c:v>
                </c:pt>
                <c:pt idx="1206">
                  <c:v>45979.666666666599</c:v>
                </c:pt>
                <c:pt idx="1207">
                  <c:v>45980.666666666599</c:v>
                </c:pt>
                <c:pt idx="1208">
                  <c:v>45981.666666666599</c:v>
                </c:pt>
                <c:pt idx="1209">
                  <c:v>45982.666666666599</c:v>
                </c:pt>
                <c:pt idx="1210">
                  <c:v>45985.666666666599</c:v>
                </c:pt>
                <c:pt idx="1211">
                  <c:v>45986.666666666599</c:v>
                </c:pt>
                <c:pt idx="1212">
                  <c:v>45987.666666666599</c:v>
                </c:pt>
                <c:pt idx="1213">
                  <c:v>45989.552083333299</c:v>
                </c:pt>
                <c:pt idx="1214">
                  <c:v>45992.666666666599</c:v>
                </c:pt>
                <c:pt idx="1215">
                  <c:v>45993.666666666599</c:v>
                </c:pt>
                <c:pt idx="1216">
                  <c:v>45994.666666666599</c:v>
                </c:pt>
                <c:pt idx="1217">
                  <c:v>45995.666666666599</c:v>
                </c:pt>
                <c:pt idx="1218">
                  <c:v>45996.666666666599</c:v>
                </c:pt>
                <c:pt idx="1219">
                  <c:v>45999.666666666599</c:v>
                </c:pt>
                <c:pt idx="1220">
                  <c:v>46000.666666666599</c:v>
                </c:pt>
                <c:pt idx="1221">
                  <c:v>46001.666666666599</c:v>
                </c:pt>
                <c:pt idx="1222">
                  <c:v>46002.666666666599</c:v>
                </c:pt>
                <c:pt idx="1223">
                  <c:v>46003.666666666599</c:v>
                </c:pt>
                <c:pt idx="1224">
                  <c:v>46006.666666666599</c:v>
                </c:pt>
                <c:pt idx="1225">
                  <c:v>46007.666666666599</c:v>
                </c:pt>
                <c:pt idx="1226">
                  <c:v>46008.666666666599</c:v>
                </c:pt>
                <c:pt idx="1227">
                  <c:v>46009.666666666599</c:v>
                </c:pt>
                <c:pt idx="1228">
                  <c:v>46010.666666666599</c:v>
                </c:pt>
                <c:pt idx="1229">
                  <c:v>46013.666666666599</c:v>
                </c:pt>
                <c:pt idx="1230">
                  <c:v>46014.666666666599</c:v>
                </c:pt>
                <c:pt idx="1231">
                  <c:v>46015.541666666599</c:v>
                </c:pt>
                <c:pt idx="1232">
                  <c:v>46017.666666666599</c:v>
                </c:pt>
                <c:pt idx="1233">
                  <c:v>46020.666666666599</c:v>
                </c:pt>
                <c:pt idx="1234">
                  <c:v>46021.666666666599</c:v>
                </c:pt>
                <c:pt idx="1235">
                  <c:v>46022.666666666599</c:v>
                </c:pt>
                <c:pt idx="1236">
                  <c:v>46024.666666666599</c:v>
                </c:pt>
                <c:pt idx="1237">
                  <c:v>46027.666666666599</c:v>
                </c:pt>
                <c:pt idx="1238">
                  <c:v>46028.666666666599</c:v>
                </c:pt>
                <c:pt idx="1239">
                  <c:v>46029.666666666599</c:v>
                </c:pt>
                <c:pt idx="1240">
                  <c:v>46030.666666666599</c:v>
                </c:pt>
                <c:pt idx="1241">
                  <c:v>46031.666666666599</c:v>
                </c:pt>
                <c:pt idx="1242">
                  <c:v>46034.666666666599</c:v>
                </c:pt>
                <c:pt idx="1243">
                  <c:v>46035.666666666599</c:v>
                </c:pt>
                <c:pt idx="1244">
                  <c:v>46036.666666666599</c:v>
                </c:pt>
                <c:pt idx="1245">
                  <c:v>46037.666666666599</c:v>
                </c:pt>
                <c:pt idx="1246">
                  <c:v>46038.666666666599</c:v>
                </c:pt>
                <c:pt idx="1247">
                  <c:v>46042.666666666599</c:v>
                </c:pt>
                <c:pt idx="1248">
                  <c:v>46043.666666666599</c:v>
                </c:pt>
                <c:pt idx="1249">
                  <c:v>46044.666666666599</c:v>
                </c:pt>
                <c:pt idx="1250">
                  <c:v>46045.666666666599</c:v>
                </c:pt>
                <c:pt idx="1251">
                  <c:v>46048.666666666599</c:v>
                </c:pt>
                <c:pt idx="1252">
                  <c:v>46049.666666666599</c:v>
                </c:pt>
                <c:pt idx="1253">
                  <c:v>46050.666666666599</c:v>
                </c:pt>
                <c:pt idx="1254">
                  <c:v>46051.666666666599</c:v>
                </c:pt>
              </c:numCache>
            </c:numRef>
          </c:cat>
          <c:val>
            <c:numRef>
              <c:f>Sheet1!$R$2:$R$1256</c:f>
              <c:numCache>
                <c:formatCode>General</c:formatCode>
                <c:ptCount val="1255"/>
                <c:pt idx="0">
                  <c:v>1</c:v>
                </c:pt>
                <c:pt idx="1">
                  <c:v>1.0307822866841538</c:v>
                </c:pt>
                <c:pt idx="2">
                  <c:v>1.0425860206758217</c:v>
                </c:pt>
                <c:pt idx="3">
                  <c:v>1.066579231600062</c:v>
                </c:pt>
                <c:pt idx="4">
                  <c:v>1.0644962197191792</c:v>
                </c:pt>
                <c:pt idx="5">
                  <c:v>1.0811603147662399</c:v>
                </c:pt>
                <c:pt idx="6">
                  <c:v>1.0768399938281132</c:v>
                </c:pt>
                <c:pt idx="7">
                  <c:v>1.0774571825335599</c:v>
                </c:pt>
                <c:pt idx="8">
                  <c:v>1.0744483875945074</c:v>
                </c:pt>
                <c:pt idx="9">
                  <c:v>1.0897238080543128</c:v>
                </c:pt>
                <c:pt idx="10">
                  <c:v>1.1159543280357971</c:v>
                </c:pt>
                <c:pt idx="11">
                  <c:v>1.1194260145039348</c:v>
                </c:pt>
                <c:pt idx="12">
                  <c:v>1.1232062953247957</c:v>
                </c:pt>
                <c:pt idx="13">
                  <c:v>1.1419534022527389</c:v>
                </c:pt>
                <c:pt idx="14">
                  <c:v>1.1526770560098751</c:v>
                </c:pt>
                <c:pt idx="15">
                  <c:v>1.1619348865915755</c:v>
                </c:pt>
                <c:pt idx="16">
                  <c:v>1.1823792624594969</c:v>
                </c:pt>
                <c:pt idx="17">
                  <c:v>1.1663323561178829</c:v>
                </c:pt>
                <c:pt idx="18">
                  <c:v>1.1353957722573673</c:v>
                </c:pt>
                <c:pt idx="19">
                  <c:v>1.1610862521215861</c:v>
                </c:pt>
                <c:pt idx="20">
                  <c:v>1.1573059713007252</c:v>
                </c:pt>
                <c:pt idx="21">
                  <c:v>1.1796790618731676</c:v>
                </c:pt>
                <c:pt idx="22">
                  <c:v>1.1615491436506711</c:v>
                </c:pt>
                <c:pt idx="23">
                  <c:v>1.1642493442370003</c:v>
                </c:pt>
                <c:pt idx="24">
                  <c:v>1.1796790618731676</c:v>
                </c:pt>
                <c:pt idx="25">
                  <c:v>1.1713470143496374</c:v>
                </c:pt>
                <c:pt idx="26">
                  <c:v>1.1968060484493133</c:v>
                </c:pt>
                <c:pt idx="27">
                  <c:v>1.1905570128066656</c:v>
                </c:pt>
                <c:pt idx="28">
                  <c:v>1.2046752044437585</c:v>
                </c:pt>
                <c:pt idx="29">
                  <c:v>1.1986576145656533</c:v>
                </c:pt>
                <c:pt idx="30">
                  <c:v>1.1843079771640177</c:v>
                </c:pt>
                <c:pt idx="31">
                  <c:v>1.19649745409659</c:v>
                </c:pt>
                <c:pt idx="32">
                  <c:v>1.2162474926708842</c:v>
                </c:pt>
                <c:pt idx="33">
                  <c:v>1.196883197037494</c:v>
                </c:pt>
                <c:pt idx="34">
                  <c:v>1.1647122357660855</c:v>
                </c:pt>
                <c:pt idx="35">
                  <c:v>1.1530627989507793</c:v>
                </c:pt>
                <c:pt idx="36">
                  <c:v>1.1620120351797563</c:v>
                </c:pt>
                <c:pt idx="37">
                  <c:v>1.1769017126986578</c:v>
                </c:pt>
                <c:pt idx="38">
                  <c:v>1.1964974540965903</c:v>
                </c:pt>
                <c:pt idx="39">
                  <c:v>1.1779046443450087</c:v>
                </c:pt>
                <c:pt idx="40">
                  <c:v>1.1917913902175592</c:v>
                </c:pt>
                <c:pt idx="41">
                  <c:v>1.1744329578768711</c:v>
                </c:pt>
                <c:pt idx="42">
                  <c:v>1.185850948927635</c:v>
                </c:pt>
                <c:pt idx="43">
                  <c:v>1.1851566116340073</c:v>
                </c:pt>
                <c:pt idx="44">
                  <c:v>1.1768245641104769</c:v>
                </c:pt>
                <c:pt idx="45">
                  <c:v>1.1952630766856969</c:v>
                </c:pt>
                <c:pt idx="46">
                  <c:v>1.1967288998611327</c:v>
                </c:pt>
                <c:pt idx="47">
                  <c:v>1.2056781360901097</c:v>
                </c:pt>
                <c:pt idx="48">
                  <c:v>1.2031322326801419</c:v>
                </c:pt>
                <c:pt idx="49">
                  <c:v>1.1887825952785065</c:v>
                </c:pt>
                <c:pt idx="50">
                  <c:v>1.1665638018824256</c:v>
                </c:pt>
                <c:pt idx="51">
                  <c:v>1.1739700663477859</c:v>
                </c:pt>
                <c:pt idx="52">
                  <c:v>1.1826878568122206</c:v>
                </c:pt>
                <c:pt idx="53">
                  <c:v>1.1776731985804663</c:v>
                </c:pt>
                <c:pt idx="54">
                  <c:v>1.1515969757753435</c:v>
                </c:pt>
                <c:pt idx="55">
                  <c:v>1.1613948464743096</c:v>
                </c:pt>
                <c:pt idx="56">
                  <c:v>1.1369387440209846</c:v>
                </c:pt>
                <c:pt idx="57">
                  <c:v>1.1586946458879805</c:v>
                </c:pt>
                <c:pt idx="58">
                  <c:v>1.1615491436506715</c:v>
                </c:pt>
                <c:pt idx="59">
                  <c:v>1.1668723962351493</c:v>
                </c:pt>
                <c:pt idx="60">
                  <c:v>1.1744329578768711</c:v>
                </c:pt>
                <c:pt idx="61">
                  <c:v>1.1972689399783987</c:v>
                </c:pt>
                <c:pt idx="62">
                  <c:v>1.1866224348094434</c:v>
                </c:pt>
                <c:pt idx="63">
                  <c:v>1.1831507483413057</c:v>
                </c:pt>
                <c:pt idx="64">
                  <c:v>1.1995062490356427</c:v>
                </c:pt>
                <c:pt idx="65">
                  <c:v>1.2152445610245335</c:v>
                </c:pt>
                <c:pt idx="66">
                  <c:v>1.2397006634778585</c:v>
                </c:pt>
                <c:pt idx="67">
                  <c:v>1.2439438358278043</c:v>
                </c:pt>
                <c:pt idx="68">
                  <c:v>1.2437895386514426</c:v>
                </c:pt>
                <c:pt idx="69">
                  <c:v>1.2231137170189783</c:v>
                </c:pt>
                <c:pt idx="70">
                  <c:v>1.2147045209072671</c:v>
                </c:pt>
                <c:pt idx="71">
                  <c:v>1.2459496991205059</c:v>
                </c:pt>
                <c:pt idx="72">
                  <c:v>1.2653139947538956</c:v>
                </c:pt>
                <c:pt idx="73">
                  <c:v>1.2704058015738309</c:v>
                </c:pt>
                <c:pt idx="74">
                  <c:v>1.252507329115877</c:v>
                </c:pt>
                <c:pt idx="75">
                  <c:v>1.2429409041814534</c:v>
                </c:pt>
                <c:pt idx="76">
                  <c:v>1.2407807437123899</c:v>
                </c:pt>
                <c:pt idx="77">
                  <c:v>1.2548989353494828</c:v>
                </c:pt>
                <c:pt idx="78">
                  <c:v>1.2616880111093962</c:v>
                </c:pt>
                <c:pt idx="79">
                  <c:v>1.2486498997068349</c:v>
                </c:pt>
                <c:pt idx="80">
                  <c:v>1.2484956025304734</c:v>
                </c:pt>
                <c:pt idx="81">
                  <c:v>1.2679370467520441</c:v>
                </c:pt>
                <c:pt idx="82">
                  <c:v>1.2670884122820549</c:v>
                </c:pt>
                <c:pt idx="83">
                  <c:v>1.2810523067427861</c:v>
                </c:pt>
                <c:pt idx="84">
                  <c:v>1.2811294553309669</c:v>
                </c:pt>
                <c:pt idx="85">
                  <c:v>1.2819780898009561</c:v>
                </c:pt>
                <c:pt idx="86">
                  <c:v>1.2840611016818388</c:v>
                </c:pt>
                <c:pt idx="87">
                  <c:v>1.2780435118037337</c:v>
                </c:pt>
                <c:pt idx="88">
                  <c:v>1.2729517049837984</c:v>
                </c:pt>
                <c:pt idx="89">
                  <c:v>1.2570590958185461</c:v>
                </c:pt>
                <c:pt idx="90">
                  <c:v>1.2374633544206137</c:v>
                </c:pt>
                <c:pt idx="91">
                  <c:v>1.2366147199506243</c:v>
                </c:pt>
                <c:pt idx="92">
                  <c:v>1.2156303039654368</c:v>
                </c:pt>
                <c:pt idx="93">
                  <c:v>1.197191791390217</c:v>
                </c:pt>
                <c:pt idx="94">
                  <c:v>1.205600987501928</c:v>
                </c:pt>
                <c:pt idx="95">
                  <c:v>1.1708069742323706</c:v>
                </c:pt>
                <c:pt idx="96">
                  <c:v>1.1411819163709294</c:v>
                </c:pt>
                <c:pt idx="97">
                  <c:v>1.1605462120043193</c:v>
                </c:pt>
                <c:pt idx="98">
                  <c:v>1.1588489430643409</c:v>
                </c:pt>
                <c:pt idx="99">
                  <c:v>1.1658694645887968</c:v>
                </c:pt>
                <c:pt idx="100">
                  <c:v>1.1765931183459331</c:v>
                </c:pt>
                <c:pt idx="101">
                  <c:v>1.1884740009257819</c:v>
                </c:pt>
                <c:pt idx="102">
                  <c:v>1.1906341613948455</c:v>
                </c:pt>
                <c:pt idx="103">
                  <c:v>1.1891683382194094</c:v>
                </c:pt>
                <c:pt idx="104">
                  <c:v>1.1999691405647266</c:v>
                </c:pt>
                <c:pt idx="105">
                  <c:v>1.2118500231445757</c:v>
                </c:pt>
                <c:pt idx="106">
                  <c:v>1.2037494213855879</c:v>
                </c:pt>
                <c:pt idx="107">
                  <c:v>1.1835364912822088</c:v>
                </c:pt>
                <c:pt idx="108">
                  <c:v>1.1849251658694639</c:v>
                </c:pt>
                <c:pt idx="109">
                  <c:v>1.1644807900015421</c:v>
                </c:pt>
                <c:pt idx="110">
                  <c:v>1.2017435580928861</c:v>
                </c:pt>
                <c:pt idx="111">
                  <c:v>1.2189476932572125</c:v>
                </c:pt>
                <c:pt idx="112">
                  <c:v>1.200817775034716</c:v>
                </c:pt>
                <c:pt idx="113">
                  <c:v>1.1967288998611316</c:v>
                </c:pt>
                <c:pt idx="114">
                  <c:v>1.1993519518592801</c:v>
                </c:pt>
                <c:pt idx="115">
                  <c:v>1.1719642030550832</c:v>
                </c:pt>
                <c:pt idx="116">
                  <c:v>1.13385280049375</c:v>
                </c:pt>
                <c:pt idx="117">
                  <c:v>1.1549915136552993</c:v>
                </c:pt>
                <c:pt idx="118">
                  <c:v>1.1792933189322627</c:v>
                </c:pt>
                <c:pt idx="119">
                  <c:v>1.1644036414133612</c:v>
                </c:pt>
                <c:pt idx="120">
                  <c:v>1.1621663323561169</c:v>
                </c:pt>
                <c:pt idx="121">
                  <c:v>1.1699583397623816</c:v>
                </c:pt>
                <c:pt idx="122">
                  <c:v>1.1684153679987648</c:v>
                </c:pt>
                <c:pt idx="123">
                  <c:v>1.1703440827032858</c:v>
                </c:pt>
                <c:pt idx="124">
                  <c:v>1.1803733991667946</c:v>
                </c:pt>
                <c:pt idx="125">
                  <c:v>1.1709612714087325</c:v>
                </c:pt>
                <c:pt idx="126">
                  <c:v>1.1662552075297015</c:v>
                </c:pt>
                <c:pt idx="127">
                  <c:v>1.1795247646968052</c:v>
                </c:pt>
                <c:pt idx="128">
                  <c:v>1.1667952476469674</c:v>
                </c:pt>
                <c:pt idx="129">
                  <c:v>1.181530627989507</c:v>
                </c:pt>
                <c:pt idx="130">
                  <c:v>1.2150902638481706</c:v>
                </c:pt>
                <c:pt idx="131">
                  <c:v>1.2137787378490965</c:v>
                </c:pt>
                <c:pt idx="132">
                  <c:v>1.2286684153679979</c:v>
                </c:pt>
                <c:pt idx="133">
                  <c:v>1.243326647122357</c:v>
                </c:pt>
                <c:pt idx="134">
                  <c:v>1.2481870081777497</c:v>
                </c:pt>
                <c:pt idx="135">
                  <c:v>1.2342231137170183</c:v>
                </c:pt>
                <c:pt idx="136">
                  <c:v>1.2261225119580306</c:v>
                </c:pt>
                <c:pt idx="137">
                  <c:v>1.2113099830273097</c:v>
                </c:pt>
                <c:pt idx="138">
                  <c:v>1.2002777349174503</c:v>
                </c:pt>
                <c:pt idx="139">
                  <c:v>1.1902484184539415</c:v>
                </c:pt>
                <c:pt idx="140">
                  <c:v>1.1936429563338982</c:v>
                </c:pt>
                <c:pt idx="141">
                  <c:v>1.2089183767937035</c:v>
                </c:pt>
                <c:pt idx="142">
                  <c:v>1.2164017898472446</c:v>
                </c:pt>
                <c:pt idx="143">
                  <c:v>1.2414750810060164</c:v>
                </c:pt>
                <c:pt idx="144">
                  <c:v>1.2478784138250261</c:v>
                </c:pt>
                <c:pt idx="145">
                  <c:v>1.2579077302885349</c:v>
                </c:pt>
                <c:pt idx="146">
                  <c:v>1.2377719487733365</c:v>
                </c:pt>
                <c:pt idx="147">
                  <c:v>1.2339916679524756</c:v>
                </c:pt>
                <c:pt idx="148">
                  <c:v>1.2322172504243165</c:v>
                </c:pt>
                <c:pt idx="149">
                  <c:v>1.2379262459496985</c:v>
                </c:pt>
                <c:pt idx="150">
                  <c:v>1.2304428328961574</c:v>
                </c:pt>
                <c:pt idx="151">
                  <c:v>1.2282826724270941</c:v>
                </c:pt>
                <c:pt idx="152">
                  <c:v>1.2228051226662546</c:v>
                </c:pt>
                <c:pt idx="153">
                  <c:v>1.2281283752507324</c:v>
                </c:pt>
                <c:pt idx="154">
                  <c:v>1.2140101836136394</c:v>
                </c:pt>
                <c:pt idx="155">
                  <c:v>1.2332973306588486</c:v>
                </c:pt>
                <c:pt idx="156">
                  <c:v>1.2117728745563952</c:v>
                </c:pt>
                <c:pt idx="157">
                  <c:v>1.2201820706681064</c:v>
                </c:pt>
                <c:pt idx="158">
                  <c:v>1.2196420305508406</c:v>
                </c:pt>
                <c:pt idx="159">
                  <c:v>1.2164789384354264</c:v>
                </c:pt>
                <c:pt idx="160">
                  <c:v>1.1800648048140718</c:v>
                </c:pt>
                <c:pt idx="161">
                  <c:v>1.1802191019904333</c:v>
                </c:pt>
                <c:pt idx="162">
                  <c:v>1.2028236383274182</c:v>
                </c:pt>
                <c:pt idx="163">
                  <c:v>1.2434809442987189</c:v>
                </c:pt>
                <c:pt idx="164">
                  <c:v>1.2578305817003546</c:v>
                </c:pt>
                <c:pt idx="165">
                  <c:v>1.2882271254436042</c:v>
                </c:pt>
                <c:pt idx="166">
                  <c:v>1.2812837525073291</c:v>
                </c:pt>
                <c:pt idx="167">
                  <c:v>1.2802808208609782</c:v>
                </c:pt>
                <c:pt idx="168">
                  <c:v>1.2628452399321093</c:v>
                </c:pt>
                <c:pt idx="169">
                  <c:v>1.289384354266317</c:v>
                </c:pt>
                <c:pt idx="170">
                  <c:v>1.2879956796790619</c:v>
                </c:pt>
                <c:pt idx="171">
                  <c:v>1.3011880882579852</c:v>
                </c:pt>
                <c:pt idx="172">
                  <c:v>1.3039654374324954</c:v>
                </c:pt>
                <c:pt idx="173">
                  <c:v>1.3122203363678449</c:v>
                </c:pt>
                <c:pt idx="174">
                  <c:v>1.3132232680141958</c:v>
                </c:pt>
                <c:pt idx="175">
                  <c:v>1.2856040734454564</c:v>
                </c:pt>
                <c:pt idx="176">
                  <c:v>1.2757290541583095</c:v>
                </c:pt>
                <c:pt idx="177">
                  <c:v>1.2420922697114647</c:v>
                </c:pt>
                <c:pt idx="178">
                  <c:v>1.2611479709921314</c:v>
                </c:pt>
                <c:pt idx="179">
                  <c:v>1.2853726276809143</c:v>
                </c:pt>
                <c:pt idx="180">
                  <c:v>1.2849097361518294</c:v>
                </c:pt>
                <c:pt idx="181">
                  <c:v>1.3004937509643582</c:v>
                </c:pt>
                <c:pt idx="182">
                  <c:v>1.3180064804814082</c:v>
                </c:pt>
                <c:pt idx="183">
                  <c:v>1.307668569665176</c:v>
                </c:pt>
                <c:pt idx="184">
                  <c:v>1.3252584477704066</c:v>
                </c:pt>
                <c:pt idx="185">
                  <c:v>1.3187779663632162</c:v>
                </c:pt>
                <c:pt idx="186">
                  <c:v>1.3223268014195348</c:v>
                </c:pt>
                <c:pt idx="187">
                  <c:v>1.2947847554389764</c:v>
                </c:pt>
                <c:pt idx="188">
                  <c:v>1.3143033482487279</c:v>
                </c:pt>
                <c:pt idx="189">
                  <c:v>1.3106773646042285</c:v>
                </c:pt>
                <c:pt idx="190">
                  <c:v>1.309983027310601</c:v>
                </c:pt>
                <c:pt idx="191">
                  <c:v>1.315151982718717</c:v>
                </c:pt>
                <c:pt idx="192">
                  <c:v>1.315614874247802</c:v>
                </c:pt>
                <c:pt idx="193">
                  <c:v>1.2983335904952946</c:v>
                </c:pt>
                <c:pt idx="194">
                  <c:v>1.2964820243789548</c:v>
                </c:pt>
                <c:pt idx="195">
                  <c:v>1.3042740317852191</c:v>
                </c:pt>
                <c:pt idx="196">
                  <c:v>1.3042740317852191</c:v>
                </c:pt>
                <c:pt idx="197">
                  <c:v>1.2931646350871786</c:v>
                </c:pt>
                <c:pt idx="198">
                  <c:v>1.2930874864989979</c:v>
                </c:pt>
                <c:pt idx="199">
                  <c:v>1.2873013423854351</c:v>
                </c:pt>
                <c:pt idx="200">
                  <c:v>1.2849868847400101</c:v>
                </c:pt>
                <c:pt idx="201">
                  <c:v>1.2757290541583099</c:v>
                </c:pt>
                <c:pt idx="202">
                  <c:v>1.2688628298102154</c:v>
                </c:pt>
                <c:pt idx="203">
                  <c:v>1.2579077302885366</c:v>
                </c:pt>
                <c:pt idx="204">
                  <c:v>1.2414750810060182</c:v>
                </c:pt>
                <c:pt idx="205">
                  <c:v>1.2679370467520452</c:v>
                </c:pt>
                <c:pt idx="206">
                  <c:v>1.2982564419071141</c:v>
                </c:pt>
                <c:pt idx="207">
                  <c:v>1.2880728282672438</c:v>
                </c:pt>
                <c:pt idx="208">
                  <c:v>1.2492670884122832</c:v>
                </c:pt>
                <c:pt idx="209">
                  <c:v>1.2438666872396245</c:v>
                </c:pt>
                <c:pt idx="210">
                  <c:v>1.2253510260762239</c:v>
                </c:pt>
                <c:pt idx="211">
                  <c:v>1.2180990587872251</c:v>
                </c:pt>
                <c:pt idx="212">
                  <c:v>1.243712390063263</c:v>
                </c:pt>
                <c:pt idx="213">
                  <c:v>1.2211850023144586</c:v>
                </c:pt>
                <c:pt idx="214">
                  <c:v>1.235611788304275</c:v>
                </c:pt>
                <c:pt idx="215">
                  <c:v>1.2542045980558565</c:v>
                </c:pt>
                <c:pt idx="216">
                  <c:v>1.2398549606542211</c:v>
                </c:pt>
                <c:pt idx="217">
                  <c:v>1.2379262459497002</c:v>
                </c:pt>
                <c:pt idx="218">
                  <c:v>1.2329887363061265</c:v>
                </c:pt>
                <c:pt idx="219">
                  <c:v>1.2183305045517676</c:v>
                </c:pt>
                <c:pt idx="220">
                  <c:v>1.227665483721649</c:v>
                </c:pt>
                <c:pt idx="221">
                  <c:v>1.2184848017281293</c:v>
                </c:pt>
                <c:pt idx="222">
                  <c:v>1.2375405030087958</c:v>
                </c:pt>
                <c:pt idx="223">
                  <c:v>1.2093812683227905</c:v>
                </c:pt>
                <c:pt idx="224">
                  <c:v>1.1876253664557948</c:v>
                </c:pt>
                <c:pt idx="225">
                  <c:v>1.2042123129146747</c:v>
                </c:pt>
                <c:pt idx="226">
                  <c:v>1.2089183767937057</c:v>
                </c:pt>
                <c:pt idx="227">
                  <c:v>1.2132386977318326</c:v>
                </c:pt>
                <c:pt idx="228">
                  <c:v>1.2201820706681079</c:v>
                </c:pt>
                <c:pt idx="229">
                  <c:v>1.2238852029007881</c:v>
                </c:pt>
                <c:pt idx="230">
                  <c:v>1.2232680141953416</c:v>
                </c:pt>
                <c:pt idx="231">
                  <c:v>1.2226508254898949</c:v>
                </c:pt>
                <c:pt idx="232">
                  <c:v>1.221647893843544</c:v>
                </c:pt>
                <c:pt idx="233">
                  <c:v>1.2474926708841243</c:v>
                </c:pt>
                <c:pt idx="234">
                  <c:v>1.2947847554389773</c:v>
                </c:pt>
                <c:pt idx="235">
                  <c:v>1.2635395772257385</c:v>
                </c:pt>
                <c:pt idx="236">
                  <c:v>1.276963431569204</c:v>
                </c:pt>
                <c:pt idx="237">
                  <c:v>1.2896158000308611</c:v>
                </c:pt>
                <c:pt idx="238">
                  <c:v>1.2908501774417542</c:v>
                </c:pt>
                <c:pt idx="239">
                  <c:v>1.2921617034408286</c:v>
                </c:pt>
                <c:pt idx="240">
                  <c:v>1.2994908193180081</c:v>
                </c:pt>
                <c:pt idx="241">
                  <c:v>1.2978706989662105</c:v>
                </c:pt>
                <c:pt idx="242">
                  <c:v>1.2180990587872258</c:v>
                </c:pt>
                <c:pt idx="243">
                  <c:v>1.1670266934115123</c:v>
                </c:pt>
                <c:pt idx="244">
                  <c:v>1.1489739237771965</c:v>
                </c:pt>
                <c:pt idx="245">
                  <c:v>1.1391760530782302</c:v>
                </c:pt>
                <c:pt idx="246">
                  <c:v>1.1192717173275746</c:v>
                </c:pt>
                <c:pt idx="247">
                  <c:v>1.1182687856812235</c:v>
                </c:pt>
                <c:pt idx="248">
                  <c:v>1.1304582626137958</c:v>
                </c:pt>
                <c:pt idx="249">
                  <c:v>1.141181916370932</c:v>
                </c:pt>
                <c:pt idx="250">
                  <c:v>1.1210461348557339</c:v>
                </c:pt>
                <c:pt idx="251">
                  <c:v>1.1310754513192427</c:v>
                </c:pt>
                <c:pt idx="252">
                  <c:v>1.146428020367229</c:v>
                </c:pt>
                <c:pt idx="253">
                  <c:v>1.1661009103533422</c:v>
                </c:pt>
                <c:pt idx="254">
                  <c:v>1.1567659311834608</c:v>
                </c:pt>
                <c:pt idx="255">
                  <c:v>1.147199506249037</c:v>
                </c:pt>
                <c:pt idx="256">
                  <c:v>1.1769788612868399</c:v>
                </c:pt>
                <c:pt idx="257">
                  <c:v>1.1809134392840626</c:v>
                </c:pt>
                <c:pt idx="258">
                  <c:v>1.2031322326801435</c:v>
                </c:pt>
                <c:pt idx="259">
                  <c:v>1.2081468909118978</c:v>
                </c:pt>
                <c:pt idx="260">
                  <c:v>1.2031322326801432</c:v>
                </c:pt>
                <c:pt idx="261">
                  <c:v>1.1874710692794335</c:v>
                </c:pt>
                <c:pt idx="262">
                  <c:v>1.176438821169574</c:v>
                </c:pt>
                <c:pt idx="263">
                  <c:v>1.1936429563339004</c:v>
                </c:pt>
                <c:pt idx="264">
                  <c:v>1.1958031168029639</c:v>
                </c:pt>
                <c:pt idx="265">
                  <c:v>1.1682610708224055</c:v>
                </c:pt>
                <c:pt idx="266">
                  <c:v>1.1737386205832447</c:v>
                </c:pt>
                <c:pt idx="267">
                  <c:v>1.1716556087023622</c:v>
                </c:pt>
                <c:pt idx="268">
                  <c:v>1.1471223576608562</c:v>
                </c:pt>
                <c:pt idx="269">
                  <c:v>1.11518284215399</c:v>
                </c:pt>
                <c:pt idx="270">
                  <c:v>1.141567659311836</c:v>
                </c:pt>
                <c:pt idx="271">
                  <c:v>1.09396698040426</c:v>
                </c:pt>
                <c:pt idx="272">
                  <c:v>1.0526924857275124</c:v>
                </c:pt>
                <c:pt idx="273">
                  <c:v>1.0745255361826893</c:v>
                </c:pt>
                <c:pt idx="274">
                  <c:v>1.0668878259527865</c:v>
                </c:pt>
                <c:pt idx="275">
                  <c:v>1.0368770251504413</c:v>
                </c:pt>
                <c:pt idx="276">
                  <c:v>0.99683690788458734</c:v>
                </c:pt>
                <c:pt idx="277">
                  <c:v>0.98981638636013125</c:v>
                </c:pt>
                <c:pt idx="278">
                  <c:v>1.029470760685081</c:v>
                </c:pt>
                <c:pt idx="279">
                  <c:v>1.0172812837525089</c:v>
                </c:pt>
                <c:pt idx="280">
                  <c:v>0.99436815306280024</c:v>
                </c:pt>
                <c:pt idx="281">
                  <c:v>1.0042431723499472</c:v>
                </c:pt>
                <c:pt idx="282">
                  <c:v>1.0220644962197205</c:v>
                </c:pt>
                <c:pt idx="283">
                  <c:v>1.0677364604227759</c:v>
                </c:pt>
                <c:pt idx="284">
                  <c:v>1.0812374633544224</c:v>
                </c:pt>
                <c:pt idx="285">
                  <c:v>1.0808517204135182</c:v>
                </c:pt>
                <c:pt idx="286">
                  <c:v>1.0773800339453807</c:v>
                </c:pt>
                <c:pt idx="287">
                  <c:v>1.1002931646350893</c:v>
                </c:pt>
                <c:pt idx="288">
                  <c:v>1.0783829655917319</c:v>
                </c:pt>
                <c:pt idx="289">
                  <c:v>1.0854034871161879</c:v>
                </c:pt>
                <c:pt idx="290">
                  <c:v>1.0948927634624306</c:v>
                </c:pt>
                <c:pt idx="291">
                  <c:v>1.0867921617034428</c:v>
                </c:pt>
                <c:pt idx="292">
                  <c:v>1.0891837679370489</c:v>
                </c:pt>
                <c:pt idx="293">
                  <c:v>1.0842462582934751</c:v>
                </c:pt>
                <c:pt idx="294">
                  <c:v>1.0516895540811622</c:v>
                </c:pt>
                <c:pt idx="295">
                  <c:v>1.0438975466748976</c:v>
                </c:pt>
                <c:pt idx="296">
                  <c:v>1.0485264619657479</c:v>
                </c:pt>
                <c:pt idx="297">
                  <c:v>1.0286992748032731</c:v>
                </c:pt>
                <c:pt idx="298">
                  <c:v>1.0144267859898184</c:v>
                </c:pt>
                <c:pt idx="299">
                  <c:v>1.0113408424625849</c:v>
                </c:pt>
                <c:pt idx="300">
                  <c:v>1.0298565036259859</c:v>
                </c:pt>
                <c:pt idx="301">
                  <c:v>1.0260762228051248</c:v>
                </c:pt>
                <c:pt idx="302">
                  <c:v>1.0148125289307226</c:v>
                </c:pt>
                <c:pt idx="303">
                  <c:v>0.98210152754204805</c:v>
                </c:pt>
                <c:pt idx="304">
                  <c:v>0.9729979941367094</c:v>
                </c:pt>
                <c:pt idx="305">
                  <c:v>0.9910507637710253</c:v>
                </c:pt>
                <c:pt idx="306">
                  <c:v>1.0115722882271276</c:v>
                </c:pt>
                <c:pt idx="307">
                  <c:v>1.0151211232834461</c:v>
                </c:pt>
                <c:pt idx="308">
                  <c:v>1.0072519672890006</c:v>
                </c:pt>
                <c:pt idx="309">
                  <c:v>0.97832124672118692</c:v>
                </c:pt>
                <c:pt idx="310">
                  <c:v>0.97801265236846346</c:v>
                </c:pt>
                <c:pt idx="311">
                  <c:v>0.94908193180064981</c:v>
                </c:pt>
                <c:pt idx="312">
                  <c:v>0.93673815769171598</c:v>
                </c:pt>
                <c:pt idx="313">
                  <c:v>0.95155068662243647</c:v>
                </c:pt>
                <c:pt idx="314">
                  <c:v>0.92084554852646361</c:v>
                </c:pt>
                <c:pt idx="315">
                  <c:v>0.9292547446381747</c:v>
                </c:pt>
                <c:pt idx="316">
                  <c:v>0.94915908038883046</c:v>
                </c:pt>
                <c:pt idx="317">
                  <c:v>0.98055855577843076</c:v>
                </c:pt>
                <c:pt idx="318">
                  <c:v>0.95602530473692493</c:v>
                </c:pt>
                <c:pt idx="319">
                  <c:v>0.95448233297330809</c:v>
                </c:pt>
                <c:pt idx="320">
                  <c:v>0.94013269557167245</c:v>
                </c:pt>
                <c:pt idx="321">
                  <c:v>0.91721956488196399</c:v>
                </c:pt>
                <c:pt idx="322">
                  <c:v>0.91143342076840128</c:v>
                </c:pt>
                <c:pt idx="323">
                  <c:v>0.91066193488659297</c:v>
                </c:pt>
                <c:pt idx="324">
                  <c:v>0.91876253664558072</c:v>
                </c:pt>
                <c:pt idx="325">
                  <c:v>0.91235920382657132</c:v>
                </c:pt>
                <c:pt idx="326">
                  <c:v>0.94260145039345922</c:v>
                </c:pt>
                <c:pt idx="327">
                  <c:v>0.92647739546366437</c:v>
                </c:pt>
                <c:pt idx="328">
                  <c:v>0.91274494676747553</c:v>
                </c:pt>
                <c:pt idx="329">
                  <c:v>0.90526153371393436</c:v>
                </c:pt>
                <c:pt idx="330">
                  <c:v>0.96127140873322148</c:v>
                </c:pt>
                <c:pt idx="331">
                  <c:v>0.97484956025304881</c:v>
                </c:pt>
                <c:pt idx="332">
                  <c:v>0.98163863601296231</c:v>
                </c:pt>
                <c:pt idx="333">
                  <c:v>0.99861132541274644</c:v>
                </c:pt>
                <c:pt idx="334">
                  <c:v>1.0127295170498396</c:v>
                </c:pt>
                <c:pt idx="335">
                  <c:v>1.0201357815151997</c:v>
                </c:pt>
                <c:pt idx="336">
                  <c:v>1.0022373090572456</c:v>
                </c:pt>
                <c:pt idx="337">
                  <c:v>1.0183613639870404</c:v>
                </c:pt>
                <c:pt idx="338">
                  <c:v>1.0041660237617664</c:v>
                </c:pt>
                <c:pt idx="339">
                  <c:v>1.0008486344699905</c:v>
                </c:pt>
                <c:pt idx="340">
                  <c:v>1.003471686468139</c:v>
                </c:pt>
                <c:pt idx="341">
                  <c:v>0.98750192871470599</c:v>
                </c:pt>
                <c:pt idx="342">
                  <c:v>0.96674895849406106</c:v>
                </c:pt>
                <c:pt idx="343">
                  <c:v>0.92231137170189925</c:v>
                </c:pt>
                <c:pt idx="344">
                  <c:v>0.89484647430952147</c:v>
                </c:pt>
                <c:pt idx="345">
                  <c:v>0.87995679679062011</c:v>
                </c:pt>
                <c:pt idx="346">
                  <c:v>0.8903718561950329</c:v>
                </c:pt>
                <c:pt idx="347">
                  <c:v>0.87509643573522733</c:v>
                </c:pt>
                <c:pt idx="348">
                  <c:v>0.87201049220799387</c:v>
                </c:pt>
                <c:pt idx="349">
                  <c:v>0.89361209689862808</c:v>
                </c:pt>
                <c:pt idx="350">
                  <c:v>0.88859743866687368</c:v>
                </c:pt>
                <c:pt idx="351">
                  <c:v>0.87887671655608823</c:v>
                </c:pt>
                <c:pt idx="352">
                  <c:v>0.90510723653757252</c:v>
                </c:pt>
                <c:pt idx="353">
                  <c:v>0.89785526924857395</c:v>
                </c:pt>
                <c:pt idx="354">
                  <c:v>0.89353494831044711</c:v>
                </c:pt>
                <c:pt idx="355">
                  <c:v>0.88952322172504372</c:v>
                </c:pt>
                <c:pt idx="356">
                  <c:v>0.86877025150439868</c:v>
                </c:pt>
                <c:pt idx="357">
                  <c:v>0.87987964820243902</c:v>
                </c:pt>
                <c:pt idx="358">
                  <c:v>0.86884740009257944</c:v>
                </c:pt>
                <c:pt idx="359">
                  <c:v>0.86321555315537835</c:v>
                </c:pt>
                <c:pt idx="360">
                  <c:v>0.88504860361055493</c:v>
                </c:pt>
                <c:pt idx="361">
                  <c:v>0.88227125443604482</c:v>
                </c:pt>
                <c:pt idx="362">
                  <c:v>0.8706989662089194</c:v>
                </c:pt>
                <c:pt idx="363">
                  <c:v>0.87154760067890857</c:v>
                </c:pt>
                <c:pt idx="364">
                  <c:v>0.86336985033173996</c:v>
                </c:pt>
                <c:pt idx="365">
                  <c:v>0.83320475235303304</c:v>
                </c:pt>
                <c:pt idx="366">
                  <c:v>0.87139330350254707</c:v>
                </c:pt>
                <c:pt idx="367">
                  <c:v>0.86244406727357015</c:v>
                </c:pt>
                <c:pt idx="368">
                  <c:v>0.88381422619966177</c:v>
                </c:pt>
                <c:pt idx="369">
                  <c:v>0.88365992902330015</c:v>
                </c:pt>
                <c:pt idx="370">
                  <c:v>0.88967751890140534</c:v>
                </c:pt>
                <c:pt idx="371">
                  <c:v>0.88535719796327861</c:v>
                </c:pt>
                <c:pt idx="372">
                  <c:v>0.88890603301959703</c:v>
                </c:pt>
                <c:pt idx="373">
                  <c:v>0.87501928714704647</c:v>
                </c:pt>
                <c:pt idx="374">
                  <c:v>0.88906033019595854</c:v>
                </c:pt>
                <c:pt idx="375">
                  <c:v>0.8857429409041826</c:v>
                </c:pt>
                <c:pt idx="376">
                  <c:v>0.88998611325412857</c:v>
                </c:pt>
                <c:pt idx="377">
                  <c:v>0.8811140256133323</c:v>
                </c:pt>
                <c:pt idx="378">
                  <c:v>0.86738157691714346</c:v>
                </c:pt>
                <c:pt idx="379">
                  <c:v>0.87648511032248211</c:v>
                </c:pt>
                <c:pt idx="380">
                  <c:v>0.86684153679987752</c:v>
                </c:pt>
                <c:pt idx="381">
                  <c:v>0.89307205678136192</c:v>
                </c:pt>
                <c:pt idx="382">
                  <c:v>0.88219410584786395</c:v>
                </c:pt>
                <c:pt idx="383">
                  <c:v>0.89014041043049008</c:v>
                </c:pt>
                <c:pt idx="384">
                  <c:v>0.91336213547292178</c:v>
                </c:pt>
                <c:pt idx="385">
                  <c:v>0.92686313840456813</c:v>
                </c:pt>
                <c:pt idx="386">
                  <c:v>0.94221570745255445</c:v>
                </c:pt>
                <c:pt idx="387">
                  <c:v>0.94476161086252208</c:v>
                </c:pt>
                <c:pt idx="388">
                  <c:v>0.95378799567968009</c:v>
                </c:pt>
                <c:pt idx="389">
                  <c:v>0.94576454250887321</c:v>
                </c:pt>
                <c:pt idx="390">
                  <c:v>0.93843542663169366</c:v>
                </c:pt>
                <c:pt idx="391">
                  <c:v>0.91521370158926185</c:v>
                </c:pt>
                <c:pt idx="392">
                  <c:v>0.90009257830581801</c:v>
                </c:pt>
                <c:pt idx="393">
                  <c:v>0.89122049066502174</c:v>
                </c:pt>
                <c:pt idx="394">
                  <c:v>0.89338065113408527</c:v>
                </c:pt>
                <c:pt idx="395">
                  <c:v>0.91459651288381527</c:v>
                </c:pt>
                <c:pt idx="396">
                  <c:v>0.88466286066965072</c:v>
                </c:pt>
                <c:pt idx="397">
                  <c:v>0.8825027002005873</c:v>
                </c:pt>
                <c:pt idx="398">
                  <c:v>0.88265699737694892</c:v>
                </c:pt>
                <c:pt idx="399">
                  <c:v>0.87741089338065203</c:v>
                </c:pt>
                <c:pt idx="400">
                  <c:v>0.88342848325875722</c:v>
                </c:pt>
                <c:pt idx="401">
                  <c:v>0.8772565962042902</c:v>
                </c:pt>
                <c:pt idx="402">
                  <c:v>0.87748804196883268</c:v>
                </c:pt>
                <c:pt idx="403">
                  <c:v>0.89415213701589347</c:v>
                </c:pt>
                <c:pt idx="404">
                  <c:v>0.91498225582471915</c:v>
                </c:pt>
                <c:pt idx="405">
                  <c:v>0.91937972535102686</c:v>
                </c:pt>
                <c:pt idx="406">
                  <c:v>0.93025767628452471</c:v>
                </c:pt>
                <c:pt idx="407">
                  <c:v>0.89793241783675437</c:v>
                </c:pt>
                <c:pt idx="408">
                  <c:v>0.89584940595587181</c:v>
                </c:pt>
                <c:pt idx="409">
                  <c:v>0.90935040888751806</c:v>
                </c:pt>
                <c:pt idx="410">
                  <c:v>0.903255670421232</c:v>
                </c:pt>
                <c:pt idx="411">
                  <c:v>0.91158771794476234</c:v>
                </c:pt>
                <c:pt idx="412">
                  <c:v>0.89361209689862753</c:v>
                </c:pt>
                <c:pt idx="413">
                  <c:v>0.8678444684462282</c:v>
                </c:pt>
                <c:pt idx="414">
                  <c:v>0.85796944915908113</c:v>
                </c:pt>
                <c:pt idx="415">
                  <c:v>0.84199969140564801</c:v>
                </c:pt>
                <c:pt idx="416">
                  <c:v>0.82386977318315147</c:v>
                </c:pt>
                <c:pt idx="417">
                  <c:v>0.81661780589415278</c:v>
                </c:pt>
                <c:pt idx="418">
                  <c:v>0.83312760376485173</c:v>
                </c:pt>
                <c:pt idx="419">
                  <c:v>0.81900941212775868</c:v>
                </c:pt>
                <c:pt idx="420">
                  <c:v>0.80620274648973989</c:v>
                </c:pt>
                <c:pt idx="421">
                  <c:v>0.83112174047215015</c:v>
                </c:pt>
                <c:pt idx="422">
                  <c:v>0.87000462891529162</c:v>
                </c:pt>
                <c:pt idx="423">
                  <c:v>0.8516432649282526</c:v>
                </c:pt>
                <c:pt idx="424">
                  <c:v>0.83428483258756447</c:v>
                </c:pt>
                <c:pt idx="425">
                  <c:v>0.81762073754050379</c:v>
                </c:pt>
                <c:pt idx="426">
                  <c:v>0.8099830273106009</c:v>
                </c:pt>
                <c:pt idx="427">
                  <c:v>0.78660700509180748</c:v>
                </c:pt>
                <c:pt idx="428">
                  <c:v>0.79933652214164552</c:v>
                </c:pt>
                <c:pt idx="429">
                  <c:v>0.84377410893380733</c:v>
                </c:pt>
                <c:pt idx="430">
                  <c:v>0.8578151519827194</c:v>
                </c:pt>
                <c:pt idx="431">
                  <c:v>0.89384354266317001</c:v>
                </c:pt>
                <c:pt idx="432">
                  <c:v>0.91683382194105933</c:v>
                </c:pt>
                <c:pt idx="433">
                  <c:v>0.89885820089492441</c:v>
                </c:pt>
                <c:pt idx="434">
                  <c:v>0.89592655454405246</c:v>
                </c:pt>
                <c:pt idx="435">
                  <c:v>0.94298719333436276</c:v>
                </c:pt>
                <c:pt idx="436">
                  <c:v>0.94414442215707517</c:v>
                </c:pt>
                <c:pt idx="437">
                  <c:v>0.94661317697886205</c:v>
                </c:pt>
                <c:pt idx="438">
                  <c:v>0.95749112791235991</c:v>
                </c:pt>
                <c:pt idx="439">
                  <c:v>0.96127140873322092</c:v>
                </c:pt>
                <c:pt idx="440">
                  <c:v>0.97268939978398472</c:v>
                </c:pt>
                <c:pt idx="441">
                  <c:v>0.97114642802036799</c:v>
                </c:pt>
                <c:pt idx="442">
                  <c:v>0.98865915753741784</c:v>
                </c:pt>
                <c:pt idx="443">
                  <c:v>0.97955562413207919</c:v>
                </c:pt>
                <c:pt idx="444">
                  <c:v>0.98133004166023841</c:v>
                </c:pt>
                <c:pt idx="445">
                  <c:v>1.0081777503471696</c:v>
                </c:pt>
                <c:pt idx="446">
                  <c:v>1.0135010029316474</c:v>
                </c:pt>
                <c:pt idx="447">
                  <c:v>1.014118191637094</c:v>
                </c:pt>
                <c:pt idx="448">
                  <c:v>1.000925783058171</c:v>
                </c:pt>
                <c:pt idx="449">
                  <c:v>1.0421231291467377</c:v>
                </c:pt>
                <c:pt idx="450">
                  <c:v>1.043820398086716</c:v>
                </c:pt>
                <c:pt idx="451">
                  <c:v>1.0330967443295798</c:v>
                </c:pt>
                <c:pt idx="452">
                  <c:v>1.0256133312760387</c:v>
                </c:pt>
                <c:pt idx="453">
                  <c:v>1.0270020058632938</c:v>
                </c:pt>
                <c:pt idx="454">
                  <c:v>1.0225273877488052</c:v>
                </c:pt>
                <c:pt idx="455">
                  <c:v>1.0325567042123143</c:v>
                </c:pt>
                <c:pt idx="456">
                  <c:v>1.0264619657460283</c:v>
                </c:pt>
                <c:pt idx="457">
                  <c:v>1.0418145347940146</c:v>
                </c:pt>
                <c:pt idx="458">
                  <c:v>1.0529239314920551</c:v>
                </c:pt>
                <c:pt idx="459">
                  <c:v>1.0549297947847571</c:v>
                </c:pt>
                <c:pt idx="460">
                  <c:v>1.0364912822095371</c:v>
                </c:pt>
                <c:pt idx="461">
                  <c:v>1.053541120197502</c:v>
                </c:pt>
                <c:pt idx="462">
                  <c:v>1.0660391914827976</c:v>
                </c:pt>
                <c:pt idx="463">
                  <c:v>1.0510723653757152</c:v>
                </c:pt>
                <c:pt idx="464">
                  <c:v>1.0427403178521848</c:v>
                </c:pt>
                <c:pt idx="465">
                  <c:v>1.0135010029316478</c:v>
                </c:pt>
                <c:pt idx="466">
                  <c:v>1.0151982718716261</c:v>
                </c:pt>
                <c:pt idx="467">
                  <c:v>1.0145039345779985</c:v>
                </c:pt>
                <c:pt idx="468">
                  <c:v>1.0251504397469537</c:v>
                </c:pt>
                <c:pt idx="469">
                  <c:v>1.0195957413979335</c:v>
                </c:pt>
                <c:pt idx="470">
                  <c:v>1.0354112019750052</c:v>
                </c:pt>
                <c:pt idx="471">
                  <c:v>1.0344082703286543</c:v>
                </c:pt>
                <c:pt idx="472">
                  <c:v>1.0292393149205381</c:v>
                </c:pt>
                <c:pt idx="473">
                  <c:v>1.0037031322326813</c:v>
                </c:pt>
                <c:pt idx="474">
                  <c:v>0.99745409659003348</c:v>
                </c:pt>
                <c:pt idx="475">
                  <c:v>1.0033945378799578</c:v>
                </c:pt>
                <c:pt idx="476">
                  <c:v>1.0082548989353504</c:v>
                </c:pt>
                <c:pt idx="477">
                  <c:v>1.0195957413979333</c:v>
                </c:pt>
                <c:pt idx="478">
                  <c:v>1.0080234531708079</c:v>
                </c:pt>
                <c:pt idx="479">
                  <c:v>1.0128066656380197</c:v>
                </c:pt>
                <c:pt idx="480">
                  <c:v>1.0163555006943383</c:v>
                </c:pt>
                <c:pt idx="481">
                  <c:v>1.0219101990433586</c:v>
                </c:pt>
                <c:pt idx="482">
                  <c:v>1.027773491745102</c:v>
                </c:pt>
                <c:pt idx="483">
                  <c:v>1.0345625675050156</c:v>
                </c:pt>
                <c:pt idx="484">
                  <c:v>1.0424317234994611</c:v>
                </c:pt>
                <c:pt idx="485">
                  <c:v>1.0521524456102465</c:v>
                </c:pt>
                <c:pt idx="486">
                  <c:v>1.0442061410276204</c:v>
                </c:pt>
                <c:pt idx="487">
                  <c:v>1.0641876253664571</c:v>
                </c:pt>
                <c:pt idx="488">
                  <c:v>1.0597901558401495</c:v>
                </c:pt>
                <c:pt idx="489">
                  <c:v>1.0692794321863923</c:v>
                </c:pt>
                <c:pt idx="490">
                  <c:v>1.0772257367690183</c:v>
                </c:pt>
                <c:pt idx="491">
                  <c:v>1.0761456565344867</c:v>
                </c:pt>
                <c:pt idx="492">
                  <c:v>1.1033019595741409</c:v>
                </c:pt>
                <c:pt idx="493">
                  <c:v>1.0862521215861762</c:v>
                </c:pt>
                <c:pt idx="494">
                  <c:v>1.0536182687856823</c:v>
                </c:pt>
                <c:pt idx="495">
                  <c:v>1.0395772257367701</c:v>
                </c:pt>
                <c:pt idx="496">
                  <c:v>1.0421231291467377</c:v>
                </c:pt>
                <c:pt idx="497">
                  <c:v>1.0590186699583408</c:v>
                </c:pt>
                <c:pt idx="498">
                  <c:v>1.0681222033636795</c:v>
                </c:pt>
                <c:pt idx="499">
                  <c:v>1.0732911587717955</c:v>
                </c:pt>
                <c:pt idx="500">
                  <c:v>1.0799259373553474</c:v>
                </c:pt>
                <c:pt idx="501">
                  <c:v>1.0825489893534959</c:v>
                </c:pt>
                <c:pt idx="502">
                  <c:v>1.0733683073599765</c:v>
                </c:pt>
                <c:pt idx="503">
                  <c:v>1.0797716401789861</c:v>
                </c:pt>
                <c:pt idx="504">
                  <c:v>1.0769171424162951</c:v>
                </c:pt>
                <c:pt idx="505">
                  <c:v>1.0719024841845406</c:v>
                </c:pt>
                <c:pt idx="506">
                  <c:v>1.0884894306434205</c:v>
                </c:pt>
                <c:pt idx="507">
                  <c:v>1.0948927634624299</c:v>
                </c:pt>
                <c:pt idx="508">
                  <c:v>1.1082394692177147</c:v>
                </c:pt>
                <c:pt idx="509">
                  <c:v>1.1004474618114501</c:v>
                </c:pt>
                <c:pt idx="510">
                  <c:v>1.0833204752353045</c:v>
                </c:pt>
                <c:pt idx="511">
                  <c:v>1.0881036877025163</c:v>
                </c:pt>
                <c:pt idx="512">
                  <c:v>1.0999074216941844</c:v>
                </c:pt>
                <c:pt idx="513">
                  <c:v>1.104767782749577</c:v>
                </c:pt>
                <c:pt idx="514">
                  <c:v>1.1093966980404275</c:v>
                </c:pt>
                <c:pt idx="515">
                  <c:v>1.0941212775806217</c:v>
                </c:pt>
                <c:pt idx="516">
                  <c:v>1.0973615182842169</c:v>
                </c:pt>
                <c:pt idx="517">
                  <c:v>1.0772257367690186</c:v>
                </c:pt>
                <c:pt idx="518">
                  <c:v>1.0689708378336691</c:v>
                </c:pt>
                <c:pt idx="519">
                  <c:v>1.077534331121742</c:v>
                </c:pt>
                <c:pt idx="520">
                  <c:v>1.0872550532325276</c:v>
                </c:pt>
                <c:pt idx="521">
                  <c:v>1.0967443295787702</c:v>
                </c:pt>
                <c:pt idx="522">
                  <c:v>1.1059250115722898</c:v>
                </c:pt>
                <c:pt idx="523">
                  <c:v>1.0997531245178231</c:v>
                </c:pt>
                <c:pt idx="524">
                  <c:v>1.0883351334670592</c:v>
                </c:pt>
                <c:pt idx="525">
                  <c:v>1.1083166178058959</c:v>
                </c:pt>
                <c:pt idx="526">
                  <c:v>1.1018361363987055</c:v>
                </c:pt>
                <c:pt idx="527">
                  <c:v>1.0694337293627543</c:v>
                </c:pt>
                <c:pt idx="528">
                  <c:v>1.0631075451319256</c:v>
                </c:pt>
                <c:pt idx="529">
                  <c:v>1.0055546983490216</c:v>
                </c:pt>
                <c:pt idx="530">
                  <c:v>1.0310908810368784</c:v>
                </c:pt>
                <c:pt idx="531">
                  <c:v>1.0125752198734776</c:v>
                </c:pt>
                <c:pt idx="532">
                  <c:v>1.0385742940904195</c:v>
                </c:pt>
                <c:pt idx="533">
                  <c:v>0.98950779200740735</c:v>
                </c:pt>
                <c:pt idx="534">
                  <c:v>1.0087177904644355</c:v>
                </c:pt>
                <c:pt idx="535">
                  <c:v>0.97060638790310239</c:v>
                </c:pt>
                <c:pt idx="536">
                  <c:v>0.98086715013115355</c:v>
                </c:pt>
                <c:pt idx="537">
                  <c:v>1.0071748187008189</c:v>
                </c:pt>
                <c:pt idx="538">
                  <c:v>0.98117574448387712</c:v>
                </c:pt>
                <c:pt idx="539">
                  <c:v>0.97855269248572863</c:v>
                </c:pt>
                <c:pt idx="540">
                  <c:v>0.96366301496682716</c:v>
                </c:pt>
                <c:pt idx="541">
                  <c:v>0.99128220953556656</c:v>
                </c:pt>
                <c:pt idx="542">
                  <c:v>0.99429100447461904</c:v>
                </c:pt>
                <c:pt idx="543">
                  <c:v>0.99629686776732063</c:v>
                </c:pt>
                <c:pt idx="544">
                  <c:v>0.99328807282826814</c:v>
                </c:pt>
                <c:pt idx="545">
                  <c:v>1.0053232525844786</c:v>
                </c:pt>
                <c:pt idx="546">
                  <c:v>1.004166023761766</c:v>
                </c:pt>
                <c:pt idx="547">
                  <c:v>0.9907421694183004</c:v>
                </c:pt>
                <c:pt idx="548">
                  <c:v>0.98449313377565273</c:v>
                </c:pt>
                <c:pt idx="549">
                  <c:v>0.98341305354112096</c:v>
                </c:pt>
                <c:pt idx="550">
                  <c:v>0.98665329424471604</c:v>
                </c:pt>
                <c:pt idx="551">
                  <c:v>0.99151365530010882</c:v>
                </c:pt>
                <c:pt idx="552">
                  <c:v>0.99135935812374709</c:v>
                </c:pt>
                <c:pt idx="553">
                  <c:v>0.99513963894460822</c:v>
                </c:pt>
                <c:pt idx="554">
                  <c:v>1.0702823638327426</c:v>
                </c:pt>
                <c:pt idx="555">
                  <c:v>1.0787687085326347</c:v>
                </c:pt>
                <c:pt idx="556">
                  <c:v>1.0908810368770261</c:v>
                </c:pt>
                <c:pt idx="557">
                  <c:v>1.089492362289771</c:v>
                </c:pt>
                <c:pt idx="558">
                  <c:v>1.0863292701743565</c:v>
                </c:pt>
                <c:pt idx="559">
                  <c:v>1.0842462582934738</c:v>
                </c:pt>
                <c:pt idx="560">
                  <c:v>1.0857120814689096</c:v>
                </c:pt>
                <c:pt idx="561">
                  <c:v>1.0621046134855738</c:v>
                </c:pt>
                <c:pt idx="562">
                  <c:v>1.0432803579694496</c:v>
                </c:pt>
                <c:pt idx="563">
                  <c:v>1.057321401018362</c:v>
                </c:pt>
                <c:pt idx="564">
                  <c:v>1.0665020830118817</c:v>
                </c:pt>
                <c:pt idx="565">
                  <c:v>1.0893380651134092</c:v>
                </c:pt>
                <c:pt idx="566">
                  <c:v>1.0717481870081786</c:v>
                </c:pt>
                <c:pt idx="567">
                  <c:v>1.0490665020830128</c:v>
                </c:pt>
                <c:pt idx="568">
                  <c:v>1.0347168646813774</c:v>
                </c:pt>
                <c:pt idx="569">
                  <c:v>1.0549297947847565</c:v>
                </c:pt>
                <c:pt idx="570">
                  <c:v>1.057475698194724</c:v>
                </c:pt>
                <c:pt idx="571">
                  <c:v>1.0523838913747887</c:v>
                </c:pt>
                <c:pt idx="572">
                  <c:v>1.0529239314920544</c:v>
                </c:pt>
                <c:pt idx="573">
                  <c:v>1.0496065422002787</c:v>
                </c:pt>
                <c:pt idx="574">
                  <c:v>1.0345625675050154</c:v>
                </c:pt>
                <c:pt idx="575">
                  <c:v>1.0432803579694498</c:v>
                </c:pt>
                <c:pt idx="576">
                  <c:v>1.0362598364449938</c:v>
                </c:pt>
                <c:pt idx="577">
                  <c:v>1.0681222033636792</c:v>
                </c:pt>
                <c:pt idx="578">
                  <c:v>1.0762228051226672</c:v>
                </c:pt>
                <c:pt idx="579">
                  <c:v>1.0737540503008804</c:v>
                </c:pt>
                <c:pt idx="580">
                  <c:v>1.0648819626600843</c:v>
                </c:pt>
                <c:pt idx="581">
                  <c:v>1.0537725659620438</c:v>
                </c:pt>
                <c:pt idx="582">
                  <c:v>1.0441289924394392</c:v>
                </c:pt>
                <c:pt idx="583">
                  <c:v>1.0466748958494068</c:v>
                </c:pt>
                <c:pt idx="584">
                  <c:v>1.0564727665483731</c:v>
                </c:pt>
                <c:pt idx="585">
                  <c:v>1.0604844931337767</c:v>
                </c:pt>
                <c:pt idx="586">
                  <c:v>1.0469834902021304</c:v>
                </c:pt>
                <c:pt idx="587">
                  <c:v>1.0614102761919468</c:v>
                </c:pt>
                <c:pt idx="588">
                  <c:v>1.0837062181762083</c:v>
                </c:pt>
                <c:pt idx="589">
                  <c:v>1.073059713007253</c:v>
                </c:pt>
                <c:pt idx="590">
                  <c:v>1.0749884277117741</c:v>
                </c:pt>
                <c:pt idx="591">
                  <c:v>1.0854034871161868</c:v>
                </c:pt>
                <c:pt idx="592">
                  <c:v>1.0857120814689101</c:v>
                </c:pt>
                <c:pt idx="593">
                  <c:v>1.0878722419379736</c:v>
                </c:pt>
                <c:pt idx="594">
                  <c:v>1.0877950933497929</c:v>
                </c:pt>
                <c:pt idx="595">
                  <c:v>1.0956642493442383</c:v>
                </c:pt>
                <c:pt idx="596">
                  <c:v>1.091575374170654</c:v>
                </c:pt>
                <c:pt idx="597">
                  <c:v>1.1039191482795878</c:v>
                </c:pt>
                <c:pt idx="598">
                  <c:v>1.105230674278662</c:v>
                </c:pt>
                <c:pt idx="599">
                  <c:v>1.099598827341461</c:v>
                </c:pt>
                <c:pt idx="600">
                  <c:v>1.0979787069896634</c:v>
                </c:pt>
                <c:pt idx="601">
                  <c:v>1.0768399938281144</c:v>
                </c:pt>
                <c:pt idx="602">
                  <c:v>1.0712081468909131</c:v>
                </c:pt>
                <c:pt idx="603">
                  <c:v>1.0738311988890616</c:v>
                </c:pt>
                <c:pt idx="604">
                  <c:v>1.0739083474772424</c:v>
                </c:pt>
                <c:pt idx="605">
                  <c:v>1.0692022835982116</c:v>
                </c:pt>
                <c:pt idx="606">
                  <c:v>1.1065422002777365</c:v>
                </c:pt>
                <c:pt idx="607">
                  <c:v>1.1220490665020846</c:v>
                </c:pt>
                <c:pt idx="608">
                  <c:v>1.1310754513192427</c:v>
                </c:pt>
                <c:pt idx="609">
                  <c:v>1.1158771794476177</c:v>
                </c:pt>
                <c:pt idx="610">
                  <c:v>1.1048449313377582</c:v>
                </c:pt>
                <c:pt idx="611">
                  <c:v>1.1135627218021926</c:v>
                </c:pt>
                <c:pt idx="612">
                  <c:v>1.1198117574448403</c:v>
                </c:pt>
                <c:pt idx="613">
                  <c:v>1.1373244869618901</c:v>
                </c:pt>
                <c:pt idx="614">
                  <c:v>1.1429563338990913</c:v>
                </c:pt>
                <c:pt idx="615">
                  <c:v>1.1485110322481116</c:v>
                </c:pt>
                <c:pt idx="616">
                  <c:v>1.1554544051843869</c:v>
                </c:pt>
                <c:pt idx="617">
                  <c:v>1.1833050455176688</c:v>
                </c:pt>
                <c:pt idx="618">
                  <c:v>1.1854652059867321</c:v>
                </c:pt>
                <c:pt idx="619">
                  <c:v>1.1900169726894014</c:v>
                </c:pt>
                <c:pt idx="620">
                  <c:v>1.2046752044437603</c:v>
                </c:pt>
                <c:pt idx="621">
                  <c:v>1.1954173738620599</c:v>
                </c:pt>
                <c:pt idx="622">
                  <c:v>1.218947693257215</c:v>
                </c:pt>
                <c:pt idx="623">
                  <c:v>1.2098441598518763</c:v>
                </c:pt>
                <c:pt idx="624">
                  <c:v>1.2170961271408749</c:v>
                </c:pt>
                <c:pt idx="625">
                  <c:v>1.2036722727974096</c:v>
                </c:pt>
                <c:pt idx="626">
                  <c:v>1.2105384971455038</c:v>
                </c:pt>
                <c:pt idx="627">
                  <c:v>1.2186390989044915</c:v>
                </c:pt>
                <c:pt idx="628">
                  <c:v>1.2126215090263863</c:v>
                </c:pt>
                <c:pt idx="629">
                  <c:v>1.1988890603301976</c:v>
                </c:pt>
                <c:pt idx="630">
                  <c:v>1.2062181762073769</c:v>
                </c:pt>
                <c:pt idx="631">
                  <c:v>1.2036722727974094</c:v>
                </c:pt>
                <c:pt idx="632">
                  <c:v>1.2093812683227914</c:v>
                </c:pt>
                <c:pt idx="633">
                  <c:v>1.2025921925628777</c:v>
                </c:pt>
                <c:pt idx="634">
                  <c:v>1.186468137633083</c:v>
                </c:pt>
                <c:pt idx="635">
                  <c:v>1.1846937201049239</c:v>
                </c:pt>
                <c:pt idx="636">
                  <c:v>1.191559944453018</c:v>
                </c:pt>
                <c:pt idx="637">
                  <c:v>1.194028699274805</c:v>
                </c:pt>
                <c:pt idx="638">
                  <c:v>1.1636321555315556</c:v>
                </c:pt>
                <c:pt idx="639">
                  <c:v>1.1586946458879821</c:v>
                </c:pt>
                <c:pt idx="640">
                  <c:v>1.1466594661317717</c:v>
                </c:pt>
                <c:pt idx="641">
                  <c:v>1.1492825181299202</c:v>
                </c:pt>
                <c:pt idx="642">
                  <c:v>1.1532170961271428</c:v>
                </c:pt>
                <c:pt idx="643">
                  <c:v>1.1293010337910836</c:v>
                </c:pt>
                <c:pt idx="644">
                  <c:v>1.1369387440209864</c:v>
                </c:pt>
                <c:pt idx="645">
                  <c:v>1.1358586637864545</c:v>
                </c:pt>
                <c:pt idx="646">
                  <c:v>1.1344699891991996</c:v>
                </c:pt>
                <c:pt idx="647">
                  <c:v>1.1384045671964222</c:v>
                </c:pt>
                <c:pt idx="648">
                  <c:v>1.1476623977781224</c:v>
                </c:pt>
                <c:pt idx="649">
                  <c:v>1.1430334824872723</c:v>
                </c:pt>
                <c:pt idx="650">
                  <c:v>1.1289152908501794</c:v>
                </c:pt>
                <c:pt idx="651">
                  <c:v>1.1326955716710403</c:v>
                </c:pt>
                <c:pt idx="652">
                  <c:v>1.1201975003857447</c:v>
                </c:pt>
                <c:pt idx="653">
                  <c:v>1.1183459342694049</c:v>
                </c:pt>
                <c:pt idx="654">
                  <c:v>1.108779509334981</c:v>
                </c:pt>
                <c:pt idx="655">
                  <c:v>1.1096281438049702</c:v>
                </c:pt>
                <c:pt idx="656">
                  <c:v>1.114488504860363</c:v>
                </c:pt>
                <c:pt idx="657">
                  <c:v>1.1289924394383604</c:v>
                </c:pt>
                <c:pt idx="658">
                  <c:v>1.1295324795556261</c:v>
                </c:pt>
                <c:pt idx="659">
                  <c:v>1.1514426785989835</c:v>
                </c:pt>
                <c:pt idx="660">
                  <c:v>1.1480481407190266</c:v>
                </c:pt>
                <c:pt idx="661">
                  <c:v>1.1504397469526324</c:v>
                </c:pt>
                <c:pt idx="662">
                  <c:v>1.1489739237771965</c:v>
                </c:pt>
                <c:pt idx="663">
                  <c:v>1.1441135627218038</c:v>
                </c:pt>
                <c:pt idx="664">
                  <c:v>1.1351643264928266</c:v>
                </c:pt>
                <c:pt idx="665">
                  <c:v>1.1242863755593286</c:v>
                </c:pt>
                <c:pt idx="666">
                  <c:v>1.1298410739083489</c:v>
                </c:pt>
                <c:pt idx="667">
                  <c:v>1.1181144885048619</c:v>
                </c:pt>
                <c:pt idx="668">
                  <c:v>1.1246721185002329</c:v>
                </c:pt>
                <c:pt idx="669">
                  <c:v>1.1386360129609643</c:v>
                </c:pt>
                <c:pt idx="670">
                  <c:v>1.1188088257984894</c:v>
                </c:pt>
                <c:pt idx="671">
                  <c:v>1.1091652522758848</c:v>
                </c:pt>
                <c:pt idx="672">
                  <c:v>1.1009875019287161</c:v>
                </c:pt>
                <c:pt idx="673">
                  <c:v>1.1059250115722894</c:v>
                </c:pt>
                <c:pt idx="674">
                  <c:v>1.1024533251041519</c:v>
                </c:pt>
                <c:pt idx="675">
                  <c:v>1.1194260145039359</c:v>
                </c:pt>
                <c:pt idx="676">
                  <c:v>1.1168801110939683</c:v>
                </c:pt>
                <c:pt idx="677">
                  <c:v>1.123669186853882</c:v>
                </c:pt>
                <c:pt idx="678">
                  <c:v>1.1275266162629238</c:v>
                </c:pt>
                <c:pt idx="679">
                  <c:v>1.1249035642647753</c:v>
                </c:pt>
                <c:pt idx="680">
                  <c:v>1.1417991050763785</c:v>
                </c:pt>
                <c:pt idx="681">
                  <c:v>1.1406418762536659</c:v>
                </c:pt>
                <c:pt idx="682">
                  <c:v>1.1381731214318791</c:v>
                </c:pt>
                <c:pt idx="683">
                  <c:v>1.1256750501465835</c:v>
                </c:pt>
                <c:pt idx="684">
                  <c:v>1.1208918376793717</c:v>
                </c:pt>
                <c:pt idx="685">
                  <c:v>1.1028390680450559</c:v>
                </c:pt>
                <c:pt idx="686">
                  <c:v>1.0877950933497931</c:v>
                </c:pt>
                <c:pt idx="687">
                  <c:v>1.0891066193488672</c:v>
                </c:pt>
                <c:pt idx="688">
                  <c:v>1.083166178058943</c:v>
                </c:pt>
                <c:pt idx="689">
                  <c:v>1.085943527233453</c:v>
                </c:pt>
                <c:pt idx="690">
                  <c:v>1.0468291930257689</c:v>
                </c:pt>
                <c:pt idx="691">
                  <c:v>1.0601758987810537</c:v>
                </c:pt>
                <c:pt idx="692">
                  <c:v>1.072828267242711</c:v>
                </c:pt>
                <c:pt idx="693">
                  <c:v>1.0719024841845408</c:v>
                </c:pt>
                <c:pt idx="694">
                  <c:v>1.091035334053388</c:v>
                </c:pt>
                <c:pt idx="695">
                  <c:v>1.1032248109859604</c:v>
                </c:pt>
                <c:pt idx="696">
                  <c:v>1.1115568585094906</c:v>
                </c:pt>
                <c:pt idx="697">
                  <c:v>1.1110168183922247</c:v>
                </c:pt>
                <c:pt idx="698">
                  <c:v>1.1164943681530639</c:v>
                </c:pt>
                <c:pt idx="699">
                  <c:v>1.113176978861288</c:v>
                </c:pt>
                <c:pt idx="700">
                  <c:v>1.1296867767319871</c:v>
                </c:pt>
                <c:pt idx="701">
                  <c:v>1.1246721185002326</c:v>
                </c:pt>
                <c:pt idx="702">
                  <c:v>1.145193642956335</c:v>
                </c:pt>
                <c:pt idx="703">
                  <c:v>1.155222959419844</c:v>
                </c:pt>
                <c:pt idx="704">
                  <c:v>1.168415367998767</c:v>
                </c:pt>
                <c:pt idx="705">
                  <c:v>1.1789847245795417</c:v>
                </c:pt>
                <c:pt idx="706">
                  <c:v>1.1826107082240411</c:v>
                </c:pt>
                <c:pt idx="707">
                  <c:v>1.1801419534022544</c:v>
                </c:pt>
                <c:pt idx="708">
                  <c:v>1.1829193025767646</c:v>
                </c:pt>
                <c:pt idx="709">
                  <c:v>1.184539422928562</c:v>
                </c:pt>
                <c:pt idx="710">
                  <c:v>1.1818392223422327</c:v>
                </c:pt>
                <c:pt idx="711">
                  <c:v>1.184539422928562</c:v>
                </c:pt>
                <c:pt idx="712">
                  <c:v>1.1905570128066671</c:v>
                </c:pt>
                <c:pt idx="713">
                  <c:v>1.2041351643264946</c:v>
                </c:pt>
                <c:pt idx="714">
                  <c:v>1.2099984570282383</c:v>
                </c:pt>
                <c:pt idx="715">
                  <c:v>1.2188705446690344</c:v>
                </c:pt>
                <c:pt idx="716">
                  <c:v>1.2187162474926727</c:v>
                </c:pt>
                <c:pt idx="717">
                  <c:v>1.2059095818546539</c:v>
                </c:pt>
                <c:pt idx="718">
                  <c:v>1.2096127140873341</c:v>
                </c:pt>
                <c:pt idx="719">
                  <c:v>1.2229594198426188</c:v>
                </c:pt>
                <c:pt idx="720">
                  <c:v>1.2274340379571071</c:v>
                </c:pt>
                <c:pt idx="721">
                  <c:v>1.2383891374787859</c:v>
                </c:pt>
                <c:pt idx="722">
                  <c:v>1.242555161240551</c:v>
                </c:pt>
                <c:pt idx="723">
                  <c:v>1.2651596975775361</c:v>
                </c:pt>
                <c:pt idx="724">
                  <c:v>1.2747261225119597</c:v>
                </c:pt>
                <c:pt idx="725">
                  <c:v>1.2824409813300433</c:v>
                </c:pt>
                <c:pt idx="726">
                  <c:v>1.2995679679061889</c:v>
                </c:pt>
                <c:pt idx="727">
                  <c:v>1.28490973615183</c:v>
                </c:pt>
                <c:pt idx="728">
                  <c:v>1.2922388520290096</c:v>
                </c:pt>
                <c:pt idx="729">
                  <c:v>1.2914673661472011</c:v>
                </c:pt>
                <c:pt idx="730">
                  <c:v>1.2991050763771039</c:v>
                </c:pt>
                <c:pt idx="731">
                  <c:v>1.3068970837833684</c:v>
                </c:pt>
                <c:pt idx="732">
                  <c:v>1.3138404567196438</c:v>
                </c:pt>
                <c:pt idx="733">
                  <c:v>1.3122974849560269</c:v>
                </c:pt>
                <c:pt idx="734">
                  <c:v>1.3275729054158325</c:v>
                </c:pt>
                <c:pt idx="735">
                  <c:v>1.3217867613022698</c:v>
                </c:pt>
                <c:pt idx="736">
                  <c:v>1.3224039500077163</c:v>
                </c:pt>
                <c:pt idx="737">
                  <c:v>1.3290387285912681</c:v>
                </c:pt>
                <c:pt idx="738">
                  <c:v>1.3271100138867473</c:v>
                </c:pt>
                <c:pt idx="739">
                  <c:v>1.3166178058941536</c:v>
                </c:pt>
                <c:pt idx="740">
                  <c:v>1.3193951550686636</c:v>
                </c:pt>
                <c:pt idx="741">
                  <c:v>1.3138404567196433</c:v>
                </c:pt>
                <c:pt idx="742">
                  <c:v>1.3041968831970387</c:v>
                </c:pt>
                <c:pt idx="743">
                  <c:v>1.29601913284987</c:v>
                </c:pt>
                <c:pt idx="744">
                  <c:v>1.2890757599135947</c:v>
                </c:pt>
                <c:pt idx="745">
                  <c:v>1.2916216633235622</c:v>
                </c:pt>
                <c:pt idx="746">
                  <c:v>1.3139176053078241</c:v>
                </c:pt>
                <c:pt idx="747">
                  <c:v>1.3123746335442075</c:v>
                </c:pt>
                <c:pt idx="748">
                  <c:v>1.3037339916679538</c:v>
                </c:pt>
                <c:pt idx="749">
                  <c:v>1.3153834284832602</c:v>
                </c:pt>
                <c:pt idx="750">
                  <c:v>1.3342076839993844</c:v>
                </c:pt>
                <c:pt idx="751">
                  <c:v>1.3291158771794491</c:v>
                </c:pt>
                <c:pt idx="752">
                  <c:v>1.3325875636475868</c:v>
                </c:pt>
                <c:pt idx="753">
                  <c:v>1.359898163863603</c:v>
                </c:pt>
                <c:pt idx="754">
                  <c:v>1.3451627835210631</c:v>
                </c:pt>
                <c:pt idx="755">
                  <c:v>1.3403024224656703</c:v>
                </c:pt>
                <c:pt idx="756">
                  <c:v>1.3480172812837539</c:v>
                </c:pt>
                <c:pt idx="757">
                  <c:v>1.3462428637555948</c:v>
                </c:pt>
                <c:pt idx="758">
                  <c:v>1.3508717790464448</c:v>
                </c:pt>
                <c:pt idx="759">
                  <c:v>1.3534176824564126</c:v>
                </c:pt>
                <c:pt idx="760">
                  <c:v>1.34855732140102</c:v>
                </c:pt>
                <c:pt idx="761">
                  <c:v>1.3501774417528176</c:v>
                </c:pt>
                <c:pt idx="762">
                  <c:v>1.3561950316309228</c:v>
                </c:pt>
                <c:pt idx="763">
                  <c:v>1.3443912976392547</c:v>
                </c:pt>
                <c:pt idx="764">
                  <c:v>1.3580465977472627</c:v>
                </c:pt>
                <c:pt idx="765">
                  <c:v>1.3876716556087039</c:v>
                </c:pt>
                <c:pt idx="766">
                  <c:v>1.3811911742015135</c:v>
                </c:pt>
                <c:pt idx="767">
                  <c:v>1.386591575374172</c:v>
                </c:pt>
                <c:pt idx="768">
                  <c:v>1.3956179601913299</c:v>
                </c:pt>
                <c:pt idx="769">
                  <c:v>1.4123592038265713</c:v>
                </c:pt>
                <c:pt idx="770">
                  <c:v>1.4194568739392082</c:v>
                </c:pt>
                <c:pt idx="771">
                  <c:v>1.4145965128838156</c:v>
                </c:pt>
                <c:pt idx="772">
                  <c:v>1.4152908501774428</c:v>
                </c:pt>
                <c:pt idx="773">
                  <c:v>1.4224656688782606</c:v>
                </c:pt>
                <c:pt idx="774">
                  <c:v>1.4354266316926412</c:v>
                </c:pt>
                <c:pt idx="775">
                  <c:v>1.4294861904027167</c:v>
                </c:pt>
                <c:pt idx="776">
                  <c:v>1.440209844159853</c:v>
                </c:pt>
                <c:pt idx="777">
                  <c:v>1.4546366301496694</c:v>
                </c:pt>
                <c:pt idx="778">
                  <c:v>1.4621971917913914</c:v>
                </c:pt>
                <c:pt idx="779">
                  <c:v>1.4493905261533726</c:v>
                </c:pt>
                <c:pt idx="780">
                  <c:v>1.4520907267397019</c:v>
                </c:pt>
                <c:pt idx="781">
                  <c:v>1.4526307668569676</c:v>
                </c:pt>
                <c:pt idx="782">
                  <c:v>1.4645887980249974</c:v>
                </c:pt>
                <c:pt idx="783">
                  <c:v>1.4764696806048461</c:v>
                </c:pt>
                <c:pt idx="784">
                  <c:v>1.450162012035181</c:v>
                </c:pt>
                <c:pt idx="785">
                  <c:v>1.4681376330813158</c:v>
                </c:pt>
                <c:pt idx="786">
                  <c:v>1.4863446998919929</c:v>
                </c:pt>
                <c:pt idx="787">
                  <c:v>1.4950624903564274</c:v>
                </c:pt>
                <c:pt idx="788">
                  <c:v>1.51465823175436</c:v>
                </c:pt>
                <c:pt idx="789">
                  <c:v>1.535719796327728</c:v>
                </c:pt>
                <c:pt idx="790">
                  <c:v>1.516895540811604</c:v>
                </c:pt>
                <c:pt idx="791">
                  <c:v>1.5030087949390534</c:v>
                </c:pt>
                <c:pt idx="792">
                  <c:v>1.5100293164635095</c:v>
                </c:pt>
                <c:pt idx="793">
                  <c:v>1.5392686313840465</c:v>
                </c:pt>
                <c:pt idx="794">
                  <c:v>1.5452862212621519</c:v>
                </c:pt>
                <c:pt idx="795">
                  <c:v>1.5347940132695581</c:v>
                </c:pt>
                <c:pt idx="796">
                  <c:v>1.5341768245641116</c:v>
                </c:pt>
                <c:pt idx="797">
                  <c:v>1.5298565036259848</c:v>
                </c:pt>
                <c:pt idx="798">
                  <c:v>1.5094121277580632</c:v>
                </c:pt>
                <c:pt idx="799">
                  <c:v>1.5232988736306134</c:v>
                </c:pt>
                <c:pt idx="800">
                  <c:v>1.5312451782132397</c:v>
                </c:pt>
                <c:pt idx="801">
                  <c:v>1.5209844159851886</c:v>
                </c:pt>
                <c:pt idx="802">
                  <c:v>1.5080234531708081</c:v>
                </c:pt>
                <c:pt idx="803">
                  <c:v>1.5077148588180846</c:v>
                </c:pt>
                <c:pt idx="804">
                  <c:v>1.4101990433575076</c:v>
                </c:pt>
                <c:pt idx="805">
                  <c:v>1.4109705292393158</c:v>
                </c:pt>
                <c:pt idx="806">
                  <c:v>1.394846474309521</c:v>
                </c:pt>
                <c:pt idx="807">
                  <c:v>1.3892917759605008</c:v>
                </c:pt>
                <c:pt idx="808">
                  <c:v>1.3983181607776585</c:v>
                </c:pt>
                <c:pt idx="809">
                  <c:v>1.4334207683999389</c:v>
                </c:pt>
                <c:pt idx="810">
                  <c:v>1.4612714087332208</c:v>
                </c:pt>
                <c:pt idx="811">
                  <c:v>1.4823329733065889</c:v>
                </c:pt>
                <c:pt idx="812">
                  <c:v>1.4895849405955877</c:v>
                </c:pt>
                <c:pt idx="813">
                  <c:v>1.4918222496528317</c:v>
                </c:pt>
                <c:pt idx="814">
                  <c:v>1.4927480327110019</c:v>
                </c:pt>
                <c:pt idx="815">
                  <c:v>1.4911279123592043</c:v>
                </c:pt>
                <c:pt idx="816">
                  <c:v>1.4792470297793554</c:v>
                </c:pt>
                <c:pt idx="817">
                  <c:v>1.4801728128375256</c:v>
                </c:pt>
                <c:pt idx="818">
                  <c:v>1.4786298410739087</c:v>
                </c:pt>
                <c:pt idx="819">
                  <c:v>1.4697577534331125</c:v>
                </c:pt>
                <c:pt idx="820">
                  <c:v>1.4812528930720572</c:v>
                </c:pt>
                <c:pt idx="821">
                  <c:v>1.4793241783675362</c:v>
                </c:pt>
                <c:pt idx="822">
                  <c:v>1.5094121277580625</c:v>
                </c:pt>
                <c:pt idx="823">
                  <c:v>1.5236846165715172</c:v>
                </c:pt>
                <c:pt idx="824">
                  <c:v>1.5334824872704835</c:v>
                </c:pt>
                <c:pt idx="825">
                  <c:v>1.5331738929177601</c:v>
                </c:pt>
                <c:pt idx="826">
                  <c:v>1.5546212004320326</c:v>
                </c:pt>
                <c:pt idx="827">
                  <c:v>1.5592501157228826</c:v>
                </c:pt>
                <c:pt idx="828">
                  <c:v>1.5620274648973929</c:v>
                </c:pt>
                <c:pt idx="829">
                  <c:v>1.5799259373553467</c:v>
                </c:pt>
                <c:pt idx="830">
                  <c:v>1.5088720876407966</c:v>
                </c:pt>
                <c:pt idx="831">
                  <c:v>1.539268631384046</c:v>
                </c:pt>
                <c:pt idx="832">
                  <c:v>1.5299336522141647</c:v>
                </c:pt>
                <c:pt idx="833">
                  <c:v>1.5192099984570282</c:v>
                </c:pt>
                <c:pt idx="834">
                  <c:v>1.5484493133775652</c:v>
                </c:pt>
                <c:pt idx="835">
                  <c:v>1.5391143342076838</c:v>
                </c:pt>
                <c:pt idx="836">
                  <c:v>1.5283906804505476</c:v>
                </c:pt>
                <c:pt idx="837">
                  <c:v>1.5378028082086097</c:v>
                </c:pt>
                <c:pt idx="838">
                  <c:v>1.5632618423082856</c:v>
                </c:pt>
                <c:pt idx="839">
                  <c:v>1.5570128066656379</c:v>
                </c:pt>
                <c:pt idx="840">
                  <c:v>1.5364912822095356</c:v>
                </c:pt>
                <c:pt idx="841">
                  <c:v>1.5218330504551765</c:v>
                </c:pt>
                <c:pt idx="842">
                  <c:v>1.5191328498688472</c:v>
                </c:pt>
                <c:pt idx="843">
                  <c:v>1.5425860206758215</c:v>
                </c:pt>
                <c:pt idx="844">
                  <c:v>1.5399629686776732</c:v>
                </c:pt>
                <c:pt idx="845">
                  <c:v>1.4994599598827343</c:v>
                </c:pt>
                <c:pt idx="846">
                  <c:v>1.4776269094275574</c:v>
                </c:pt>
                <c:pt idx="847">
                  <c:v>1.4940595587100756</c:v>
                </c:pt>
                <c:pt idx="848">
                  <c:v>1.4949853417682457</c:v>
                </c:pt>
                <c:pt idx="849">
                  <c:v>1.5042431723499459</c:v>
                </c:pt>
                <c:pt idx="850">
                  <c:v>1.5198271871624749</c:v>
                </c:pt>
                <c:pt idx="851">
                  <c:v>1.5327110013886747</c:v>
                </c:pt>
                <c:pt idx="852">
                  <c:v>1.5144267859898166</c:v>
                </c:pt>
                <c:pt idx="853">
                  <c:v>1.5343311217404723</c:v>
                </c:pt>
                <c:pt idx="854">
                  <c:v>1.5280820860978244</c:v>
                </c:pt>
                <c:pt idx="855">
                  <c:v>1.5231445764542508</c:v>
                </c:pt>
                <c:pt idx="856">
                  <c:v>1.5365684307977161</c:v>
                </c:pt>
                <c:pt idx="857">
                  <c:v>1.5604073445455946</c:v>
                </c:pt>
                <c:pt idx="858">
                  <c:v>1.5850177441752813</c:v>
                </c:pt>
                <c:pt idx="859">
                  <c:v>1.6110939669804043</c:v>
                </c:pt>
                <c:pt idx="860">
                  <c:v>1.6100138867458724</c:v>
                </c:pt>
                <c:pt idx="861">
                  <c:v>1.5799259373553463</c:v>
                </c:pt>
                <c:pt idx="862">
                  <c:v>1.5828575837062182</c:v>
                </c:pt>
                <c:pt idx="863">
                  <c:v>1.6018361363987041</c:v>
                </c:pt>
                <c:pt idx="864">
                  <c:v>1.6031476623977783</c:v>
                </c:pt>
                <c:pt idx="865">
                  <c:v>1.6004474618114488</c:v>
                </c:pt>
                <c:pt idx="866">
                  <c:v>1.5810831661780591</c:v>
                </c:pt>
                <c:pt idx="867">
                  <c:v>1.6205060947384666</c:v>
                </c:pt>
                <c:pt idx="868">
                  <c:v>1.6480481407190251</c:v>
                </c:pt>
                <c:pt idx="869">
                  <c:v>1.6731214318777969</c:v>
                </c:pt>
                <c:pt idx="870">
                  <c:v>1.6199660546212005</c:v>
                </c:pt>
                <c:pt idx="871">
                  <c:v>1.6184230828575839</c:v>
                </c:pt>
                <c:pt idx="872">
                  <c:v>1.6222805122666257</c:v>
                </c:pt>
                <c:pt idx="873">
                  <c:v>1.6226662552075299</c:v>
                </c:pt>
                <c:pt idx="874">
                  <c:v>1.6092424008640644</c:v>
                </c:pt>
                <c:pt idx="875">
                  <c:v>1.6098595895695109</c:v>
                </c:pt>
                <c:pt idx="876">
                  <c:v>1.6374016355500696</c:v>
                </c:pt>
                <c:pt idx="877">
                  <c:v>1.6266779817929333</c:v>
                </c:pt>
                <c:pt idx="878">
                  <c:v>1.6601604690634164</c:v>
                </c:pt>
                <c:pt idx="879">
                  <c:v>1.6417219564881966</c:v>
                </c:pt>
                <c:pt idx="880">
                  <c:v>1.6043820398086719</c:v>
                </c:pt>
                <c:pt idx="881">
                  <c:v>1.5363369850331741</c:v>
                </c:pt>
                <c:pt idx="882">
                  <c:v>1.5036259836444996</c:v>
                </c:pt>
                <c:pt idx="883">
                  <c:v>1.5455948156148747</c:v>
                </c:pt>
                <c:pt idx="884">
                  <c:v>1.5460577071439598</c:v>
                </c:pt>
                <c:pt idx="885">
                  <c:v>1.5742940904181459</c:v>
                </c:pt>
                <c:pt idx="886">
                  <c:v>1.5877179447616114</c:v>
                </c:pt>
                <c:pt idx="887">
                  <c:v>1.5907267397006639</c:v>
                </c:pt>
                <c:pt idx="888">
                  <c:v>1.6042277426323102</c:v>
                </c:pt>
                <c:pt idx="889">
                  <c:v>1.6219719179139027</c:v>
                </c:pt>
                <c:pt idx="890">
                  <c:v>1.632078382965592</c:v>
                </c:pt>
                <c:pt idx="891">
                  <c:v>1.6507483413053545</c:v>
                </c:pt>
                <c:pt idx="892">
                  <c:v>1.6621663323561182</c:v>
                </c:pt>
                <c:pt idx="893">
                  <c:v>1.6549915136553006</c:v>
                </c:pt>
                <c:pt idx="894">
                  <c:v>1.6556087023607473</c:v>
                </c:pt>
                <c:pt idx="895">
                  <c:v>1.6712698657614571</c:v>
                </c:pt>
                <c:pt idx="896">
                  <c:v>1.6842308285758376</c:v>
                </c:pt>
                <c:pt idx="897">
                  <c:v>1.6908656071593895</c:v>
                </c:pt>
                <c:pt idx="898">
                  <c:v>1.698657614565654</c:v>
                </c:pt>
                <c:pt idx="899">
                  <c:v>1.7072211078537267</c:v>
                </c:pt>
                <c:pt idx="900">
                  <c:v>1.714318777966364</c:v>
                </c:pt>
                <c:pt idx="901">
                  <c:v>1.7343002623052008</c:v>
                </c:pt>
                <c:pt idx="902">
                  <c:v>1.6995833976238246</c:v>
                </c:pt>
                <c:pt idx="903">
                  <c:v>1.6920999845702835</c:v>
                </c:pt>
                <c:pt idx="904">
                  <c:v>1.6789847245795413</c:v>
                </c:pt>
                <c:pt idx="905">
                  <c:v>1.639098904490049</c:v>
                </c:pt>
                <c:pt idx="906">
                  <c:v>1.6726585403487129</c:v>
                </c:pt>
                <c:pt idx="907">
                  <c:v>1.585866378645272</c:v>
                </c:pt>
                <c:pt idx="908">
                  <c:v>1.5987501928714716</c:v>
                </c:pt>
                <c:pt idx="909">
                  <c:v>1.593889831816079</c:v>
                </c:pt>
                <c:pt idx="910">
                  <c:v>1.5762999537108484</c:v>
                </c:pt>
                <c:pt idx="911">
                  <c:v>1.6036105539268646</c:v>
                </c:pt>
                <c:pt idx="912">
                  <c:v>1.6143342076840006</c:v>
                </c:pt>
                <c:pt idx="913">
                  <c:v>1.6010646505168968</c:v>
                </c:pt>
                <c:pt idx="914">
                  <c:v>1.6238234840302435</c:v>
                </c:pt>
                <c:pt idx="915">
                  <c:v>1.6285295479092745</c:v>
                </c:pt>
                <c:pt idx="916">
                  <c:v>1.6312297484956038</c:v>
                </c:pt>
                <c:pt idx="917">
                  <c:v>1.6323869773183164</c:v>
                </c:pt>
                <c:pt idx="918">
                  <c:v>1.6215861749729992</c:v>
                </c:pt>
                <c:pt idx="919">
                  <c:v>1.6184230828575847</c:v>
                </c:pt>
                <c:pt idx="920">
                  <c:v>1.623977781206605</c:v>
                </c:pt>
                <c:pt idx="921">
                  <c:v>1.6267551303811152</c:v>
                </c:pt>
                <c:pt idx="922">
                  <c:v>1.5972843696960355</c:v>
                </c:pt>
                <c:pt idx="923">
                  <c:v>1.5992130844005565</c:v>
                </c:pt>
                <c:pt idx="924">
                  <c:v>1.5833204752353043</c:v>
                </c:pt>
                <c:pt idx="925">
                  <c:v>1.6295324795556252</c:v>
                </c:pt>
                <c:pt idx="926">
                  <c:v>1.6272951704983811</c:v>
                </c:pt>
                <c:pt idx="927">
                  <c:v>1.625906495911126</c:v>
                </c:pt>
                <c:pt idx="928">
                  <c:v>1.6465051689554093</c:v>
                </c:pt>
                <c:pt idx="929">
                  <c:v>1.642030550840921</c:v>
                </c:pt>
                <c:pt idx="930">
                  <c:v>1.7149359666718111</c:v>
                </c:pt>
                <c:pt idx="931">
                  <c:v>1.7086869310291632</c:v>
                </c:pt>
                <c:pt idx="932">
                  <c:v>1.7086869310291632</c:v>
                </c:pt>
                <c:pt idx="933">
                  <c:v>1.7253510260762237</c:v>
                </c:pt>
                <c:pt idx="934">
                  <c:v>1.7313686159543289</c:v>
                </c:pt>
                <c:pt idx="935">
                  <c:v>1.7386977318315084</c:v>
                </c:pt>
                <c:pt idx="936">
                  <c:v>1.7204135164326502</c:v>
                </c:pt>
                <c:pt idx="937">
                  <c:v>1.7290541583089039</c:v>
                </c:pt>
                <c:pt idx="938">
                  <c:v>1.7235766085480644</c:v>
                </c:pt>
                <c:pt idx="939">
                  <c:v>1.7356889368924557</c:v>
                </c:pt>
                <c:pt idx="940">
                  <c:v>1.7150902638481726</c:v>
                </c:pt>
                <c:pt idx="941">
                  <c:v>1.7397006634778596</c:v>
                </c:pt>
                <c:pt idx="942">
                  <c:v>1.7312914673661484</c:v>
                </c:pt>
                <c:pt idx="943">
                  <c:v>1.7120814689091202</c:v>
                </c:pt>
                <c:pt idx="944">
                  <c:v>1.7199506249035654</c:v>
                </c:pt>
                <c:pt idx="945">
                  <c:v>1.6955716710384212</c:v>
                </c:pt>
                <c:pt idx="946">
                  <c:v>1.7087640796173442</c:v>
                </c:pt>
                <c:pt idx="947">
                  <c:v>1.9060330195957429</c:v>
                </c:pt>
                <c:pt idx="948">
                  <c:v>1.8236383274186097</c:v>
                </c:pt>
                <c:pt idx="949">
                  <c:v>1.8282672427094599</c:v>
                </c:pt>
                <c:pt idx="950">
                  <c:v>1.8460885665792333</c:v>
                </c:pt>
                <c:pt idx="951">
                  <c:v>1.848171578460116</c:v>
                </c:pt>
                <c:pt idx="952">
                  <c:v>1.8605153525690497</c:v>
                </c:pt>
                <c:pt idx="953">
                  <c:v>1.8659929023298891</c:v>
                </c:pt>
                <c:pt idx="954">
                  <c:v>1.8925320166640969</c:v>
                </c:pt>
                <c:pt idx="955">
                  <c:v>1.8903718561950333</c:v>
                </c:pt>
                <c:pt idx="956">
                  <c:v>1.875405030087951</c:v>
                </c:pt>
                <c:pt idx="957">
                  <c:v>1.8575837062181777</c:v>
                </c:pt>
                <c:pt idx="958">
                  <c:v>1.8882888443141506</c:v>
                </c:pt>
                <c:pt idx="959">
                  <c:v>1.9175281592346878</c:v>
                </c:pt>
                <c:pt idx="960">
                  <c:v>1.930952013578153</c:v>
                </c:pt>
                <c:pt idx="961">
                  <c:v>1.9284832587563665</c:v>
                </c:pt>
                <c:pt idx="962">
                  <c:v>1.9270945841691114</c:v>
                </c:pt>
                <c:pt idx="963">
                  <c:v>1.9265545440518457</c:v>
                </c:pt>
                <c:pt idx="964">
                  <c:v>1.8997839839530954</c:v>
                </c:pt>
                <c:pt idx="965">
                  <c:v>1.888751735843236</c:v>
                </c:pt>
                <c:pt idx="966">
                  <c:v>1.8777966363215572</c:v>
                </c:pt>
                <c:pt idx="967">
                  <c:v>1.893843542663171</c:v>
                </c:pt>
                <c:pt idx="968">
                  <c:v>1.9083474772411684</c:v>
                </c:pt>
                <c:pt idx="969">
                  <c:v>1.8809597284369715</c:v>
                </c:pt>
                <c:pt idx="970">
                  <c:v>1.8736306125597921</c:v>
                </c:pt>
                <c:pt idx="971">
                  <c:v>1.8787995679679081</c:v>
                </c:pt>
                <c:pt idx="972">
                  <c:v>1.8633698503317409</c:v>
                </c:pt>
                <c:pt idx="973">
                  <c:v>1.8511032248109878</c:v>
                </c:pt>
                <c:pt idx="974">
                  <c:v>1.8483258756364778</c:v>
                </c:pt>
                <c:pt idx="975">
                  <c:v>1.8389137478784157</c:v>
                </c:pt>
                <c:pt idx="976">
                  <c:v>1.7772720259219272</c:v>
                </c:pt>
                <c:pt idx="977">
                  <c:v>1.7972535102607639</c:v>
                </c:pt>
                <c:pt idx="978">
                  <c:v>1.8330504551766718</c:v>
                </c:pt>
                <c:pt idx="979">
                  <c:v>1.8391451936429577</c:v>
                </c:pt>
                <c:pt idx="980">
                  <c:v>1.8693874402098458</c:v>
                </c:pt>
                <c:pt idx="981">
                  <c:v>1.875790773028855</c:v>
                </c:pt>
                <c:pt idx="982">
                  <c:v>1.8605925011572302</c:v>
                </c:pt>
                <c:pt idx="983">
                  <c:v>1.8463200123437755</c:v>
                </c:pt>
                <c:pt idx="984">
                  <c:v>1.8493288072828282</c:v>
                </c:pt>
                <c:pt idx="985">
                  <c:v>1.8515661163400725</c:v>
                </c:pt>
                <c:pt idx="986">
                  <c:v>1.8768708532633869</c:v>
                </c:pt>
                <c:pt idx="987">
                  <c:v>1.8581237463354434</c:v>
                </c:pt>
                <c:pt idx="988">
                  <c:v>1.8760222187933975</c:v>
                </c:pt>
                <c:pt idx="989">
                  <c:v>1.8757136244406742</c:v>
                </c:pt>
                <c:pt idx="990">
                  <c:v>1.8505631846937216</c:v>
                </c:pt>
                <c:pt idx="991">
                  <c:v>1.8840456719642045</c:v>
                </c:pt>
                <c:pt idx="992">
                  <c:v>1.9091961117111571</c:v>
                </c:pt>
                <c:pt idx="993">
                  <c:v>1.9468446227434053</c:v>
                </c:pt>
                <c:pt idx="994">
                  <c:v>1.9616571516741259</c:v>
                </c:pt>
                <c:pt idx="995">
                  <c:v>1.9993828112945551</c:v>
                </c:pt>
                <c:pt idx="996">
                  <c:v>2.0292393149205381</c:v>
                </c:pt>
                <c:pt idx="997">
                  <c:v>2.0277734917451022</c:v>
                </c:pt>
                <c:pt idx="998">
                  <c:v>2.0517667026693425</c:v>
                </c:pt>
                <c:pt idx="999">
                  <c:v>2.0432032093812698</c:v>
                </c:pt>
                <c:pt idx="1000">
                  <c:v>2.0509952167875345</c:v>
                </c:pt>
                <c:pt idx="1001">
                  <c:v>2.0609473846628621</c:v>
                </c:pt>
                <c:pt idx="1002">
                  <c:v>2.0566270637247355</c:v>
                </c:pt>
                <c:pt idx="1003">
                  <c:v>2.0693565807745737</c:v>
                </c:pt>
                <c:pt idx="1004">
                  <c:v>2.0621817620737559</c:v>
                </c:pt>
                <c:pt idx="1005">
                  <c:v>2.0584014812528948</c:v>
                </c:pt>
                <c:pt idx="1006">
                  <c:v>2.0671192717173295</c:v>
                </c:pt>
                <c:pt idx="1007">
                  <c:v>2.0863292701743581</c:v>
                </c:pt>
                <c:pt idx="1008">
                  <c:v>2.1362444067273589</c:v>
                </c:pt>
                <c:pt idx="1009">
                  <c:v>2.1277580620274672</c:v>
                </c:pt>
                <c:pt idx="1010">
                  <c:v>2.0910353340533891</c:v>
                </c:pt>
                <c:pt idx="1011">
                  <c:v>2.1215090263848193</c:v>
                </c:pt>
                <c:pt idx="1012">
                  <c:v>2.1250578614411375</c:v>
                </c:pt>
                <c:pt idx="1013">
                  <c:v>2.1317697886128704</c:v>
                </c:pt>
                <c:pt idx="1014">
                  <c:v>2.1338528004937527</c:v>
                </c:pt>
                <c:pt idx="1015">
                  <c:v>2.1597747261225138</c:v>
                </c:pt>
                <c:pt idx="1016">
                  <c:v>2.1543743249498553</c:v>
                </c:pt>
                <c:pt idx="1017">
                  <c:v>2.0583243326647143</c:v>
                </c:pt>
                <c:pt idx="1018">
                  <c:v>2.0385742940904201</c:v>
                </c:pt>
                <c:pt idx="1019">
                  <c:v>2.0162012035179773</c:v>
                </c:pt>
                <c:pt idx="1020">
                  <c:v>1.9858046597747276</c:v>
                </c:pt>
                <c:pt idx="1021">
                  <c:v>1.9965283135318641</c:v>
                </c:pt>
                <c:pt idx="1022">
                  <c:v>1.9985341768245657</c:v>
                </c:pt>
                <c:pt idx="1023">
                  <c:v>2.0417373862058339</c:v>
                </c:pt>
                <c:pt idx="1024">
                  <c:v>2.0106465051689568</c:v>
                </c:pt>
                <c:pt idx="1025">
                  <c:v>1.9306434192254296</c:v>
                </c:pt>
                <c:pt idx="1026">
                  <c:v>1.9405184385125769</c:v>
                </c:pt>
                <c:pt idx="1027">
                  <c:v>1.9020212930103395</c:v>
                </c:pt>
                <c:pt idx="1028">
                  <c:v>1.8691559944453033</c:v>
                </c:pt>
                <c:pt idx="1029">
                  <c:v>1.7915445147353821</c:v>
                </c:pt>
                <c:pt idx="1030">
                  <c:v>1.7677827495756844</c:v>
                </c:pt>
                <c:pt idx="1031">
                  <c:v>1.7582163246412608</c:v>
                </c:pt>
                <c:pt idx="1032">
                  <c:v>1.737309057244254</c:v>
                </c:pt>
                <c:pt idx="1033">
                  <c:v>1.7932417836753602</c:v>
                </c:pt>
                <c:pt idx="1034">
                  <c:v>1.8047369233143049</c:v>
                </c:pt>
                <c:pt idx="1035">
                  <c:v>1.8127603764851119</c:v>
                </c:pt>
                <c:pt idx="1036">
                  <c:v>1.8446998919919784</c:v>
                </c:pt>
                <c:pt idx="1037">
                  <c:v>1.8439284061101697</c:v>
                </c:pt>
                <c:pt idx="1038">
                  <c:v>1.864141336213549</c:v>
                </c:pt>
                <c:pt idx="1039">
                  <c:v>1.9137478784138269</c:v>
                </c:pt>
                <c:pt idx="1040">
                  <c:v>1.9374324949853434</c:v>
                </c:pt>
                <c:pt idx="1041">
                  <c:v>1.936661009103535</c:v>
                </c:pt>
                <c:pt idx="1042">
                  <c:v>1.9142107699429116</c:v>
                </c:pt>
                <c:pt idx="1043">
                  <c:v>1.8735534639716107</c:v>
                </c:pt>
                <c:pt idx="1044">
                  <c:v>1.8924548680759159</c:v>
                </c:pt>
                <c:pt idx="1045">
                  <c:v>1.8798024996142586</c:v>
                </c:pt>
                <c:pt idx="1046">
                  <c:v>1.8964665946613193</c:v>
                </c:pt>
                <c:pt idx="1047">
                  <c:v>1.7643110631075467</c:v>
                </c:pt>
                <c:pt idx="1048">
                  <c:v>1.6222805122666271</c:v>
                </c:pt>
                <c:pt idx="1049">
                  <c:v>1.6543743249498548</c:v>
                </c:pt>
                <c:pt idx="1050">
                  <c:v>1.6731214318777983</c:v>
                </c:pt>
                <c:pt idx="1051">
                  <c:v>1.8079000154297193</c:v>
                </c:pt>
                <c:pt idx="1052">
                  <c:v>1.7521215861749748</c:v>
                </c:pt>
                <c:pt idx="1053">
                  <c:v>1.822249652831355</c:v>
                </c:pt>
                <c:pt idx="1054">
                  <c:v>1.8108316617805913</c:v>
                </c:pt>
                <c:pt idx="1055">
                  <c:v>1.7985650362598382</c:v>
                </c:pt>
                <c:pt idx="1056">
                  <c:v>1.771408733220184</c:v>
                </c:pt>
                <c:pt idx="1057">
                  <c:v>1.7895386514426805</c:v>
                </c:pt>
                <c:pt idx="1058">
                  <c:v>1.7666255207529722</c:v>
                </c:pt>
                <c:pt idx="1059">
                  <c:v>1.8175435889523242</c:v>
                </c:pt>
                <c:pt idx="1060">
                  <c:v>1.8583551920999866</c:v>
                </c:pt>
                <c:pt idx="1061">
                  <c:v>1.8873630612559809</c:v>
                </c:pt>
                <c:pt idx="1062">
                  <c:v>1.8789538651442699</c:v>
                </c:pt>
                <c:pt idx="1063">
                  <c:v>1.8764079617343021</c:v>
                </c:pt>
                <c:pt idx="1064">
                  <c:v>1.8872087640796196</c:v>
                </c:pt>
                <c:pt idx="1065">
                  <c:v>1.8872087640796196</c:v>
                </c:pt>
                <c:pt idx="1066">
                  <c:v>1.9047214935966692</c:v>
                </c:pt>
                <c:pt idx="1067">
                  <c:v>1.9480790001542991</c:v>
                </c:pt>
                <c:pt idx="1068">
                  <c:v>1.9484647430952036</c:v>
                </c:pt>
                <c:pt idx="1069">
                  <c:v>1.9229285604073467</c:v>
                </c:pt>
                <c:pt idx="1070">
                  <c:v>1.9240086406418784</c:v>
                </c:pt>
                <c:pt idx="1071">
                  <c:v>1.9554852646196597</c:v>
                </c:pt>
                <c:pt idx="1072">
                  <c:v>1.9524764696806072</c:v>
                </c:pt>
                <c:pt idx="1073">
                  <c:v>2.0062490356426501</c:v>
                </c:pt>
                <c:pt idx="1074">
                  <c:v>2.0290850177441775</c:v>
                </c:pt>
                <c:pt idx="1075">
                  <c:v>2.0493750964357376</c:v>
                </c:pt>
                <c:pt idx="1076">
                  <c:v>2.0636475852491927</c:v>
                </c:pt>
                <c:pt idx="1077">
                  <c:v>2.0641876253664582</c:v>
                </c:pt>
                <c:pt idx="1078">
                  <c:v>2.0435118037339941</c:v>
                </c:pt>
                <c:pt idx="1079">
                  <c:v>2.049683690788461</c:v>
                </c:pt>
                <c:pt idx="1080">
                  <c:v>2.0138867458725529</c:v>
                </c:pt>
                <c:pt idx="1081">
                  <c:v>2.0138867458725529</c:v>
                </c:pt>
                <c:pt idx="1082">
                  <c:v>2.0113408424625847</c:v>
                </c:pt>
                <c:pt idx="1083">
                  <c:v>2.0466748958494083</c:v>
                </c:pt>
                <c:pt idx="1084">
                  <c:v>2.0327881499768576</c:v>
                </c:pt>
                <c:pt idx="1085">
                  <c:v>2.039577225736771</c:v>
                </c:pt>
                <c:pt idx="1086">
                  <c:v>2.0367227279740803</c:v>
                </c:pt>
                <c:pt idx="1087">
                  <c:v>2.0418145347940158</c:v>
                </c:pt>
                <c:pt idx="1088">
                  <c:v>2.0542354574911301</c:v>
                </c:pt>
                <c:pt idx="1089">
                  <c:v>2.0384199969140591</c:v>
                </c:pt>
                <c:pt idx="1090">
                  <c:v>2.0209072673970088</c:v>
                </c:pt>
                <c:pt idx="1091">
                  <c:v>2.0500694337293655</c:v>
                </c:pt>
                <c:pt idx="1092">
                  <c:v>2.0578614411356302</c:v>
                </c:pt>
                <c:pt idx="1093">
                  <c:v>2.0722110785372663</c:v>
                </c:pt>
                <c:pt idx="1094">
                  <c:v>2.0687393920691282</c:v>
                </c:pt>
                <c:pt idx="1095">
                  <c:v>2.0694337293627556</c:v>
                </c:pt>
                <c:pt idx="1096">
                  <c:v>2.04405184385126</c:v>
                </c:pt>
                <c:pt idx="1097">
                  <c:v>2.0857892300570926</c:v>
                </c:pt>
                <c:pt idx="1098">
                  <c:v>2.0793087486499022</c:v>
                </c:pt>
                <c:pt idx="1099">
                  <c:v>2.1135627218021935</c:v>
                </c:pt>
                <c:pt idx="1100">
                  <c:v>2.1215861749730003</c:v>
                </c:pt>
                <c:pt idx="1101">
                  <c:v>2.1468137633081334</c:v>
                </c:pt>
                <c:pt idx="1102">
                  <c:v>2.1698811911742037</c:v>
                </c:pt>
                <c:pt idx="1103">
                  <c:v>2.1914827958648382</c:v>
                </c:pt>
                <c:pt idx="1104">
                  <c:v>2.2276654837216503</c:v>
                </c:pt>
                <c:pt idx="1105">
                  <c:v>2.2150131152599934</c:v>
                </c:pt>
                <c:pt idx="1106">
                  <c:v>2.2366147199506279</c:v>
                </c:pt>
                <c:pt idx="1107">
                  <c:v>2.2404721493596695</c:v>
                </c:pt>
                <c:pt idx="1108">
                  <c:v>2.2527387748804224</c:v>
                </c:pt>
                <c:pt idx="1109">
                  <c:v>2.283598210152757</c:v>
                </c:pt>
                <c:pt idx="1110">
                  <c:v>2.2525073291158804</c:v>
                </c:pt>
                <c:pt idx="1111">
                  <c:v>2.1816077765776916</c:v>
                </c:pt>
                <c:pt idx="1112">
                  <c:v>2.1845394229285637</c:v>
                </c:pt>
                <c:pt idx="1113">
                  <c:v>2.2233451627835241</c:v>
                </c:pt>
                <c:pt idx="1114">
                  <c:v>2.2130844005554731</c:v>
                </c:pt>
                <c:pt idx="1115">
                  <c:v>2.2272797407807468</c:v>
                </c:pt>
                <c:pt idx="1116">
                  <c:v>2.2106927943218673</c:v>
                </c:pt>
                <c:pt idx="1117">
                  <c:v>2.2050609473846663</c:v>
                </c:pt>
                <c:pt idx="1118">
                  <c:v>2.2365375713624474</c:v>
                </c:pt>
                <c:pt idx="1119">
                  <c:v>2.2471069279432219</c:v>
                </c:pt>
                <c:pt idx="1120">
                  <c:v>2.244792470297797</c:v>
                </c:pt>
                <c:pt idx="1121">
                  <c:v>2.2483413053541152</c:v>
                </c:pt>
                <c:pt idx="1122">
                  <c:v>2.2894615028545009</c:v>
                </c:pt>
                <c:pt idx="1123">
                  <c:v>2.2878413825027035</c:v>
                </c:pt>
                <c:pt idx="1124">
                  <c:v>2.3038111402561365</c:v>
                </c:pt>
                <c:pt idx="1125">
                  <c:v>2.3011880882579878</c:v>
                </c:pt>
                <c:pt idx="1126">
                  <c:v>2.2916216633235642</c:v>
                </c:pt>
                <c:pt idx="1127">
                  <c:v>2.3116031476624008</c:v>
                </c:pt>
                <c:pt idx="1128">
                  <c:v>2.2854497762690973</c:v>
                </c:pt>
                <c:pt idx="1129">
                  <c:v>2.2324486961888628</c:v>
                </c:pt>
                <c:pt idx="1130">
                  <c:v>2.2701743558092917</c:v>
                </c:pt>
                <c:pt idx="1131">
                  <c:v>2.2478784138250298</c:v>
                </c:pt>
                <c:pt idx="1132">
                  <c:v>2.2477241166486683</c:v>
                </c:pt>
                <c:pt idx="1133">
                  <c:v>2.2137015892609191</c:v>
                </c:pt>
                <c:pt idx="1134">
                  <c:v>2.2277426323098313</c:v>
                </c:pt>
                <c:pt idx="1135">
                  <c:v>2.2339145193642982</c:v>
                </c:pt>
                <c:pt idx="1136">
                  <c:v>2.2592964048757933</c:v>
                </c:pt>
                <c:pt idx="1137">
                  <c:v>2.241397932417839</c:v>
                </c:pt>
                <c:pt idx="1138">
                  <c:v>2.2694028699274829</c:v>
                </c:pt>
                <c:pt idx="1139">
                  <c:v>2.2410893380651156</c:v>
                </c:pt>
                <c:pt idx="1140">
                  <c:v>2.2491127912359223</c:v>
                </c:pt>
                <c:pt idx="1141">
                  <c:v>2.2424008640641899</c:v>
                </c:pt>
                <c:pt idx="1142">
                  <c:v>2.2545903409967618</c:v>
                </c:pt>
                <c:pt idx="1143">
                  <c:v>2.2486498997068374</c:v>
                </c:pt>
                <c:pt idx="1144">
                  <c:v>2.2854497762690964</c:v>
                </c:pt>
                <c:pt idx="1145">
                  <c:v>2.2751118654528639</c:v>
                </c:pt>
                <c:pt idx="1146">
                  <c:v>2.3034253973152312</c:v>
                </c:pt>
                <c:pt idx="1147">
                  <c:v>2.3089029470760702</c:v>
                </c:pt>
                <c:pt idx="1148">
                  <c:v>2.3227125443604399</c:v>
                </c:pt>
                <c:pt idx="1149">
                  <c:v>2.3254127449467696</c:v>
                </c:pt>
                <c:pt idx="1150">
                  <c:v>2.3121431877796654</c:v>
                </c:pt>
                <c:pt idx="1151">
                  <c:v>2.3106773646042296</c:v>
                </c:pt>
                <c:pt idx="1152">
                  <c:v>2.3439284061101699</c:v>
                </c:pt>
                <c:pt idx="1153">
                  <c:v>2.2711001388674608</c:v>
                </c:pt>
                <c:pt idx="1154">
                  <c:v>2.2597592964048783</c:v>
                </c:pt>
                <c:pt idx="1155">
                  <c:v>2.2978706989662112</c:v>
                </c:pt>
                <c:pt idx="1156">
                  <c:v>2.3186236691868563</c:v>
                </c:pt>
                <c:pt idx="1157">
                  <c:v>2.3573522604536361</c:v>
                </c:pt>
                <c:pt idx="1158">
                  <c:v>2.3677673198580491</c:v>
                </c:pt>
                <c:pt idx="1159">
                  <c:v>2.3831198889060357</c:v>
                </c:pt>
                <c:pt idx="1160">
                  <c:v>2.3853571979632804</c:v>
                </c:pt>
                <c:pt idx="1161">
                  <c:v>2.4051072365375745</c:v>
                </c:pt>
                <c:pt idx="1162">
                  <c:v>2.4165252275883384</c:v>
                </c:pt>
                <c:pt idx="1163">
                  <c:v>2.4284832587563678</c:v>
                </c:pt>
                <c:pt idx="1164">
                  <c:v>2.410430489122052</c:v>
                </c:pt>
                <c:pt idx="1165">
                  <c:v>2.4127449467674773</c:v>
                </c:pt>
                <c:pt idx="1166">
                  <c:v>2.4179910507637743</c:v>
                </c:pt>
                <c:pt idx="1167">
                  <c:v>2.4182224965283168</c:v>
                </c:pt>
                <c:pt idx="1168">
                  <c:v>2.4383582780435149</c:v>
                </c:pt>
                <c:pt idx="1169">
                  <c:v>2.4355037802808241</c:v>
                </c:pt>
                <c:pt idx="1170">
                  <c:v>2.4334979169881223</c:v>
                </c:pt>
                <c:pt idx="1171">
                  <c:v>2.3970837833667673</c:v>
                </c:pt>
                <c:pt idx="1172">
                  <c:v>2.3727048295016235</c:v>
                </c:pt>
                <c:pt idx="1173">
                  <c:v>2.3918376793704708</c:v>
                </c:pt>
                <c:pt idx="1174">
                  <c:v>2.3852800493750999</c:v>
                </c:pt>
                <c:pt idx="1175">
                  <c:v>2.3737849097361554</c:v>
                </c:pt>
                <c:pt idx="1176">
                  <c:v>2.3455485264619691</c:v>
                </c:pt>
                <c:pt idx="1177">
                  <c:v>2.3571208146890945</c:v>
                </c:pt>
                <c:pt idx="1178">
                  <c:v>2.3213238697731864</c:v>
                </c:pt>
                <c:pt idx="1179">
                  <c:v>2.3759450702052192</c:v>
                </c:pt>
                <c:pt idx="1180">
                  <c:v>2.330504551766706</c:v>
                </c:pt>
                <c:pt idx="1181">
                  <c:v>2.3583551920999879</c:v>
                </c:pt>
                <c:pt idx="1182">
                  <c:v>2.3031939515506901</c:v>
                </c:pt>
                <c:pt idx="1183">
                  <c:v>2.2956333899089678</c:v>
                </c:pt>
                <c:pt idx="1184">
                  <c:v>2.3326647122357698</c:v>
                </c:pt>
                <c:pt idx="1185">
                  <c:v>2.2920074062644686</c:v>
                </c:pt>
                <c:pt idx="1186">
                  <c:v>2.2690171269865798</c:v>
                </c:pt>
                <c:pt idx="1187">
                  <c:v>2.2723345162783559</c:v>
                </c:pt>
                <c:pt idx="1188">
                  <c:v>2.3178521833050496</c:v>
                </c:pt>
                <c:pt idx="1189">
                  <c:v>2.3464743095201399</c:v>
                </c:pt>
                <c:pt idx="1190">
                  <c:v>2.3558092886900215</c:v>
                </c:pt>
                <c:pt idx="1191">
                  <c:v>2.3569665175127339</c:v>
                </c:pt>
                <c:pt idx="1192">
                  <c:v>2.3872859126678025</c:v>
                </c:pt>
                <c:pt idx="1193">
                  <c:v>2.4002468754821833</c:v>
                </c:pt>
                <c:pt idx="1194">
                  <c:v>2.3865915753741751</c:v>
                </c:pt>
                <c:pt idx="1195">
                  <c:v>2.3858200894923667</c:v>
                </c:pt>
                <c:pt idx="1196">
                  <c:v>2.4045671964203099</c:v>
                </c:pt>
                <c:pt idx="1197">
                  <c:v>2.4179910507637756</c:v>
                </c:pt>
                <c:pt idx="1198">
                  <c:v>2.4240857892300616</c:v>
                </c:pt>
                <c:pt idx="1199">
                  <c:v>2.4447616108625256</c:v>
                </c:pt>
                <c:pt idx="1200">
                  <c:v>2.4349637401635595</c:v>
                </c:pt>
                <c:pt idx="1201">
                  <c:v>2.4719179139021805</c:v>
                </c:pt>
                <c:pt idx="1202">
                  <c:v>2.3875945070205264</c:v>
                </c:pt>
                <c:pt idx="1203">
                  <c:v>2.3423082857583752</c:v>
                </c:pt>
                <c:pt idx="1204">
                  <c:v>2.3173121431877841</c:v>
                </c:pt>
                <c:pt idx="1205">
                  <c:v>2.3099058787224238</c:v>
                </c:pt>
                <c:pt idx="1206">
                  <c:v>2.3396852337602265</c:v>
                </c:pt>
                <c:pt idx="1207">
                  <c:v>2.3019595741397976</c:v>
                </c:pt>
                <c:pt idx="1208">
                  <c:v>2.2991822249652873</c:v>
                </c:pt>
                <c:pt idx="1209">
                  <c:v>2.2990279277889258</c:v>
                </c:pt>
                <c:pt idx="1210">
                  <c:v>2.3376022218793442</c:v>
                </c:pt>
                <c:pt idx="1211">
                  <c:v>2.3733991667952519</c:v>
                </c:pt>
                <c:pt idx="1212">
                  <c:v>2.4153679987656269</c:v>
                </c:pt>
                <c:pt idx="1213">
                  <c:v>2.3832741860823994</c:v>
                </c:pt>
                <c:pt idx="1214">
                  <c:v>2.3752507329115922</c:v>
                </c:pt>
                <c:pt idx="1215">
                  <c:v>2.4080388828884476</c:v>
                </c:pt>
                <c:pt idx="1216">
                  <c:v>2.4386668723962401</c:v>
                </c:pt>
                <c:pt idx="1217">
                  <c:v>2.4304891220490714</c:v>
                </c:pt>
                <c:pt idx="1218">
                  <c:v>2.4318006480481453</c:v>
                </c:pt>
                <c:pt idx="1219">
                  <c:v>2.318392223422316</c:v>
                </c:pt>
                <c:pt idx="1220">
                  <c:v>2.392454868075919</c:v>
                </c:pt>
                <c:pt idx="1221">
                  <c:v>2.4485418916833872</c:v>
                </c:pt>
                <c:pt idx="1222">
                  <c:v>2.4573368307360024</c:v>
                </c:pt>
                <c:pt idx="1223">
                  <c:v>2.4689091189631278</c:v>
                </c:pt>
                <c:pt idx="1224">
                  <c:v>2.434423700046294</c:v>
                </c:pt>
                <c:pt idx="1225">
                  <c:v>2.4300262305199865</c:v>
                </c:pt>
                <c:pt idx="1226">
                  <c:v>2.4147508100601804</c:v>
                </c:pt>
                <c:pt idx="1227">
                  <c:v>2.4472303656843124</c:v>
                </c:pt>
                <c:pt idx="1228">
                  <c:v>2.4925937355346446</c:v>
                </c:pt>
                <c:pt idx="1229">
                  <c:v>2.514503934578002</c:v>
                </c:pt>
                <c:pt idx="1230">
                  <c:v>2.5395000771485932</c:v>
                </c:pt>
                <c:pt idx="1231">
                  <c:v>2.529779355037808</c:v>
                </c:pt>
                <c:pt idx="1232">
                  <c:v>2.4976855423545796</c:v>
                </c:pt>
                <c:pt idx="1233">
                  <c:v>2.4951396389446123</c:v>
                </c:pt>
                <c:pt idx="1234">
                  <c:v>2.4858818083629122</c:v>
                </c:pt>
                <c:pt idx="1235">
                  <c:v>2.5110322481098648</c:v>
                </c:pt>
                <c:pt idx="1236">
                  <c:v>2.5770714395926611</c:v>
                </c:pt>
                <c:pt idx="1237">
                  <c:v>2.5814689091189691</c:v>
                </c:pt>
                <c:pt idx="1238">
                  <c:v>2.5226816849251716</c:v>
                </c:pt>
                <c:pt idx="1239">
                  <c:v>2.5442832896158061</c:v>
                </c:pt>
                <c:pt idx="1240">
                  <c:v>2.539654374324956</c:v>
                </c:pt>
                <c:pt idx="1241">
                  <c:v>2.5033945378799629</c:v>
                </c:pt>
                <c:pt idx="1242">
                  <c:v>2.3985496065422058</c:v>
                </c:pt>
                <c:pt idx="1243">
                  <c:v>2.3751735843234125</c:v>
                </c:pt>
                <c:pt idx="1244">
                  <c:v>2.3858972380805485</c:v>
                </c:pt>
                <c:pt idx="1245">
                  <c:v>2.4106619348865972</c:v>
                </c:pt>
                <c:pt idx="1246">
                  <c:v>2.3355963585866433</c:v>
                </c:pt>
                <c:pt idx="1247">
                  <c:v>2.3301959574139848</c:v>
                </c:pt>
                <c:pt idx="1248">
                  <c:v>2.3424625829347372</c:v>
                </c:pt>
                <c:pt idx="1249">
                  <c:v>2.296867767319863</c:v>
                </c:pt>
                <c:pt idx="1250">
                  <c:v>2.3224810985959006</c:v>
                </c:pt>
                <c:pt idx="1251">
                  <c:v>2.3168492516586991</c:v>
                </c:pt>
                <c:pt idx="1252">
                  <c:v>2.3203980867150178</c:v>
                </c:pt>
                <c:pt idx="1253">
                  <c:v>2.3639870390371907</c:v>
                </c:pt>
                <c:pt idx="1254">
                  <c:v>2.3639870390371907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C6-4E64-9EAC-D6BC5F801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1232"/>
        <c:axId val="19760272"/>
      </c:lineChart>
      <c:dateAx>
        <c:axId val="19761232"/>
        <c:scaling>
          <c:orientation val="minMax"/>
        </c:scaling>
        <c:delete val="0"/>
        <c:axPos val="b"/>
        <c:numFmt formatCode="m/d/yyyy\ 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0272"/>
        <c:crosses val="autoZero"/>
        <c:auto val="1"/>
        <c:lblOffset val="100"/>
        <c:baseTimeUnit val="days"/>
        <c:majorUnit val="1"/>
        <c:majorTimeUnit val="years"/>
      </c:dateAx>
      <c:valAx>
        <c:axId val="1976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109994</xdr:colOff>
      <xdr:row>7</xdr:row>
      <xdr:rowOff>1325</xdr:rowOff>
    </xdr:from>
    <xdr:to>
      <xdr:col>25</xdr:col>
      <xdr:colOff>414793</xdr:colOff>
      <xdr:row>22</xdr:row>
      <xdr:rowOff>1324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1220D-B921-2E0A-A362-23FDFE3E2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F80C-E362-4659-87E2-57D522A6DB5F}">
  <dimension ref="A1:AB1256"/>
  <sheetViews>
    <sheetView tabSelected="1" topLeftCell="K1" zoomScale="96" workbookViewId="0">
      <selection activeCell="W26" sqref="W26"/>
    </sheetView>
  </sheetViews>
  <sheetFormatPr defaultRowHeight="14.4" x14ac:dyDescent="0.3"/>
  <cols>
    <col min="1" max="1" width="18.33203125" customWidth="1"/>
    <col min="2" max="2" width="9.88671875" customWidth="1"/>
    <col min="3" max="3" width="10" customWidth="1"/>
    <col min="4" max="4" width="10.21875" customWidth="1"/>
    <col min="20" max="20" width="18.77734375" customWidth="1"/>
    <col min="21" max="21" width="8.88671875" customWidth="1"/>
    <col min="24" max="24" width="9.6640625" bestFit="1" customWidth="1"/>
    <col min="27" max="27" width="23.5546875" customWidth="1"/>
    <col min="29" max="29" width="14.332031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K1" t="s">
        <v>12</v>
      </c>
      <c r="L1" t="s">
        <v>11</v>
      </c>
      <c r="M1" t="s">
        <v>10</v>
      </c>
      <c r="O1" t="s">
        <v>18</v>
      </c>
      <c r="P1" t="s">
        <v>19</v>
      </c>
      <c r="Q1" t="s">
        <v>20</v>
      </c>
      <c r="R1" t="s">
        <v>21</v>
      </c>
    </row>
    <row r="2" spans="1:28" x14ac:dyDescent="0.3">
      <c r="A2" s="2">
        <f ca="1">IFERROR(__xludf.DUMMYFUNCTION("""COMPUTED_VALUE"""),44228.6666666666)</f>
        <v>44228.666666666599</v>
      </c>
      <c r="B2" s="1">
        <f>376.23</f>
        <v>376.23</v>
      </c>
      <c r="C2" s="1">
        <v>131.13999999999999</v>
      </c>
      <c r="D2" s="1">
        <v>239.65</v>
      </c>
      <c r="E2" s="1">
        <v>129.62</v>
      </c>
      <c r="F2" t="s">
        <v>9</v>
      </c>
      <c r="G2" t="s">
        <v>9</v>
      </c>
      <c r="H2" t="s">
        <v>9</v>
      </c>
      <c r="I2" t="s">
        <v>9</v>
      </c>
      <c r="J2">
        <f ca="1">AVERAGE(F3:F1256)</f>
        <v>5.4613060440774849E-4</v>
      </c>
      <c r="K2">
        <f ca="1">AVERAGE(G3:G1256)</f>
        <v>6.9139402825575712E-4</v>
      </c>
      <c r="L2">
        <f ca="1">AVERAGE(H3:H1256)</f>
        <v>6.0706285775801643E-4</v>
      </c>
      <c r="M2">
        <f ca="1">AVERAGE(I3:I1265)</f>
        <v>8.0424920236471455E-4</v>
      </c>
      <c r="O2">
        <f>1</f>
        <v>1</v>
      </c>
      <c r="P2">
        <f>1</f>
        <v>1</v>
      </c>
      <c r="Q2">
        <f>1</f>
        <v>1</v>
      </c>
      <c r="R2">
        <f>1</f>
        <v>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</row>
    <row r="3" spans="1:28" x14ac:dyDescent="0.3">
      <c r="A3" s="2">
        <f ca="1">IFERROR(__xludf.DUMMYFUNCTION("""COMPUTED_VALUE"""),44229.6666666666)</f>
        <v>44229.666666666599</v>
      </c>
      <c r="B3" s="1">
        <f ca="1">IFERROR(__xludf.DUMMYFUNCTION("""COMPUTED_VALUE"""),381.55)</f>
        <v>381.55</v>
      </c>
      <c r="C3" s="1">
        <f ca="1">IFERROR(__xludf.DUMMYFUNCTION("""COMPUTED_VALUE"""),134.99)</f>
        <v>134.99</v>
      </c>
      <c r="D3" s="1">
        <f ca="1">IFERROR(__xludf.DUMMYFUNCTION("""COMPUTED_VALUE"""),239.51)</f>
        <v>239.51</v>
      </c>
      <c r="E3" s="1">
        <f ca="1">IFERROR(__xludf.DUMMYFUNCTION("""COMPUTED_VALUE"""),133.61)</f>
        <v>133.61000000000001</v>
      </c>
      <c r="F3">
        <f ca="1">(B3-B2)/B2</f>
        <v>1.4140286526858552E-2</v>
      </c>
      <c r="G3">
        <f ca="1">(C3-C2)/C2</f>
        <v>2.9357938081439858E-2</v>
      </c>
      <c r="H3">
        <f ca="1">(D3-D2)/D2</f>
        <v>-5.8418527018574908E-4</v>
      </c>
      <c r="I3">
        <f ca="1">(E3-E2)/E2</f>
        <v>3.078228668415375E-2</v>
      </c>
      <c r="O3">
        <f ca="1">O2*(1+F3)</f>
        <v>1.0141402865268585</v>
      </c>
      <c r="P3">
        <f ca="1">P2*(1+G3)</f>
        <v>1.0293579380814399</v>
      </c>
      <c r="Q3">
        <f ca="1">Q2*(1+H3)</f>
        <v>0.99941581472981422</v>
      </c>
      <c r="R3">
        <f ca="1">R2*(1+I3)</f>
        <v>1.0307822866841538</v>
      </c>
      <c r="T3" s="4" t="s">
        <v>27</v>
      </c>
      <c r="U3" s="6">
        <f ca="1">O1256 - 1</f>
        <v>0.8447226430640784</v>
      </c>
      <c r="V3" s="6">
        <f ca="1">P1256 - 1</f>
        <v>0.96949824614915481</v>
      </c>
      <c r="W3" s="6">
        <f ca="1">Q1256 - 1</f>
        <v>0.80888796161067966</v>
      </c>
      <c r="X3" s="6">
        <f ca="1">R1255 - 1</f>
        <v>1.3639870390371907</v>
      </c>
      <c r="Z3" s="8"/>
    </row>
    <row r="4" spans="1:28" x14ac:dyDescent="0.3">
      <c r="A4" s="2">
        <f ca="1">IFERROR(__xludf.DUMMYFUNCTION("""COMPUTED_VALUE"""),44230.6666666666)</f>
        <v>44230.666666666599</v>
      </c>
      <c r="B4" s="1">
        <f ca="1">IFERROR(__xludf.DUMMYFUNCTION("""COMPUTED_VALUE"""),381.85)</f>
        <v>381.85</v>
      </c>
      <c r="C4" s="1">
        <f ca="1">IFERROR(__xludf.DUMMYFUNCTION("""COMPUTED_VALUE"""),133.94)</f>
        <v>133.94</v>
      </c>
      <c r="D4" s="1">
        <f ca="1">IFERROR(__xludf.DUMMYFUNCTION("""COMPUTED_VALUE"""),243)</f>
        <v>243</v>
      </c>
      <c r="E4" s="1">
        <f ca="1">IFERROR(__xludf.DUMMYFUNCTION("""COMPUTED_VALUE"""),135.14)</f>
        <v>135.13999999999999</v>
      </c>
      <c r="F4">
        <f t="shared" ref="F4:F67" ca="1" si="0">(B4-B3)/B3</f>
        <v>7.8626654435856732E-4</v>
      </c>
      <c r="G4">
        <f t="shared" ref="G4:G67" ca="1" si="1">(C4-C3)/C3</f>
        <v>-7.7783539521446869E-3</v>
      </c>
      <c r="H4">
        <f t="shared" ref="H4:H67" ca="1" si="2">(D4-D3)/D3</f>
        <v>1.4571416642311425E-2</v>
      </c>
      <c r="I4">
        <f t="shared" ref="I4:I67" ca="1" si="3">(E4-E3)/E3</f>
        <v>1.1451238679739335E-2</v>
      </c>
      <c r="J4" t="s">
        <v>14</v>
      </c>
      <c r="K4" t="s">
        <v>15</v>
      </c>
      <c r="L4" t="s">
        <v>16</v>
      </c>
      <c r="M4" t="s">
        <v>17</v>
      </c>
      <c r="O4">
        <f t="shared" ref="O4:O67" ca="1" si="4">O3*(1+F4)</f>
        <v>1.0149376711054408</v>
      </c>
      <c r="P4">
        <f t="shared" ref="P4:P67" ca="1" si="5">P3*(1+G4)</f>
        <v>1.0213512276955927</v>
      </c>
      <c r="Q4">
        <f t="shared" ref="Q4:Q67" ca="1" si="6">Q3*(1+H4)</f>
        <v>1.0139787189651575</v>
      </c>
      <c r="R4">
        <f t="shared" ref="R4:R67" ca="1" si="7">R3*(1+I4)</f>
        <v>1.0425860206758217</v>
      </c>
      <c r="S4" s="3"/>
      <c r="T4" s="4" t="s">
        <v>28</v>
      </c>
      <c r="U4" s="5">
        <f ca="1">AVERAGE(F3:F1256)</f>
        <v>5.4613060440774849E-4</v>
      </c>
      <c r="V4" s="5">
        <f t="shared" ref="V4:X4" ca="1" si="8">AVERAGE(G3:G1256)</f>
        <v>6.9139402825575712E-4</v>
      </c>
      <c r="W4" s="5">
        <f t="shared" ca="1" si="8"/>
        <v>6.0706285775801643E-4</v>
      </c>
      <c r="X4" s="5">
        <f t="shared" ca="1" si="8"/>
        <v>8.0424920236471455E-4</v>
      </c>
      <c r="Z4" s="8"/>
    </row>
    <row r="5" spans="1:28" x14ac:dyDescent="0.3">
      <c r="A5" s="2">
        <f ca="1">IFERROR(__xludf.DUMMYFUNCTION("""COMPUTED_VALUE"""),44231.6666666666)</f>
        <v>44231.666666666599</v>
      </c>
      <c r="B5" s="1">
        <f ca="1">IFERROR(__xludf.DUMMYFUNCTION("""COMPUTED_VALUE"""),386.19)</f>
        <v>386.19</v>
      </c>
      <c r="C5" s="1">
        <f ca="1">IFERROR(__xludf.DUMMYFUNCTION("""COMPUTED_VALUE"""),137.39)</f>
        <v>137.38999999999999</v>
      </c>
      <c r="D5" s="1">
        <f ca="1">IFERROR(__xludf.DUMMYFUNCTION("""COMPUTED_VALUE"""),242.01)</f>
        <v>242.01</v>
      </c>
      <c r="E5" s="1">
        <f ca="1">IFERROR(__xludf.DUMMYFUNCTION("""COMPUTED_VALUE"""),138.25)</f>
        <v>138.25</v>
      </c>
      <c r="F5">
        <f t="shared" ca="1" si="0"/>
        <v>1.1365719523372985E-2</v>
      </c>
      <c r="G5">
        <f t="shared" ca="1" si="1"/>
        <v>2.5757802000895839E-2</v>
      </c>
      <c r="H5">
        <f t="shared" ca="1" si="2"/>
        <v>-4.0740740740741119E-3</v>
      </c>
      <c r="I5">
        <f t="shared" ca="1" si="3"/>
        <v>2.3013171525825174E-2</v>
      </c>
      <c r="J5">
        <f ca="1">STDEV(F3:F1256)</f>
        <v>1.0758922968317781E-2</v>
      </c>
      <c r="K5">
        <f ca="1">STDEV(G3:G1256)</f>
        <v>1.741329408847711E-2</v>
      </c>
      <c r="L5">
        <f ca="1">STDEV(H3:H1256)</f>
        <v>1.6395754548902193E-2</v>
      </c>
      <c r="M5">
        <f ca="1">STDEV(I3:I1255)</f>
        <v>1.5333417657833632E-2</v>
      </c>
      <c r="O5">
        <f t="shared" ca="1" si="4"/>
        <v>1.0264731680089305</v>
      </c>
      <c r="P5">
        <f t="shared" ca="1" si="5"/>
        <v>1.0476589903919478</v>
      </c>
      <c r="Q5">
        <f t="shared" ca="1" si="6"/>
        <v>1.0098476945545587</v>
      </c>
      <c r="R5">
        <f t="shared" ca="1" si="7"/>
        <v>1.066579231600062</v>
      </c>
      <c r="T5" s="4" t="s">
        <v>29</v>
      </c>
      <c r="U5" s="5">
        <f t="shared" ref="U5:U6" ca="1" si="9">AVERAGE(F4:F1257)</f>
        <v>5.3528131795726899E-4</v>
      </c>
      <c r="V5" s="5">
        <f t="shared" ref="V5:V6" ca="1" si="10">AVERAGE(G4:G1257)</f>
        <v>6.6851570099862683E-4</v>
      </c>
      <c r="W5" s="5">
        <f t="shared" ref="W5:W6" ca="1" si="11">AVERAGE(H4:H1257)</f>
        <v>6.0801357454009434E-4</v>
      </c>
      <c r="X5" s="5">
        <f t="shared" ref="X5:X6" ca="1" si="12">AVERAGE(I4:I1257)</f>
        <v>7.8030508297031391E-4</v>
      </c>
      <c r="Z5" s="8"/>
    </row>
    <row r="6" spans="1:28" x14ac:dyDescent="0.3">
      <c r="A6" s="2">
        <f ca="1">IFERROR(__xludf.DUMMYFUNCTION("""COMPUTED_VALUE"""),44232.6666666666)</f>
        <v>44232.666666666599</v>
      </c>
      <c r="B6" s="1">
        <f ca="1">IFERROR(__xludf.DUMMYFUNCTION("""COMPUTED_VALUE"""),387.71)</f>
        <v>387.71</v>
      </c>
      <c r="C6" s="1">
        <f ca="1">IFERROR(__xludf.DUMMYFUNCTION("""COMPUTED_VALUE"""),136.76)</f>
        <v>136.76</v>
      </c>
      <c r="D6" s="1">
        <f ca="1">IFERROR(__xludf.DUMMYFUNCTION("""COMPUTED_VALUE"""),242.2)</f>
        <v>242.2</v>
      </c>
      <c r="E6" s="1">
        <f ca="1">IFERROR(__xludf.DUMMYFUNCTION("""COMPUTED_VALUE"""),137.98)</f>
        <v>137.97999999999999</v>
      </c>
      <c r="F6">
        <f t="shared" ca="1" si="0"/>
        <v>3.935886480747771E-3</v>
      </c>
      <c r="G6">
        <f t="shared" ca="1" si="1"/>
        <v>-4.5854865710750091E-3</v>
      </c>
      <c r="H6">
        <f t="shared" ca="1" si="2"/>
        <v>7.8509152514357979E-4</v>
      </c>
      <c r="I6">
        <f t="shared" ca="1" si="3"/>
        <v>-1.9529837251356979E-3</v>
      </c>
      <c r="O6">
        <f t="shared" ca="1" si="4"/>
        <v>1.030513249873747</v>
      </c>
      <c r="P6">
        <f t="shared" ca="1" si="5"/>
        <v>1.0428549641604394</v>
      </c>
      <c r="Q6">
        <f t="shared" ca="1" si="6"/>
        <v>1.0106405174212392</v>
      </c>
      <c r="R6">
        <f t="shared" ca="1" si="7"/>
        <v>1.0644962197191792</v>
      </c>
      <c r="T6" s="4" t="s">
        <v>30</v>
      </c>
      <c r="U6" s="5">
        <f t="shared" ca="1" si="9"/>
        <v>5.3508085052404112E-4</v>
      </c>
      <c r="V6" s="5">
        <f t="shared" ca="1" si="10"/>
        <v>6.7526240199954014E-4</v>
      </c>
      <c r="W6" s="5">
        <f t="shared" ca="1" si="11"/>
        <v>5.9686069669043684E-4</v>
      </c>
      <c r="X6" s="5">
        <f t="shared" ca="1" si="12"/>
        <v>7.7177516003124991E-4</v>
      </c>
      <c r="Z6" s="8"/>
    </row>
    <row r="7" spans="1:28" ht="18" x14ac:dyDescent="0.3">
      <c r="A7" s="2">
        <f ca="1">IFERROR(__xludf.DUMMYFUNCTION("""COMPUTED_VALUE"""),44235.6666666666)</f>
        <v>44235.666666666599</v>
      </c>
      <c r="B7" s="1">
        <f ca="1">IFERROR(__xludf.DUMMYFUNCTION("""COMPUTED_VALUE"""),390.51)</f>
        <v>390.51</v>
      </c>
      <c r="C7" s="1">
        <f ca="1">IFERROR(__xludf.DUMMYFUNCTION("""COMPUTED_VALUE"""),136.91)</f>
        <v>136.91</v>
      </c>
      <c r="D7" s="1">
        <f ca="1">IFERROR(__xludf.DUMMYFUNCTION("""COMPUTED_VALUE"""),242.47)</f>
        <v>242.47</v>
      </c>
      <c r="E7" s="1">
        <f ca="1">IFERROR(__xludf.DUMMYFUNCTION("""COMPUTED_VALUE"""),140.14)</f>
        <v>140.13999999999999</v>
      </c>
      <c r="F7">
        <f t="shared" ca="1" si="0"/>
        <v>7.2218926517242567E-3</v>
      </c>
      <c r="G7">
        <f t="shared" ca="1" si="1"/>
        <v>1.0968119333138761E-3</v>
      </c>
      <c r="H7">
        <f t="shared" ca="1" si="2"/>
        <v>1.1147811725846831E-3</v>
      </c>
      <c r="I7">
        <f t="shared" ca="1" si="3"/>
        <v>1.5654442672851113E-2</v>
      </c>
      <c r="O7">
        <f t="shared" ca="1" si="4"/>
        <v>1.0379555059405148</v>
      </c>
      <c r="P7">
        <f t="shared" ca="1" si="5"/>
        <v>1.0439987799298462</v>
      </c>
      <c r="Q7">
        <f t="shared" ca="1" si="6"/>
        <v>1.0117671604423115</v>
      </c>
      <c r="R7">
        <f t="shared" ca="1" si="7"/>
        <v>1.0811603147662399</v>
      </c>
      <c r="Z7" s="8"/>
      <c r="AA7" s="10"/>
      <c r="AB7" s="8"/>
    </row>
    <row r="8" spans="1:28" x14ac:dyDescent="0.3">
      <c r="A8" s="2">
        <f ca="1">IFERROR(__xludf.DUMMYFUNCTION("""COMPUTED_VALUE"""),44236.6666666666)</f>
        <v>44236.666666666599</v>
      </c>
      <c r="B8" s="1">
        <f ca="1">IFERROR(__xludf.DUMMYFUNCTION("""COMPUTED_VALUE"""),390.25)</f>
        <v>390.25</v>
      </c>
      <c r="C8" s="1">
        <f ca="1">IFERROR(__xludf.DUMMYFUNCTION("""COMPUTED_VALUE"""),136.01)</f>
        <v>136.01</v>
      </c>
      <c r="D8" s="1">
        <f ca="1">IFERROR(__xludf.DUMMYFUNCTION("""COMPUTED_VALUE"""),243.77)</f>
        <v>243.77</v>
      </c>
      <c r="E8" s="1">
        <f ca="1">IFERROR(__xludf.DUMMYFUNCTION("""COMPUTED_VALUE"""),139.58)</f>
        <v>139.58000000000001</v>
      </c>
      <c r="F8">
        <f t="shared" ca="1" si="0"/>
        <v>-6.657960103454224E-4</v>
      </c>
      <c r="G8">
        <f t="shared" ca="1" si="1"/>
        <v>-6.5736615294719573E-3</v>
      </c>
      <c r="H8">
        <f t="shared" ca="1" si="2"/>
        <v>5.3614880191364348E-3</v>
      </c>
      <c r="I8">
        <f t="shared" ca="1" si="3"/>
        <v>-3.9960039960038095E-3</v>
      </c>
      <c r="O8">
        <f t="shared" ca="1" si="4"/>
        <v>1.0372644393057435</v>
      </c>
      <c r="P8">
        <f t="shared" ca="1" si="5"/>
        <v>1.0371358853134058</v>
      </c>
      <c r="Q8">
        <f t="shared" ca="1" si="6"/>
        <v>1.0171917379511786</v>
      </c>
      <c r="R8">
        <f t="shared" ca="1" si="7"/>
        <v>1.0768399938281132</v>
      </c>
      <c r="AA8" s="9"/>
    </row>
    <row r="9" spans="1:28" x14ac:dyDescent="0.3">
      <c r="A9" s="2">
        <f ca="1">IFERROR(__xludf.DUMMYFUNCTION("""COMPUTED_VALUE"""),44237.6666666666)</f>
        <v>44237.666666666599</v>
      </c>
      <c r="B9" s="1">
        <f ca="1">IFERROR(__xludf.DUMMYFUNCTION("""COMPUTED_VALUE"""),390.08)</f>
        <v>390.08</v>
      </c>
      <c r="C9" s="1">
        <f ca="1">IFERROR(__xludf.DUMMYFUNCTION("""COMPUTED_VALUE"""),135.39)</f>
        <v>135.38999999999999</v>
      </c>
      <c r="D9" s="1">
        <f ca="1">IFERROR(__xludf.DUMMYFUNCTION("""COMPUTED_VALUE"""),242.82)</f>
        <v>242.82</v>
      </c>
      <c r="E9" s="1">
        <f ca="1">IFERROR(__xludf.DUMMYFUNCTION("""COMPUTED_VALUE"""),139.66)</f>
        <v>139.66</v>
      </c>
      <c r="F9">
        <f t="shared" ca="1" si="0"/>
        <v>-4.356181934657679E-4</v>
      </c>
      <c r="G9">
        <f t="shared" ca="1" si="1"/>
        <v>-4.558488346445148E-3</v>
      </c>
      <c r="H9">
        <f t="shared" ca="1" si="2"/>
        <v>-3.8971161340608648E-3</v>
      </c>
      <c r="I9">
        <f t="shared" ca="1" si="3"/>
        <v>5.7314801547488233E-4</v>
      </c>
      <c r="O9">
        <f t="shared" ca="1" si="4"/>
        <v>1.0368125880445469</v>
      </c>
      <c r="P9">
        <f t="shared" ca="1" si="5"/>
        <v>1.0324081134665246</v>
      </c>
      <c r="Q9">
        <f t="shared" ca="1" si="6"/>
        <v>1.0132276236177755</v>
      </c>
      <c r="R9">
        <f t="shared" ca="1" si="7"/>
        <v>1.0774571825335599</v>
      </c>
      <c r="AA9" s="9"/>
    </row>
    <row r="10" spans="1:28" x14ac:dyDescent="0.3">
      <c r="A10" s="2">
        <f ca="1">IFERROR(__xludf.DUMMYFUNCTION("""COMPUTED_VALUE"""),44238.6666666666)</f>
        <v>44238.666666666599</v>
      </c>
      <c r="B10" s="1">
        <f ca="1">IFERROR(__xludf.DUMMYFUNCTION("""COMPUTED_VALUE"""),390.71)</f>
        <v>390.71</v>
      </c>
      <c r="C10" s="1">
        <f ca="1">IFERROR(__xludf.DUMMYFUNCTION("""COMPUTED_VALUE"""),135.13)</f>
        <v>135.13</v>
      </c>
      <c r="D10" s="1">
        <f ca="1">IFERROR(__xludf.DUMMYFUNCTION("""COMPUTED_VALUE"""),244.49)</f>
        <v>244.49</v>
      </c>
      <c r="E10" s="1">
        <f ca="1">IFERROR(__xludf.DUMMYFUNCTION("""COMPUTED_VALUE"""),139.27)</f>
        <v>139.27000000000001</v>
      </c>
      <c r="F10">
        <f t="shared" ca="1" si="0"/>
        <v>1.6150533223953944E-3</v>
      </c>
      <c r="G10">
        <f t="shared" ca="1" si="1"/>
        <v>-1.9203781667773907E-3</v>
      </c>
      <c r="H10">
        <f t="shared" ca="1" si="2"/>
        <v>6.8775224446092414E-3</v>
      </c>
      <c r="I10">
        <f t="shared" ca="1" si="3"/>
        <v>-2.7924960618644305E-3</v>
      </c>
      <c r="O10">
        <f t="shared" ca="1" si="4"/>
        <v>1.0384870956595695</v>
      </c>
      <c r="P10">
        <f t="shared" ca="1" si="5"/>
        <v>1.0304254994662196</v>
      </c>
      <c r="Q10">
        <f t="shared" ca="1" si="6"/>
        <v>1.0201961193407048</v>
      </c>
      <c r="R10">
        <f t="shared" ca="1" si="7"/>
        <v>1.0744483875945074</v>
      </c>
      <c r="AA10" s="9"/>
    </row>
    <row r="11" spans="1:28" x14ac:dyDescent="0.3">
      <c r="A11" s="2">
        <f ca="1">IFERROR(__xludf.DUMMYFUNCTION("""COMPUTED_VALUE"""),44239.6666666666)</f>
        <v>44239.666666666599</v>
      </c>
      <c r="B11" s="1">
        <f ca="1">IFERROR(__xludf.DUMMYFUNCTION("""COMPUTED_VALUE"""),392.64)</f>
        <v>392.64</v>
      </c>
      <c r="C11" s="1">
        <f ca="1">IFERROR(__xludf.DUMMYFUNCTION("""COMPUTED_VALUE"""),135.37)</f>
        <v>135.37</v>
      </c>
      <c r="D11" s="1">
        <f ca="1">IFERROR(__xludf.DUMMYFUNCTION("""COMPUTED_VALUE"""),244.99)</f>
        <v>244.99</v>
      </c>
      <c r="E11" s="1">
        <f ca="1">IFERROR(__xludf.DUMMYFUNCTION("""COMPUTED_VALUE"""),141.25)</f>
        <v>141.25</v>
      </c>
      <c r="F11">
        <f t="shared" ca="1" si="0"/>
        <v>4.9397251158148168E-3</v>
      </c>
      <c r="G11">
        <f t="shared" ca="1" si="1"/>
        <v>1.7760674905647087E-3</v>
      </c>
      <c r="H11">
        <f t="shared" ca="1" si="2"/>
        <v>2.0450734181357111E-3</v>
      </c>
      <c r="I11">
        <f t="shared" ca="1" si="3"/>
        <v>1.4216988583327275E-2</v>
      </c>
      <c r="O11">
        <f t="shared" ca="1" si="4"/>
        <v>1.0436169364484487</v>
      </c>
      <c r="P11">
        <f t="shared" ca="1" si="5"/>
        <v>1.0322556046972704</v>
      </c>
      <c r="Q11">
        <f t="shared" ca="1" si="6"/>
        <v>1.0222824953056535</v>
      </c>
      <c r="R11">
        <f t="shared" ca="1" si="7"/>
        <v>1.0897238080543128</v>
      </c>
      <c r="AA11" s="9"/>
    </row>
    <row r="12" spans="1:28" x14ac:dyDescent="0.3">
      <c r="A12" s="2">
        <f ca="1">IFERROR(__xludf.DUMMYFUNCTION("""COMPUTED_VALUE"""),44243.6666666666)</f>
        <v>44243.666666666599</v>
      </c>
      <c r="B12" s="1">
        <f ca="1">IFERROR(__xludf.DUMMYFUNCTION("""COMPUTED_VALUE"""),392.3)</f>
        <v>392.3</v>
      </c>
      <c r="C12" s="1">
        <f ca="1">IFERROR(__xludf.DUMMYFUNCTION("""COMPUTED_VALUE"""),133.19)</f>
        <v>133.19</v>
      </c>
      <c r="D12" s="1">
        <f ca="1">IFERROR(__xludf.DUMMYFUNCTION("""COMPUTED_VALUE"""),243.7)</f>
        <v>243.7</v>
      </c>
      <c r="E12" s="1">
        <f ca="1">IFERROR(__xludf.DUMMYFUNCTION("""COMPUTED_VALUE"""),144.65)</f>
        <v>144.65</v>
      </c>
      <c r="F12">
        <f t="shared" ca="1" si="0"/>
        <v>-8.6593317033408466E-4</v>
      </c>
      <c r="G12">
        <f t="shared" ca="1" si="1"/>
        <v>-1.6104011228484944E-2</v>
      </c>
      <c r="H12">
        <f t="shared" ca="1" si="2"/>
        <v>-5.265521041675254E-3</v>
      </c>
      <c r="I12">
        <f t="shared" ca="1" si="3"/>
        <v>2.407079646017703E-2</v>
      </c>
      <c r="O12">
        <f t="shared" ca="1" si="4"/>
        <v>1.0427132339260554</v>
      </c>
      <c r="P12">
        <f t="shared" ca="1" si="5"/>
        <v>1.0156321488485591</v>
      </c>
      <c r="Q12">
        <f t="shared" ca="1" si="6"/>
        <v>1.0168996453160855</v>
      </c>
      <c r="R12">
        <f t="shared" ca="1" si="7"/>
        <v>1.1159543280357971</v>
      </c>
      <c r="AA12" s="9"/>
    </row>
    <row r="13" spans="1:28" x14ac:dyDescent="0.3">
      <c r="A13" s="2">
        <f ca="1">IFERROR(__xludf.DUMMYFUNCTION("""COMPUTED_VALUE"""),44244.6666666666)</f>
        <v>44244.666666666599</v>
      </c>
      <c r="B13" s="1">
        <f ca="1">IFERROR(__xludf.DUMMYFUNCTION("""COMPUTED_VALUE"""),392.39)</f>
        <v>392.39</v>
      </c>
      <c r="C13" s="1">
        <f ca="1">IFERROR(__xludf.DUMMYFUNCTION("""COMPUTED_VALUE"""),130.84)</f>
        <v>130.84</v>
      </c>
      <c r="D13" s="1">
        <f ca="1">IFERROR(__xludf.DUMMYFUNCTION("""COMPUTED_VALUE"""),244.2)</f>
        <v>244.2</v>
      </c>
      <c r="E13" s="1">
        <f ca="1">IFERROR(__xludf.DUMMYFUNCTION("""COMPUTED_VALUE"""),145.1)</f>
        <v>145.1</v>
      </c>
      <c r="F13">
        <f t="shared" ca="1" si="0"/>
        <v>2.2941626306391787E-4</v>
      </c>
      <c r="G13">
        <f t="shared" ca="1" si="1"/>
        <v>-1.7643967264809629E-2</v>
      </c>
      <c r="H13">
        <f t="shared" ca="1" si="2"/>
        <v>2.051702913418137E-3</v>
      </c>
      <c r="I13">
        <f t="shared" ca="1" si="3"/>
        <v>3.1109574835809792E-3</v>
      </c>
      <c r="O13">
        <f t="shared" ca="1" si="4"/>
        <v>1.0429524492996298</v>
      </c>
      <c r="P13">
        <f t="shared" ca="1" si="5"/>
        <v>0.99771236846118683</v>
      </c>
      <c r="Q13">
        <f t="shared" ca="1" si="6"/>
        <v>1.0189860212810344</v>
      </c>
      <c r="R13">
        <f t="shared" ca="1" si="7"/>
        <v>1.1194260145039348</v>
      </c>
      <c r="AA13" s="9"/>
    </row>
    <row r="14" spans="1:28" x14ac:dyDescent="0.3">
      <c r="A14" s="2">
        <f ca="1">IFERROR(__xludf.DUMMYFUNCTION("""COMPUTED_VALUE"""),44245.6666666666)</f>
        <v>44245.666666666599</v>
      </c>
      <c r="B14" s="1">
        <f ca="1">IFERROR(__xludf.DUMMYFUNCTION("""COMPUTED_VALUE"""),390.72)</f>
        <v>390.72</v>
      </c>
      <c r="C14" s="1">
        <f ca="1">IFERROR(__xludf.DUMMYFUNCTION("""COMPUTED_VALUE"""),129.71)</f>
        <v>129.71</v>
      </c>
      <c r="D14" s="1">
        <f ca="1">IFERROR(__xludf.DUMMYFUNCTION("""COMPUTED_VALUE"""),243.79)</f>
        <v>243.79</v>
      </c>
      <c r="E14" s="1">
        <f ca="1">IFERROR(__xludf.DUMMYFUNCTION("""COMPUTED_VALUE"""),145.59)</f>
        <v>145.59</v>
      </c>
      <c r="F14">
        <f t="shared" ca="1" si="0"/>
        <v>-4.2559698259383751E-3</v>
      </c>
      <c r="G14">
        <f t="shared" ca="1" si="1"/>
        <v>-8.6365025985936667E-3</v>
      </c>
      <c r="H14">
        <f t="shared" ca="1" si="2"/>
        <v>-1.678951678951665E-3</v>
      </c>
      <c r="I14">
        <f t="shared" ca="1" si="3"/>
        <v>3.3769813921434122E-3</v>
      </c>
      <c r="O14">
        <f t="shared" ca="1" si="4"/>
        <v>1.0385136751455222</v>
      </c>
      <c r="P14">
        <f t="shared" ca="1" si="5"/>
        <v>0.98909562299832265</v>
      </c>
      <c r="Q14">
        <f t="shared" ca="1" si="6"/>
        <v>1.0172751929897763</v>
      </c>
      <c r="R14">
        <f t="shared" ca="1" si="7"/>
        <v>1.1232062953247957</v>
      </c>
    </row>
    <row r="15" spans="1:28" x14ac:dyDescent="0.3">
      <c r="A15" s="2">
        <f ca="1">IFERROR(__xludf.DUMMYFUNCTION("""COMPUTED_VALUE"""),44246.6666666666)</f>
        <v>44246.666666666599</v>
      </c>
      <c r="B15" s="1">
        <f ca="1">IFERROR(__xludf.DUMMYFUNCTION("""COMPUTED_VALUE"""),390.03)</f>
        <v>390.03</v>
      </c>
      <c r="C15" s="1">
        <f ca="1">IFERROR(__xludf.DUMMYFUNCTION("""COMPUTED_VALUE"""),129.87)</f>
        <v>129.87</v>
      </c>
      <c r="D15" s="1">
        <f ca="1">IFERROR(__xludf.DUMMYFUNCTION("""COMPUTED_VALUE"""),240.97)</f>
        <v>240.97</v>
      </c>
      <c r="E15" s="1">
        <f ca="1">IFERROR(__xludf.DUMMYFUNCTION("""COMPUTED_VALUE"""),148.02)</f>
        <v>148.02000000000001</v>
      </c>
      <c r="F15">
        <f t="shared" ca="1" si="0"/>
        <v>-1.7659705159706555E-3</v>
      </c>
      <c r="G15">
        <f t="shared" ca="1" si="1"/>
        <v>1.2335209313082767E-3</v>
      </c>
      <c r="H15">
        <f t="shared" ca="1" si="2"/>
        <v>-1.1567332540301052E-2</v>
      </c>
      <c r="I15">
        <f t="shared" ca="1" si="3"/>
        <v>1.6690706779311813E-2</v>
      </c>
      <c r="O15">
        <f t="shared" ca="1" si="4"/>
        <v>1.0366796906147828</v>
      </c>
      <c r="P15">
        <f t="shared" ca="1" si="5"/>
        <v>0.99031569315235657</v>
      </c>
      <c r="Q15">
        <f t="shared" ca="1" si="6"/>
        <v>1.0055080325474646</v>
      </c>
      <c r="R15">
        <f t="shared" ca="1" si="7"/>
        <v>1.1419534022527389</v>
      </c>
    </row>
    <row r="16" spans="1:28" x14ac:dyDescent="0.3">
      <c r="A16" s="2">
        <f ca="1">IFERROR(__xludf.DUMMYFUNCTION("""COMPUTED_VALUE"""),44249.6666666666)</f>
        <v>44249.666666666599</v>
      </c>
      <c r="B16" s="1">
        <f ca="1">IFERROR(__xludf.DUMMYFUNCTION("""COMPUTED_VALUE"""),387.03)</f>
        <v>387.03</v>
      </c>
      <c r="C16" s="1">
        <f ca="1">IFERROR(__xludf.DUMMYFUNCTION("""COMPUTED_VALUE"""),126)</f>
        <v>126</v>
      </c>
      <c r="D16" s="1">
        <f ca="1">IFERROR(__xludf.DUMMYFUNCTION("""COMPUTED_VALUE"""),234.51)</f>
        <v>234.51</v>
      </c>
      <c r="E16" s="1">
        <f ca="1">IFERROR(__xludf.DUMMYFUNCTION("""COMPUTED_VALUE"""),149.41)</f>
        <v>149.41</v>
      </c>
      <c r="F16">
        <f t="shared" ca="1" si="0"/>
        <v>-7.6917160218444736E-3</v>
      </c>
      <c r="G16">
        <f t="shared" ca="1" si="1"/>
        <v>-2.9799029799029833E-2</v>
      </c>
      <c r="H16">
        <f t="shared" ca="1" si="2"/>
        <v>-2.680831638793214E-2</v>
      </c>
      <c r="I16">
        <f t="shared" ca="1" si="3"/>
        <v>9.3906228887987182E-3</v>
      </c>
      <c r="O16">
        <f t="shared" ca="1" si="4"/>
        <v>1.0287058448289603</v>
      </c>
      <c r="P16">
        <f t="shared" ca="1" si="5"/>
        <v>0.96080524630166264</v>
      </c>
      <c r="Q16">
        <f t="shared" ca="1" si="6"/>
        <v>0.97855205508032495</v>
      </c>
      <c r="R16">
        <f t="shared" ca="1" si="7"/>
        <v>1.1526770560098751</v>
      </c>
    </row>
    <row r="17" spans="1:21" x14ac:dyDescent="0.3">
      <c r="A17" s="2">
        <f ca="1">IFERROR(__xludf.DUMMYFUNCTION("""COMPUTED_VALUE"""),44250.6666666666)</f>
        <v>44250.666666666599</v>
      </c>
      <c r="B17" s="1">
        <f ca="1">IFERROR(__xludf.DUMMYFUNCTION("""COMPUTED_VALUE"""),387.5)</f>
        <v>387.5</v>
      </c>
      <c r="C17" s="1">
        <f ca="1">IFERROR(__xludf.DUMMYFUNCTION("""COMPUTED_VALUE"""),125.86)</f>
        <v>125.86</v>
      </c>
      <c r="D17" s="1">
        <f ca="1">IFERROR(__xludf.DUMMYFUNCTION("""COMPUTED_VALUE"""),233.27)</f>
        <v>233.27</v>
      </c>
      <c r="E17" s="1">
        <f ca="1">IFERROR(__xludf.DUMMYFUNCTION("""COMPUTED_VALUE"""),150.61)</f>
        <v>150.61000000000001</v>
      </c>
      <c r="F17">
        <f t="shared" ca="1" si="0"/>
        <v>1.2143761465520176E-3</v>
      </c>
      <c r="G17">
        <f t="shared" ca="1" si="1"/>
        <v>-1.1111111111111157E-3</v>
      </c>
      <c r="H17">
        <f t="shared" ca="1" si="2"/>
        <v>-5.2876209969723283E-3</v>
      </c>
      <c r="I17">
        <f t="shared" ca="1" si="3"/>
        <v>8.0315909243023707E-3</v>
      </c>
      <c r="O17">
        <f t="shared" ca="1" si="4"/>
        <v>1.0299550806687392</v>
      </c>
      <c r="P17">
        <f t="shared" ca="1" si="5"/>
        <v>0.95973768491688305</v>
      </c>
      <c r="Q17">
        <f t="shared" ca="1" si="6"/>
        <v>0.9733778426872518</v>
      </c>
      <c r="R17">
        <f t="shared" ca="1" si="7"/>
        <v>1.1619348865915755</v>
      </c>
    </row>
    <row r="18" spans="1:21" x14ac:dyDescent="0.3">
      <c r="A18" s="2">
        <f ca="1">IFERROR(__xludf.DUMMYFUNCTION("""COMPUTED_VALUE"""),44251.6666666666)</f>
        <v>44251.666666666599</v>
      </c>
      <c r="B18" s="1">
        <f ca="1">IFERROR(__xludf.DUMMYFUNCTION("""COMPUTED_VALUE"""),391.77)</f>
        <v>391.77</v>
      </c>
      <c r="C18" s="1">
        <f ca="1">IFERROR(__xludf.DUMMYFUNCTION("""COMPUTED_VALUE"""),125.35)</f>
        <v>125.35</v>
      </c>
      <c r="D18" s="1">
        <f ca="1">IFERROR(__xludf.DUMMYFUNCTION("""COMPUTED_VALUE"""),234.55)</f>
        <v>234.55</v>
      </c>
      <c r="E18" s="1">
        <f ca="1">IFERROR(__xludf.DUMMYFUNCTION("""COMPUTED_VALUE"""),153.26)</f>
        <v>153.26</v>
      </c>
      <c r="F18">
        <f t="shared" ca="1" si="0"/>
        <v>1.101935483870963E-2</v>
      </c>
      <c r="G18">
        <f t="shared" ca="1" si="1"/>
        <v>-4.052121404735461E-3</v>
      </c>
      <c r="H18">
        <f t="shared" ca="1" si="2"/>
        <v>5.4872036695674583E-3</v>
      </c>
      <c r="I18">
        <f t="shared" ca="1" si="3"/>
        <v>1.7595113206294252E-2</v>
      </c>
      <c r="O18">
        <f t="shared" ca="1" si="4"/>
        <v>1.0413045211705598</v>
      </c>
      <c r="P18">
        <f t="shared" ca="1" si="5"/>
        <v>0.9558487113009001</v>
      </c>
      <c r="Q18">
        <f t="shared" ca="1" si="6"/>
        <v>0.97871896515752099</v>
      </c>
      <c r="R18">
        <f t="shared" ca="1" si="7"/>
        <v>1.1823792624594969</v>
      </c>
    </row>
    <row r="19" spans="1:21" x14ac:dyDescent="0.3">
      <c r="A19" s="2">
        <f ca="1">IFERROR(__xludf.DUMMYFUNCTION("""COMPUTED_VALUE"""),44252.6666666666)</f>
        <v>44252.666666666599</v>
      </c>
      <c r="B19" s="1">
        <f ca="1">IFERROR(__xludf.DUMMYFUNCTION("""COMPUTED_VALUE"""),382.33)</f>
        <v>382.33</v>
      </c>
      <c r="C19" s="1">
        <f ca="1">IFERROR(__xludf.DUMMYFUNCTION("""COMPUTED_VALUE"""),120.99)</f>
        <v>120.99</v>
      </c>
      <c r="D19" s="1">
        <f ca="1">IFERROR(__xludf.DUMMYFUNCTION("""COMPUTED_VALUE"""),228.99)</f>
        <v>228.99</v>
      </c>
      <c r="E19" s="1">
        <f ca="1">IFERROR(__xludf.DUMMYFUNCTION("""COMPUTED_VALUE"""),151.18)</f>
        <v>151.18</v>
      </c>
      <c r="F19">
        <f t="shared" ca="1" si="0"/>
        <v>-2.4095770477576123E-2</v>
      </c>
      <c r="G19">
        <f t="shared" ca="1" si="1"/>
        <v>-3.4782608695652174E-2</v>
      </c>
      <c r="H19">
        <f t="shared" ca="1" si="2"/>
        <v>-2.3704966958004697E-2</v>
      </c>
      <c r="I19">
        <f t="shared" ca="1" si="3"/>
        <v>-1.3571708208273419E-2</v>
      </c>
      <c r="O19">
        <f t="shared" ca="1" si="4"/>
        <v>1.0162134864311716</v>
      </c>
      <c r="P19">
        <f t="shared" ca="1" si="5"/>
        <v>0.92260179960347743</v>
      </c>
      <c r="Q19">
        <f t="shared" ca="1" si="6"/>
        <v>0.95551846442728938</v>
      </c>
      <c r="R19">
        <f t="shared" ca="1" si="7"/>
        <v>1.1663323561178829</v>
      </c>
    </row>
    <row r="20" spans="1:21" x14ac:dyDescent="0.3">
      <c r="A20" s="2">
        <f ca="1">IFERROR(__xludf.DUMMYFUNCTION("""COMPUTED_VALUE"""),44253.6666666666)</f>
        <v>44253.666666666599</v>
      </c>
      <c r="B20" s="1">
        <f ca="1">IFERROR(__xludf.DUMMYFUNCTION("""COMPUTED_VALUE"""),380.36)</f>
        <v>380.36</v>
      </c>
      <c r="C20" s="1">
        <f ca="1">IFERROR(__xludf.DUMMYFUNCTION("""COMPUTED_VALUE"""),121.26)</f>
        <v>121.26</v>
      </c>
      <c r="D20" s="1">
        <f ca="1">IFERROR(__xludf.DUMMYFUNCTION("""COMPUTED_VALUE"""),232.38)</f>
        <v>232.38</v>
      </c>
      <c r="E20" s="1">
        <f ca="1">IFERROR(__xludf.DUMMYFUNCTION("""COMPUTED_VALUE"""),147.17)</f>
        <v>147.16999999999999</v>
      </c>
      <c r="F20">
        <f t="shared" ca="1" si="0"/>
        <v>-5.1526168493185743E-3</v>
      </c>
      <c r="G20">
        <f t="shared" ca="1" si="1"/>
        <v>2.231589387552775E-3</v>
      </c>
      <c r="H20">
        <f t="shared" ca="1" si="2"/>
        <v>1.4804139918773685E-2</v>
      </c>
      <c r="I20">
        <f t="shared" ca="1" si="3"/>
        <v>-2.6524672575737658E-2</v>
      </c>
      <c r="O20">
        <f t="shared" ca="1" si="4"/>
        <v>1.0109773276984815</v>
      </c>
      <c r="P20">
        <f t="shared" ca="1" si="5"/>
        <v>0.92466066798840973</v>
      </c>
      <c r="Q20">
        <f t="shared" ca="1" si="6"/>
        <v>0.96966409346964277</v>
      </c>
      <c r="R20">
        <f t="shared" ca="1" si="7"/>
        <v>1.1353957722573673</v>
      </c>
    </row>
    <row r="21" spans="1:21" x14ac:dyDescent="0.3">
      <c r="A21" s="2">
        <f ca="1">IFERROR(__xludf.DUMMYFUNCTION("""COMPUTED_VALUE"""),44256.6666666666)</f>
        <v>44256.666666666599</v>
      </c>
      <c r="B21" s="1">
        <f ca="1">IFERROR(__xludf.DUMMYFUNCTION("""COMPUTED_VALUE"""),389.58)</f>
        <v>389.58</v>
      </c>
      <c r="C21" s="1">
        <f ca="1">IFERROR(__xludf.DUMMYFUNCTION("""COMPUTED_VALUE"""),127.79)</f>
        <v>127.79</v>
      </c>
      <c r="D21" s="1">
        <f ca="1">IFERROR(__xludf.DUMMYFUNCTION("""COMPUTED_VALUE"""),236.94)</f>
        <v>236.94</v>
      </c>
      <c r="E21" s="1">
        <f ca="1">IFERROR(__xludf.DUMMYFUNCTION("""COMPUTED_VALUE"""),150.5)</f>
        <v>150.5</v>
      </c>
      <c r="F21">
        <f t="shared" ca="1" si="0"/>
        <v>2.4240193500893813E-2</v>
      </c>
      <c r="G21">
        <f t="shared" ca="1" si="1"/>
        <v>5.3851228764637972E-2</v>
      </c>
      <c r="H21">
        <f t="shared" ca="1" si="2"/>
        <v>1.9623031241931328E-2</v>
      </c>
      <c r="I21">
        <f t="shared" ca="1" si="3"/>
        <v>2.2626894068084616E-2</v>
      </c>
      <c r="O21">
        <f t="shared" ca="1" si="4"/>
        <v>1.0354836137469092</v>
      </c>
      <c r="P21">
        <f t="shared" ca="1" si="5"/>
        <v>0.97445478114991657</v>
      </c>
      <c r="Q21">
        <f t="shared" ca="1" si="6"/>
        <v>0.98869184226997664</v>
      </c>
      <c r="R21">
        <f t="shared" ca="1" si="7"/>
        <v>1.1610862521215861</v>
      </c>
    </row>
    <row r="22" spans="1:21" x14ac:dyDescent="0.3">
      <c r="A22" s="2">
        <f ca="1">IFERROR(__xludf.DUMMYFUNCTION("""COMPUTED_VALUE"""),44257.6666666666)</f>
        <v>44257.666666666599</v>
      </c>
      <c r="B22" s="1">
        <f ca="1">IFERROR(__xludf.DUMMYFUNCTION("""COMPUTED_VALUE"""),386.54)</f>
        <v>386.54</v>
      </c>
      <c r="C22" s="1">
        <f ca="1">IFERROR(__xludf.DUMMYFUNCTION("""COMPUTED_VALUE"""),125.12)</f>
        <v>125.12</v>
      </c>
      <c r="D22" s="1">
        <f ca="1">IFERROR(__xludf.DUMMYFUNCTION("""COMPUTED_VALUE"""),233.87)</f>
        <v>233.87</v>
      </c>
      <c r="E22" s="1">
        <f ca="1">IFERROR(__xludf.DUMMYFUNCTION("""COMPUTED_VALUE"""),150.01)</f>
        <v>150.01</v>
      </c>
      <c r="F22">
        <f t="shared" ca="1" si="0"/>
        <v>-7.8032753221417006E-3</v>
      </c>
      <c r="G22">
        <f t="shared" ca="1" si="1"/>
        <v>-2.0893653650520396E-2</v>
      </c>
      <c r="H22">
        <f t="shared" ca="1" si="2"/>
        <v>-1.2956866717312372E-2</v>
      </c>
      <c r="I22">
        <f t="shared" ca="1" si="3"/>
        <v>-3.2558139534884325E-3</v>
      </c>
      <c r="O22">
        <f t="shared" ca="1" si="4"/>
        <v>1.0274034500172757</v>
      </c>
      <c r="P22">
        <f t="shared" ca="1" si="5"/>
        <v>0.95409486045447656</v>
      </c>
      <c r="Q22">
        <f t="shared" ca="1" si="6"/>
        <v>0.97588149384519052</v>
      </c>
      <c r="R22">
        <f t="shared" ca="1" si="7"/>
        <v>1.1573059713007252</v>
      </c>
    </row>
    <row r="23" spans="1:21" x14ac:dyDescent="0.3">
      <c r="A23" s="2">
        <f ca="1">IFERROR(__xludf.DUMMYFUNCTION("""COMPUTED_VALUE"""),44258.6666666666)</f>
        <v>44258.666666666599</v>
      </c>
      <c r="B23" s="1">
        <f ca="1">IFERROR(__xludf.DUMMYFUNCTION("""COMPUTED_VALUE"""),381.42)</f>
        <v>381.42</v>
      </c>
      <c r="C23" s="1">
        <f ca="1">IFERROR(__xludf.DUMMYFUNCTION("""COMPUTED_VALUE"""),122.06)</f>
        <v>122.06</v>
      </c>
      <c r="D23" s="1">
        <f ca="1">IFERROR(__xludf.DUMMYFUNCTION("""COMPUTED_VALUE"""),227.56)</f>
        <v>227.56</v>
      </c>
      <c r="E23" s="1">
        <f ca="1">IFERROR(__xludf.DUMMYFUNCTION("""COMPUTED_VALUE"""),152.91)</f>
        <v>152.91</v>
      </c>
      <c r="F23">
        <f t="shared" ca="1" si="0"/>
        <v>-1.3245718425001305E-2</v>
      </c>
      <c r="G23">
        <f t="shared" ca="1" si="1"/>
        <v>-2.4456521739130453E-2</v>
      </c>
      <c r="H23">
        <f t="shared" ca="1" si="2"/>
        <v>-2.6980801299867456E-2</v>
      </c>
      <c r="I23">
        <f t="shared" ca="1" si="3"/>
        <v>1.9332044530364682E-2</v>
      </c>
      <c r="O23">
        <f t="shared" ca="1" si="4"/>
        <v>1.013794753209472</v>
      </c>
      <c r="P23">
        <f t="shared" ca="1" si="5"/>
        <v>0.93076101875857897</v>
      </c>
      <c r="Q23">
        <f t="shared" ca="1" si="6"/>
        <v>0.94955142916753565</v>
      </c>
      <c r="R23">
        <f t="shared" ca="1" si="7"/>
        <v>1.1796790618731676</v>
      </c>
    </row>
    <row r="24" spans="1:21" x14ac:dyDescent="0.3">
      <c r="A24" s="2">
        <f ca="1">IFERROR(__xludf.DUMMYFUNCTION("""COMPUTED_VALUE"""),44259.6666666666)</f>
        <v>44259.666666666599</v>
      </c>
      <c r="B24" s="1">
        <f ca="1">IFERROR(__xludf.DUMMYFUNCTION("""COMPUTED_VALUE"""),376.7)</f>
        <v>376.7</v>
      </c>
      <c r="C24" s="1">
        <f ca="1">IFERROR(__xludf.DUMMYFUNCTION("""COMPUTED_VALUE"""),120.13)</f>
        <v>120.13</v>
      </c>
      <c r="D24" s="1">
        <f ca="1">IFERROR(__xludf.DUMMYFUNCTION("""COMPUTED_VALUE"""),226.73)</f>
        <v>226.73</v>
      </c>
      <c r="E24" s="1">
        <f ca="1">IFERROR(__xludf.DUMMYFUNCTION("""COMPUTED_VALUE"""),150.56)</f>
        <v>150.56</v>
      </c>
      <c r="F24">
        <f t="shared" ca="1" si="0"/>
        <v>-1.2374809920822261E-2</v>
      </c>
      <c r="G24">
        <f t="shared" ca="1" si="1"/>
        <v>-1.5811895788956306E-2</v>
      </c>
      <c r="H24">
        <f t="shared" ca="1" si="2"/>
        <v>-3.6473896994199881E-3</v>
      </c>
      <c r="I24">
        <f t="shared" ca="1" si="3"/>
        <v>-1.5368517428552707E-2</v>
      </c>
      <c r="O24">
        <f t="shared" ca="1" si="4"/>
        <v>1.0012492358397778</v>
      </c>
      <c r="P24">
        <f t="shared" ca="1" si="5"/>
        <v>0.91604392252554556</v>
      </c>
      <c r="Q24">
        <f t="shared" ca="1" si="6"/>
        <v>0.94608804506572042</v>
      </c>
      <c r="R24">
        <f t="shared" ca="1" si="7"/>
        <v>1.1615491436506711</v>
      </c>
      <c r="T24" s="7" t="s">
        <v>31</v>
      </c>
    </row>
    <row r="25" spans="1:21" x14ac:dyDescent="0.3">
      <c r="A25" s="2">
        <f ca="1">IFERROR(__xludf.DUMMYFUNCTION("""COMPUTED_VALUE"""),44260.6666666666)</f>
        <v>44260.666666666599</v>
      </c>
      <c r="B25" s="1">
        <f ca="1">IFERROR(__xludf.DUMMYFUNCTION("""COMPUTED_VALUE"""),383.63)</f>
        <v>383.63</v>
      </c>
      <c r="C25" s="1">
        <f ca="1">IFERROR(__xludf.DUMMYFUNCTION("""COMPUTED_VALUE"""),121.42)</f>
        <v>121.42</v>
      </c>
      <c r="D25" s="1">
        <f ca="1">IFERROR(__xludf.DUMMYFUNCTION("""COMPUTED_VALUE"""),231.6)</f>
        <v>231.6</v>
      </c>
      <c r="E25" s="1">
        <f ca="1">IFERROR(__xludf.DUMMYFUNCTION("""COMPUTED_VALUE"""),150.91)</f>
        <v>150.91</v>
      </c>
      <c r="F25">
        <f t="shared" ca="1" si="0"/>
        <v>1.8396602070613239E-2</v>
      </c>
      <c r="G25">
        <f t="shared" ca="1" si="1"/>
        <v>1.0738366769333275E-2</v>
      </c>
      <c r="H25">
        <f t="shared" ca="1" si="2"/>
        <v>2.147929255061088E-2</v>
      </c>
      <c r="I25">
        <f t="shared" ca="1" si="3"/>
        <v>2.3246546227417265E-3</v>
      </c>
      <c r="O25">
        <f t="shared" ca="1" si="4"/>
        <v>1.0196688196050276</v>
      </c>
      <c r="P25">
        <f t="shared" ca="1" si="5"/>
        <v>0.92588073814244354</v>
      </c>
      <c r="Q25">
        <f t="shared" ca="1" si="6"/>
        <v>0.96640934696432257</v>
      </c>
      <c r="R25">
        <f t="shared" ca="1" si="7"/>
        <v>1.1642493442370003</v>
      </c>
      <c r="T25" s="8">
        <f ca="1">U4/U5</f>
        <v>1.0202683824122283</v>
      </c>
      <c r="U25" s="8" t="s">
        <v>23</v>
      </c>
    </row>
    <row r="26" spans="1:21" x14ac:dyDescent="0.3">
      <c r="A26" s="2">
        <f ca="1">IFERROR(__xludf.DUMMYFUNCTION("""COMPUTED_VALUE"""),44263.6666666666)</f>
        <v>44263.666666666599</v>
      </c>
      <c r="B26" s="1">
        <f ca="1">IFERROR(__xludf.DUMMYFUNCTION("""COMPUTED_VALUE"""),381.72)</f>
        <v>381.72</v>
      </c>
      <c r="C26" s="1">
        <f ca="1">IFERROR(__xludf.DUMMYFUNCTION("""COMPUTED_VALUE"""),116.36)</f>
        <v>116.36</v>
      </c>
      <c r="D26" s="1">
        <f ca="1">IFERROR(__xludf.DUMMYFUNCTION("""COMPUTED_VALUE"""),227.39)</f>
        <v>227.39</v>
      </c>
      <c r="E26" s="1">
        <f ca="1">IFERROR(__xludf.DUMMYFUNCTION("""COMPUTED_VALUE"""),152.91)</f>
        <v>152.91</v>
      </c>
      <c r="F26">
        <f t="shared" ca="1" si="0"/>
        <v>-4.9787555717748042E-3</v>
      </c>
      <c r="G26">
        <f t="shared" ca="1" si="1"/>
        <v>-4.1673529896227988E-2</v>
      </c>
      <c r="H26">
        <f t="shared" ca="1" si="2"/>
        <v>-1.8177892918825597E-2</v>
      </c>
      <c r="I26">
        <f t="shared" ca="1" si="3"/>
        <v>1.325293221125174E-2</v>
      </c>
      <c r="O26">
        <f t="shared" ca="1" si="4"/>
        <v>1.014592137788054</v>
      </c>
      <c r="P26">
        <f t="shared" ca="1" si="5"/>
        <v>0.8872960195211228</v>
      </c>
      <c r="Q26">
        <f t="shared" ca="1" si="6"/>
        <v>0.94884206133945304</v>
      </c>
      <c r="R26">
        <f t="shared" ca="1" si="7"/>
        <v>1.1796790618731676</v>
      </c>
      <c r="T26" s="8">
        <f ca="1">V4/V5</f>
        <v>1.0342225728175938</v>
      </c>
      <c r="U26" s="8" t="s">
        <v>24</v>
      </c>
    </row>
    <row r="27" spans="1:21" x14ac:dyDescent="0.3">
      <c r="A27" s="2">
        <f ca="1">IFERROR(__xludf.DUMMYFUNCTION("""COMPUTED_VALUE"""),44264.6666666666)</f>
        <v>44264.666666666599</v>
      </c>
      <c r="B27" s="1">
        <f ca="1">IFERROR(__xludf.DUMMYFUNCTION("""COMPUTED_VALUE"""),387.17)</f>
        <v>387.17</v>
      </c>
      <c r="C27" s="1">
        <f ca="1">IFERROR(__xludf.DUMMYFUNCTION("""COMPUTED_VALUE"""),121.09)</f>
        <v>121.09</v>
      </c>
      <c r="D27" s="1">
        <f ca="1">IFERROR(__xludf.DUMMYFUNCTION("""COMPUTED_VALUE"""),233.78)</f>
        <v>233.78</v>
      </c>
      <c r="E27" s="1">
        <f ca="1">IFERROR(__xludf.DUMMYFUNCTION("""COMPUTED_VALUE"""),151.83)</f>
        <v>151.83000000000001</v>
      </c>
      <c r="F27">
        <f t="shared" ca="1" si="0"/>
        <v>1.4277480876034759E-2</v>
      </c>
      <c r="G27">
        <f t="shared" ca="1" si="1"/>
        <v>4.0649707803368892E-2</v>
      </c>
      <c r="H27">
        <f t="shared" ca="1" si="2"/>
        <v>2.810149962619295E-2</v>
      </c>
      <c r="I27">
        <f t="shared" ca="1" si="3"/>
        <v>-7.0629782224837104E-3</v>
      </c>
      <c r="O27">
        <f t="shared" ca="1" si="4"/>
        <v>1.0290779576322984</v>
      </c>
      <c r="P27">
        <f t="shared" ca="1" si="5"/>
        <v>0.92336434344974883</v>
      </c>
      <c r="Q27">
        <f t="shared" ca="1" si="6"/>
        <v>0.97550594617149988</v>
      </c>
      <c r="R27">
        <f t="shared" ca="1" si="7"/>
        <v>1.1713470143496374</v>
      </c>
      <c r="T27" s="8">
        <f ca="1">W4/W5</f>
        <v>0.99843635599287883</v>
      </c>
      <c r="U27" s="8" t="s">
        <v>25</v>
      </c>
    </row>
    <row r="28" spans="1:21" x14ac:dyDescent="0.3">
      <c r="A28" s="2">
        <f ca="1">IFERROR(__xludf.DUMMYFUNCTION("""COMPUTED_VALUE"""),44265.6666666666)</f>
        <v>44265.666666666599</v>
      </c>
      <c r="B28" s="1">
        <f ca="1">IFERROR(__xludf.DUMMYFUNCTION("""COMPUTED_VALUE"""),389.58)</f>
        <v>389.58</v>
      </c>
      <c r="C28" s="1">
        <f ca="1">IFERROR(__xludf.DUMMYFUNCTION("""COMPUTED_VALUE"""),119.98)</f>
        <v>119.98</v>
      </c>
      <c r="D28" s="1">
        <f ca="1">IFERROR(__xludf.DUMMYFUNCTION("""COMPUTED_VALUE"""),232.42)</f>
        <v>232.42</v>
      </c>
      <c r="E28" s="1">
        <f ca="1">IFERROR(__xludf.DUMMYFUNCTION("""COMPUTED_VALUE"""),155.13)</f>
        <v>155.13</v>
      </c>
      <c r="F28">
        <f t="shared" ca="1" si="0"/>
        <v>6.2246558359376194E-3</v>
      </c>
      <c r="G28">
        <f t="shared" ca="1" si="1"/>
        <v>-9.1667354860021418E-3</v>
      </c>
      <c r="H28">
        <f t="shared" ca="1" si="2"/>
        <v>-5.817435195482991E-3</v>
      </c>
      <c r="I28">
        <f t="shared" ca="1" si="3"/>
        <v>2.1734835012843196E-2</v>
      </c>
      <c r="O28">
        <f t="shared" ca="1" si="4"/>
        <v>1.035483613746909</v>
      </c>
      <c r="P28">
        <f t="shared" ca="1" si="5"/>
        <v>0.91490010675613898</v>
      </c>
      <c r="Q28">
        <f t="shared" ca="1" si="6"/>
        <v>0.96983100354683893</v>
      </c>
      <c r="R28">
        <f t="shared" ca="1" si="7"/>
        <v>1.1968060484493133</v>
      </c>
      <c r="T28" s="8">
        <f ca="1">X4/X5</f>
        <v>1.0306855868518181</v>
      </c>
      <c r="U28" s="8" t="s">
        <v>26</v>
      </c>
    </row>
    <row r="29" spans="1:21" x14ac:dyDescent="0.3">
      <c r="A29" s="2">
        <f ca="1">IFERROR(__xludf.DUMMYFUNCTION("""COMPUTED_VALUE"""),44266.6666666666)</f>
        <v>44266.666666666599</v>
      </c>
      <c r="B29" s="1">
        <f ca="1">IFERROR(__xludf.DUMMYFUNCTION("""COMPUTED_VALUE"""),393.53)</f>
        <v>393.53</v>
      </c>
      <c r="C29" s="1">
        <f ca="1">IFERROR(__xludf.DUMMYFUNCTION("""COMPUTED_VALUE"""),121.96)</f>
        <v>121.96</v>
      </c>
      <c r="D29" s="1">
        <f ca="1">IFERROR(__xludf.DUMMYFUNCTION("""COMPUTED_VALUE"""),237.13)</f>
        <v>237.13</v>
      </c>
      <c r="E29" s="1">
        <f ca="1">IFERROR(__xludf.DUMMYFUNCTION("""COMPUTED_VALUE"""),154.32)</f>
        <v>154.32</v>
      </c>
      <c r="F29">
        <f t="shared" ca="1" si="0"/>
        <v>1.0139124185019737E-2</v>
      </c>
      <c r="G29">
        <f t="shared" ca="1" si="1"/>
        <v>1.6502750458409651E-2</v>
      </c>
      <c r="H29">
        <f t="shared" ca="1" si="2"/>
        <v>2.0265037432234782E-2</v>
      </c>
      <c r="I29">
        <f t="shared" ca="1" si="3"/>
        <v>-5.2214271900986415E-3</v>
      </c>
      <c r="O29">
        <f t="shared" ca="1" si="4"/>
        <v>1.0459825106982419</v>
      </c>
      <c r="P29">
        <f t="shared" ca="1" si="5"/>
        <v>0.92999847491230792</v>
      </c>
      <c r="Q29">
        <f t="shared" ca="1" si="6"/>
        <v>0.98948466513665756</v>
      </c>
      <c r="R29">
        <f t="shared" ca="1" si="7"/>
        <v>1.1905570128066656</v>
      </c>
    </row>
    <row r="30" spans="1:21" x14ac:dyDescent="0.3">
      <c r="A30" s="2">
        <f ca="1">IFERROR(__xludf.DUMMYFUNCTION("""COMPUTED_VALUE"""),44267.6666666666)</f>
        <v>44267.666666666599</v>
      </c>
      <c r="B30" s="1">
        <f ca="1">IFERROR(__xludf.DUMMYFUNCTION("""COMPUTED_VALUE"""),394.06)</f>
        <v>394.06</v>
      </c>
      <c r="C30" s="1">
        <f ca="1">IFERROR(__xludf.DUMMYFUNCTION("""COMPUTED_VALUE"""),121.03)</f>
        <v>121.03</v>
      </c>
      <c r="D30" s="1">
        <f ca="1">IFERROR(__xludf.DUMMYFUNCTION("""COMPUTED_VALUE"""),235.75)</f>
        <v>235.75</v>
      </c>
      <c r="E30" s="1">
        <f ca="1">IFERROR(__xludf.DUMMYFUNCTION("""COMPUTED_VALUE"""),156.15)</f>
        <v>156.15</v>
      </c>
      <c r="F30">
        <f t="shared" ca="1" si="0"/>
        <v>1.3467842350012187E-3</v>
      </c>
      <c r="G30">
        <f t="shared" ca="1" si="1"/>
        <v>-7.6254509675302779E-3</v>
      </c>
      <c r="H30">
        <f t="shared" ca="1" si="2"/>
        <v>-5.8195926285159851E-3</v>
      </c>
      <c r="I30">
        <f t="shared" ca="1" si="3"/>
        <v>1.1858475894245804E-2</v>
      </c>
      <c r="O30">
        <f t="shared" ca="1" si="4"/>
        <v>1.0473912234537373</v>
      </c>
      <c r="P30">
        <f t="shared" ca="1" si="5"/>
        <v>0.92290681714198619</v>
      </c>
      <c r="Q30">
        <f t="shared" ca="1" si="6"/>
        <v>0.98372626747339875</v>
      </c>
      <c r="R30">
        <f t="shared" ca="1" si="7"/>
        <v>1.2046752044437585</v>
      </c>
    </row>
    <row r="31" spans="1:21" x14ac:dyDescent="0.3">
      <c r="A31" s="2">
        <f ca="1">IFERROR(__xludf.DUMMYFUNCTION("""COMPUTED_VALUE"""),44270.6666666666)</f>
        <v>44270.666666666599</v>
      </c>
      <c r="B31" s="1">
        <f ca="1">IFERROR(__xludf.DUMMYFUNCTION("""COMPUTED_VALUE"""),396.41)</f>
        <v>396.41</v>
      </c>
      <c r="C31" s="1">
        <f ca="1">IFERROR(__xludf.DUMMYFUNCTION("""COMPUTED_VALUE"""),123.99)</f>
        <v>123.99</v>
      </c>
      <c r="D31" s="1">
        <f ca="1">IFERROR(__xludf.DUMMYFUNCTION("""COMPUTED_VALUE"""),234.81)</f>
        <v>234.81</v>
      </c>
      <c r="E31" s="1">
        <f ca="1">IFERROR(__xludf.DUMMYFUNCTION("""COMPUTED_VALUE"""),155.37)</f>
        <v>155.37</v>
      </c>
      <c r="F31">
        <f t="shared" ca="1" si="0"/>
        <v>5.9635588489063158E-3</v>
      </c>
      <c r="G31">
        <f t="shared" ca="1" si="1"/>
        <v>2.4456746261257489E-2</v>
      </c>
      <c r="H31">
        <f t="shared" ca="1" si="2"/>
        <v>-3.9872746553552395E-3</v>
      </c>
      <c r="I31">
        <f t="shared" ca="1" si="3"/>
        <v>-4.9951969260326676E-3</v>
      </c>
      <c r="O31">
        <f t="shared" ca="1" si="4"/>
        <v>1.0536374026526316</v>
      </c>
      <c r="P31">
        <f t="shared" ca="1" si="5"/>
        <v>0.94547811499161249</v>
      </c>
      <c r="Q31">
        <f t="shared" ca="1" si="6"/>
        <v>0.97980388065929491</v>
      </c>
      <c r="R31">
        <f t="shared" ca="1" si="7"/>
        <v>1.1986576145656533</v>
      </c>
    </row>
    <row r="32" spans="1:21" x14ac:dyDescent="0.3">
      <c r="A32" s="2">
        <f ca="1">IFERROR(__xludf.DUMMYFUNCTION("""COMPUTED_VALUE"""),44271.6666666666)</f>
        <v>44271.666666666599</v>
      </c>
      <c r="B32" s="1">
        <f ca="1">IFERROR(__xludf.DUMMYFUNCTION("""COMPUTED_VALUE"""),395.91)</f>
        <v>395.91</v>
      </c>
      <c r="C32" s="1">
        <f ca="1">IFERROR(__xludf.DUMMYFUNCTION("""COMPUTED_VALUE"""),125.57)</f>
        <v>125.57</v>
      </c>
      <c r="D32" s="1">
        <f ca="1">IFERROR(__xludf.DUMMYFUNCTION("""COMPUTED_VALUE"""),237.71)</f>
        <v>237.71</v>
      </c>
      <c r="E32" s="1">
        <f ca="1">IFERROR(__xludf.DUMMYFUNCTION("""COMPUTED_VALUE"""),153.51)</f>
        <v>153.51</v>
      </c>
      <c r="F32">
        <f t="shared" ca="1" si="0"/>
        <v>-1.2613203501425291E-3</v>
      </c>
      <c r="G32">
        <f t="shared" ca="1" si="1"/>
        <v>1.2742963142188873E-2</v>
      </c>
      <c r="H32">
        <f t="shared" ca="1" si="2"/>
        <v>1.2350410970571976E-2</v>
      </c>
      <c r="I32">
        <f t="shared" ca="1" si="3"/>
        <v>-1.1971423054643842E-2</v>
      </c>
      <c r="O32">
        <f t="shared" ca="1" si="4"/>
        <v>1.0523084283549946</v>
      </c>
      <c r="P32">
        <f t="shared" ca="1" si="5"/>
        <v>0.95752630776269687</v>
      </c>
      <c r="Q32">
        <f t="shared" ca="1" si="6"/>
        <v>0.99190486125599842</v>
      </c>
      <c r="R32">
        <f t="shared" ca="1" si="7"/>
        <v>1.1843079771640177</v>
      </c>
    </row>
    <row r="33" spans="1:18" x14ac:dyDescent="0.3">
      <c r="A33" s="2">
        <f ca="1">IFERROR(__xludf.DUMMYFUNCTION("""COMPUTED_VALUE"""),44272.6666666666)</f>
        <v>44272.666666666599</v>
      </c>
      <c r="B33" s="1">
        <f ca="1">IFERROR(__xludf.DUMMYFUNCTION("""COMPUTED_VALUE"""),397.26)</f>
        <v>397.26</v>
      </c>
      <c r="C33" s="1">
        <f ca="1">IFERROR(__xludf.DUMMYFUNCTION("""COMPUTED_VALUE"""),124.76)</f>
        <v>124.76</v>
      </c>
      <c r="D33" s="1">
        <f ca="1">IFERROR(__xludf.DUMMYFUNCTION("""COMPUTED_VALUE"""),237.04)</f>
        <v>237.04</v>
      </c>
      <c r="E33" s="1">
        <f ca="1">IFERROR(__xludf.DUMMYFUNCTION("""COMPUTED_VALUE"""),155.09)</f>
        <v>155.09</v>
      </c>
      <c r="F33">
        <f t="shared" ca="1" si="0"/>
        <v>3.4098658786086882E-3</v>
      </c>
      <c r="G33">
        <f t="shared" ca="1" si="1"/>
        <v>-6.450585330891042E-3</v>
      </c>
      <c r="H33">
        <f t="shared" ca="1" si="2"/>
        <v>-2.8185604307770641E-3</v>
      </c>
      <c r="I33">
        <f t="shared" ca="1" si="3"/>
        <v>1.0292489088658801E-2</v>
      </c>
      <c r="O33">
        <f t="shared" ca="1" si="4"/>
        <v>1.0558966589586145</v>
      </c>
      <c r="P33">
        <f t="shared" ca="1" si="5"/>
        <v>0.95134970260790053</v>
      </c>
      <c r="Q33">
        <f t="shared" ca="1" si="6"/>
        <v>0.98910911746296681</v>
      </c>
      <c r="R33">
        <f t="shared" ca="1" si="7"/>
        <v>1.19649745409659</v>
      </c>
    </row>
    <row r="34" spans="1:18" x14ac:dyDescent="0.3">
      <c r="A34" s="2">
        <f ca="1">IFERROR(__xludf.DUMMYFUNCTION("""COMPUTED_VALUE"""),44273.6666666666)</f>
        <v>44273.666666666599</v>
      </c>
      <c r="B34" s="1">
        <f ca="1">IFERROR(__xludf.DUMMYFUNCTION("""COMPUTED_VALUE"""),391.48)</f>
        <v>391.48</v>
      </c>
      <c r="C34" s="1">
        <f ca="1">IFERROR(__xludf.DUMMYFUNCTION("""COMPUTED_VALUE"""),120.53)</f>
        <v>120.53</v>
      </c>
      <c r="D34" s="1">
        <f ca="1">IFERROR(__xludf.DUMMYFUNCTION("""COMPUTED_VALUE"""),230.72)</f>
        <v>230.72</v>
      </c>
      <c r="E34" s="1">
        <f ca="1">IFERROR(__xludf.DUMMYFUNCTION("""COMPUTED_VALUE"""),157.65)</f>
        <v>157.65</v>
      </c>
      <c r="F34">
        <f t="shared" ca="1" si="0"/>
        <v>-1.4549665206665591E-2</v>
      </c>
      <c r="G34">
        <f t="shared" ca="1" si="1"/>
        <v>-3.3905097787752518E-2</v>
      </c>
      <c r="H34">
        <f t="shared" ca="1" si="2"/>
        <v>-2.6662166722915936E-2</v>
      </c>
      <c r="I34">
        <f t="shared" ca="1" si="3"/>
        <v>1.6506544587014005E-2</v>
      </c>
      <c r="O34">
        <f t="shared" ca="1" si="4"/>
        <v>1.04053371607793</v>
      </c>
      <c r="P34">
        <f t="shared" ca="1" si="5"/>
        <v>0.91909409791063035</v>
      </c>
      <c r="Q34">
        <f t="shared" ca="1" si="6"/>
        <v>0.96273732526601297</v>
      </c>
      <c r="R34">
        <f t="shared" ca="1" si="7"/>
        <v>1.2162474926708842</v>
      </c>
    </row>
    <row r="35" spans="1:18" x14ac:dyDescent="0.3">
      <c r="A35" s="2">
        <f ca="1">IFERROR(__xludf.DUMMYFUNCTION("""COMPUTED_VALUE"""),44274.6666666666)</f>
        <v>44274.666666666599</v>
      </c>
      <c r="B35" s="1">
        <f ca="1">IFERROR(__xludf.DUMMYFUNCTION("""COMPUTED_VALUE"""),389.48)</f>
        <v>389.48</v>
      </c>
      <c r="C35" s="1">
        <f ca="1">IFERROR(__xludf.DUMMYFUNCTION("""COMPUTED_VALUE"""),119.99)</f>
        <v>119.99</v>
      </c>
      <c r="D35" s="1">
        <f ca="1">IFERROR(__xludf.DUMMYFUNCTION("""COMPUTED_VALUE"""),230.35)</f>
        <v>230.35</v>
      </c>
      <c r="E35" s="1">
        <f ca="1">IFERROR(__xludf.DUMMYFUNCTION("""COMPUTED_VALUE"""),155.14)</f>
        <v>155.13999999999999</v>
      </c>
      <c r="F35">
        <f t="shared" ca="1" si="0"/>
        <v>-5.1088178195565544E-3</v>
      </c>
      <c r="G35">
        <f t="shared" ca="1" si="1"/>
        <v>-4.4802123952543457E-3</v>
      </c>
      <c r="H35">
        <f t="shared" ca="1" si="2"/>
        <v>-1.6036754507628491E-3</v>
      </c>
      <c r="I35">
        <f t="shared" ca="1" si="3"/>
        <v>-1.5921344751030887E-2</v>
      </c>
      <c r="O35">
        <f t="shared" ca="1" si="4"/>
        <v>1.0352178188873817</v>
      </c>
      <c r="P35">
        <f t="shared" ca="1" si="5"/>
        <v>0.91497636114076608</v>
      </c>
      <c r="Q35">
        <f t="shared" ca="1" si="6"/>
        <v>0.96119340705195078</v>
      </c>
      <c r="R35">
        <f t="shared" ca="1" si="7"/>
        <v>1.196883197037494</v>
      </c>
    </row>
    <row r="36" spans="1:18" x14ac:dyDescent="0.3">
      <c r="A36" s="2">
        <f ca="1">IFERROR(__xludf.DUMMYFUNCTION("""COMPUTED_VALUE"""),44277.6666666666)</f>
        <v>44277.666666666599</v>
      </c>
      <c r="B36" s="1">
        <f ca="1">IFERROR(__xludf.DUMMYFUNCTION("""COMPUTED_VALUE"""),392.59)</f>
        <v>392.59</v>
      </c>
      <c r="C36" s="1">
        <f ca="1">IFERROR(__xludf.DUMMYFUNCTION("""COMPUTED_VALUE"""),123.39)</f>
        <v>123.39</v>
      </c>
      <c r="D36" s="1">
        <f ca="1">IFERROR(__xludf.DUMMYFUNCTION("""COMPUTED_VALUE"""),235.99)</f>
        <v>235.99</v>
      </c>
      <c r="E36" s="1">
        <f ca="1">IFERROR(__xludf.DUMMYFUNCTION("""COMPUTED_VALUE"""),150.97)</f>
        <v>150.97</v>
      </c>
      <c r="F36">
        <f t="shared" ca="1" si="0"/>
        <v>7.9850056485569389E-3</v>
      </c>
      <c r="G36">
        <f t="shared" ca="1" si="1"/>
        <v>2.8335694641220151E-2</v>
      </c>
      <c r="H36">
        <f t="shared" ca="1" si="2"/>
        <v>2.4484480138919101E-2</v>
      </c>
      <c r="I36">
        <f t="shared" ca="1" si="3"/>
        <v>-2.6878948046925279E-2</v>
      </c>
      <c r="O36">
        <f t="shared" ca="1" si="4"/>
        <v>1.0434840390186841</v>
      </c>
      <c r="P36">
        <f t="shared" ca="1" si="5"/>
        <v>0.94090285191398559</v>
      </c>
      <c r="Q36">
        <f t="shared" ca="1" si="6"/>
        <v>0.98472772793657415</v>
      </c>
      <c r="R36">
        <f t="shared" ca="1" si="7"/>
        <v>1.1647122357660855</v>
      </c>
    </row>
    <row r="37" spans="1:18" x14ac:dyDescent="0.3">
      <c r="A37" s="2">
        <f ca="1">IFERROR(__xludf.DUMMYFUNCTION("""COMPUTED_VALUE"""),44278.6666666666)</f>
        <v>44278.666666666599</v>
      </c>
      <c r="B37" s="1">
        <f ca="1">IFERROR(__xludf.DUMMYFUNCTION("""COMPUTED_VALUE"""),389.5)</f>
        <v>389.5</v>
      </c>
      <c r="C37" s="1">
        <f ca="1">IFERROR(__xludf.DUMMYFUNCTION("""COMPUTED_VALUE"""),122.54)</f>
        <v>122.54</v>
      </c>
      <c r="D37" s="1">
        <f ca="1">IFERROR(__xludf.DUMMYFUNCTION("""COMPUTED_VALUE"""),237.58)</f>
        <v>237.58</v>
      </c>
      <c r="E37" s="1">
        <f ca="1">IFERROR(__xludf.DUMMYFUNCTION("""COMPUTED_VALUE"""),149.46)</f>
        <v>149.46</v>
      </c>
      <c r="F37">
        <f t="shared" ca="1" si="0"/>
        <v>-7.8708066940064072E-3</v>
      </c>
      <c r="G37">
        <f t="shared" ca="1" si="1"/>
        <v>-6.8887268011994032E-3</v>
      </c>
      <c r="H37">
        <f t="shared" ca="1" si="2"/>
        <v>6.7375736260011157E-3</v>
      </c>
      <c r="I37">
        <f t="shared" ca="1" si="3"/>
        <v>-1.0001987149764793E-2</v>
      </c>
      <c r="O37">
        <f t="shared" ca="1" si="4"/>
        <v>1.035270977859287</v>
      </c>
      <c r="P37">
        <f t="shared" ca="1" si="5"/>
        <v>0.93442122922068072</v>
      </c>
      <c r="Q37">
        <f t="shared" ca="1" si="6"/>
        <v>0.99136240350511162</v>
      </c>
      <c r="R37">
        <f t="shared" ca="1" si="7"/>
        <v>1.1530627989507793</v>
      </c>
    </row>
    <row r="38" spans="1:18" x14ac:dyDescent="0.3">
      <c r="A38" s="2">
        <f ca="1">IFERROR(__xludf.DUMMYFUNCTION("""COMPUTED_VALUE"""),44279.6666666666)</f>
        <v>44279.666666666599</v>
      </c>
      <c r="B38" s="1">
        <f ca="1">IFERROR(__xludf.DUMMYFUNCTION("""COMPUTED_VALUE"""),387.52)</f>
        <v>387.52</v>
      </c>
      <c r="C38" s="1">
        <f ca="1">IFERROR(__xludf.DUMMYFUNCTION("""COMPUTED_VALUE"""),120.09)</f>
        <v>120.09</v>
      </c>
      <c r="D38" s="1">
        <f ca="1">IFERROR(__xludf.DUMMYFUNCTION("""COMPUTED_VALUE"""),235.46)</f>
        <v>235.46</v>
      </c>
      <c r="E38" s="1">
        <f ca="1">IFERROR(__xludf.DUMMYFUNCTION("""COMPUTED_VALUE"""),150.62)</f>
        <v>150.62</v>
      </c>
      <c r="F38">
        <f t="shared" ca="1" si="0"/>
        <v>-5.0834403080873385E-3</v>
      </c>
      <c r="G38">
        <f t="shared" ca="1" si="1"/>
        <v>-1.9993471519503859E-2</v>
      </c>
      <c r="H38">
        <f t="shared" ca="1" si="2"/>
        <v>-8.9233100429329248E-3</v>
      </c>
      <c r="I38">
        <f t="shared" ca="1" si="3"/>
        <v>7.7612739194433062E-3</v>
      </c>
      <c r="O38">
        <f t="shared" ca="1" si="4"/>
        <v>1.030008239640644</v>
      </c>
      <c r="P38">
        <f t="shared" ca="1" si="5"/>
        <v>0.91573890498703725</v>
      </c>
      <c r="Q38">
        <f t="shared" ca="1" si="6"/>
        <v>0.98251616941372832</v>
      </c>
      <c r="R38">
        <f t="shared" ca="1" si="7"/>
        <v>1.1620120351797563</v>
      </c>
    </row>
    <row r="39" spans="1:18" x14ac:dyDescent="0.3">
      <c r="A39" s="2">
        <f ca="1">IFERROR(__xludf.DUMMYFUNCTION("""COMPUTED_VALUE"""),44280.6666666666)</f>
        <v>44280.666666666599</v>
      </c>
      <c r="B39" s="1">
        <f ca="1">IFERROR(__xludf.DUMMYFUNCTION("""COMPUTED_VALUE"""),389.7)</f>
        <v>389.7</v>
      </c>
      <c r="C39" s="1">
        <f ca="1">IFERROR(__xludf.DUMMYFUNCTION("""COMPUTED_VALUE"""),120.59)</f>
        <v>120.59</v>
      </c>
      <c r="D39" s="1">
        <f ca="1">IFERROR(__xludf.DUMMYFUNCTION("""COMPUTED_VALUE"""),232.34)</f>
        <v>232.34</v>
      </c>
      <c r="E39" s="1">
        <f ca="1">IFERROR(__xludf.DUMMYFUNCTION("""COMPUTED_VALUE"""),152.55)</f>
        <v>152.55000000000001</v>
      </c>
      <c r="F39">
        <f t="shared" ca="1" si="0"/>
        <v>5.625516102394733E-3</v>
      </c>
      <c r="G39">
        <f t="shared" ca="1" si="1"/>
        <v>4.1635440086601715E-3</v>
      </c>
      <c r="H39">
        <f t="shared" ca="1" si="2"/>
        <v>-1.3250658285908453E-2</v>
      </c>
      <c r="I39">
        <f t="shared" ca="1" si="3"/>
        <v>1.2813703359447662E-2</v>
      </c>
      <c r="O39">
        <f t="shared" ca="1" si="4"/>
        <v>1.0358025675783418</v>
      </c>
      <c r="P39">
        <f t="shared" ca="1" si="5"/>
        <v>0.91955162421839309</v>
      </c>
      <c r="Q39">
        <f t="shared" ca="1" si="6"/>
        <v>0.96949718339244728</v>
      </c>
      <c r="R39">
        <f t="shared" ca="1" si="7"/>
        <v>1.1769017126986578</v>
      </c>
    </row>
    <row r="40" spans="1:18" x14ac:dyDescent="0.3">
      <c r="A40" s="2">
        <f ca="1">IFERROR(__xludf.DUMMYFUNCTION("""COMPUTED_VALUE"""),44281.6666666666)</f>
        <v>44281.666666666599</v>
      </c>
      <c r="B40" s="1">
        <f ca="1">IFERROR(__xludf.DUMMYFUNCTION("""COMPUTED_VALUE"""),395.98)</f>
        <v>395.98</v>
      </c>
      <c r="C40" s="1">
        <f ca="1">IFERROR(__xludf.DUMMYFUNCTION("""COMPUTED_VALUE"""),121.21)</f>
        <v>121.21</v>
      </c>
      <c r="D40" s="1">
        <f ca="1">IFERROR(__xludf.DUMMYFUNCTION("""COMPUTED_VALUE"""),236.48)</f>
        <v>236.48</v>
      </c>
      <c r="E40" s="1">
        <f ca="1">IFERROR(__xludf.DUMMYFUNCTION("""COMPUTED_VALUE"""),155.09)</f>
        <v>155.09</v>
      </c>
      <c r="F40">
        <f t="shared" ca="1" si="0"/>
        <v>1.6114960225814805E-2</v>
      </c>
      <c r="G40">
        <f t="shared" ca="1" si="1"/>
        <v>5.1413881748071178E-3</v>
      </c>
      <c r="H40">
        <f t="shared" ca="1" si="2"/>
        <v>1.78187139536885E-2</v>
      </c>
      <c r="I40">
        <f t="shared" ca="1" si="3"/>
        <v>1.6650278597181198E-2</v>
      </c>
      <c r="O40">
        <f t="shared" ca="1" si="4"/>
        <v>1.0524944847566635</v>
      </c>
      <c r="P40">
        <f t="shared" ca="1" si="5"/>
        <v>0.92427939606527409</v>
      </c>
      <c r="Q40">
        <f t="shared" ca="1" si="6"/>
        <v>0.98677237638222404</v>
      </c>
      <c r="R40">
        <f t="shared" ca="1" si="7"/>
        <v>1.1964974540965903</v>
      </c>
    </row>
    <row r="41" spans="1:18" x14ac:dyDescent="0.3">
      <c r="A41" s="2">
        <f ca="1">IFERROR(__xludf.DUMMYFUNCTION("""COMPUTED_VALUE"""),44284.6666666666)</f>
        <v>44284.666666666599</v>
      </c>
      <c r="B41" s="1">
        <f ca="1">IFERROR(__xludf.DUMMYFUNCTION("""COMPUTED_VALUE"""),395.78)</f>
        <v>395.78</v>
      </c>
      <c r="C41" s="1">
        <f ca="1">IFERROR(__xludf.DUMMYFUNCTION("""COMPUTED_VALUE"""),121.39)</f>
        <v>121.39</v>
      </c>
      <c r="D41" s="1">
        <f ca="1">IFERROR(__xludf.DUMMYFUNCTION("""COMPUTED_VALUE"""),235.24)</f>
        <v>235.24</v>
      </c>
      <c r="E41" s="1">
        <f ca="1">IFERROR(__xludf.DUMMYFUNCTION("""COMPUTED_VALUE"""),152.68)</f>
        <v>152.68</v>
      </c>
      <c r="F41">
        <f t="shared" ca="1" si="0"/>
        <v>-5.0507601394021284E-4</v>
      </c>
      <c r="G41">
        <f t="shared" ca="1" si="1"/>
        <v>1.4850259879548456E-3</v>
      </c>
      <c r="H41">
        <f t="shared" ca="1" si="2"/>
        <v>-5.2435723951284709E-3</v>
      </c>
      <c r="I41">
        <f t="shared" ca="1" si="3"/>
        <v>-1.5539364240118618E-2</v>
      </c>
      <c r="O41">
        <f t="shared" ca="1" si="4"/>
        <v>1.0519628950376085</v>
      </c>
      <c r="P41">
        <f t="shared" ca="1" si="5"/>
        <v>0.92565197498856222</v>
      </c>
      <c r="Q41">
        <f t="shared" ca="1" si="6"/>
        <v>0.9815981639891509</v>
      </c>
      <c r="R41">
        <f t="shared" ca="1" si="7"/>
        <v>1.1779046443450087</v>
      </c>
    </row>
    <row r="42" spans="1:18" x14ac:dyDescent="0.3">
      <c r="A42" s="2">
        <f ca="1">IFERROR(__xludf.DUMMYFUNCTION("""COMPUTED_VALUE"""),44285.6666666666)</f>
        <v>44285.666666666599</v>
      </c>
      <c r="B42" s="1">
        <f ca="1">IFERROR(__xludf.DUMMYFUNCTION("""COMPUTED_VALUE"""),394.73)</f>
        <v>394.73</v>
      </c>
      <c r="C42" s="1">
        <f ca="1">IFERROR(__xludf.DUMMYFUNCTION("""COMPUTED_VALUE"""),119.9)</f>
        <v>119.9</v>
      </c>
      <c r="D42" s="1">
        <f ca="1">IFERROR(__xludf.DUMMYFUNCTION("""COMPUTED_VALUE"""),231.85)</f>
        <v>231.85</v>
      </c>
      <c r="E42" s="1">
        <f ca="1">IFERROR(__xludf.DUMMYFUNCTION("""COMPUTED_VALUE"""),154.48)</f>
        <v>154.47999999999999</v>
      </c>
      <c r="F42">
        <f t="shared" ca="1" si="0"/>
        <v>-2.6529890343118768E-3</v>
      </c>
      <c r="G42">
        <f t="shared" ca="1" si="1"/>
        <v>-1.2274487190048561E-2</v>
      </c>
      <c r="H42">
        <f t="shared" ca="1" si="2"/>
        <v>-1.4410814487332148E-2</v>
      </c>
      <c r="I42">
        <f t="shared" ca="1" si="3"/>
        <v>1.1789363374377672E-2</v>
      </c>
      <c r="O42">
        <f t="shared" ca="1" si="4"/>
        <v>1.0491720490125709</v>
      </c>
      <c r="P42">
        <f t="shared" ca="1" si="5"/>
        <v>0.91429007167912202</v>
      </c>
      <c r="Q42">
        <f t="shared" ca="1" si="6"/>
        <v>0.96745253494679739</v>
      </c>
      <c r="R42">
        <f t="shared" ca="1" si="7"/>
        <v>1.1917913902175592</v>
      </c>
    </row>
    <row r="43" spans="1:18" x14ac:dyDescent="0.3">
      <c r="A43" s="2">
        <f ca="1">IFERROR(__xludf.DUMMYFUNCTION("""COMPUTED_VALUE"""),44286.6666666666)</f>
        <v>44286.666666666599</v>
      </c>
      <c r="B43" s="1">
        <f ca="1">IFERROR(__xludf.DUMMYFUNCTION("""COMPUTED_VALUE"""),396.33)</f>
        <v>396.33</v>
      </c>
      <c r="C43" s="1">
        <f ca="1">IFERROR(__xludf.DUMMYFUNCTION("""COMPUTED_VALUE"""),122.15)</f>
        <v>122.15</v>
      </c>
      <c r="D43" s="1">
        <f ca="1">IFERROR(__xludf.DUMMYFUNCTION("""COMPUTED_VALUE"""),235.77)</f>
        <v>235.77</v>
      </c>
      <c r="E43" s="1">
        <f ca="1">IFERROR(__xludf.DUMMYFUNCTION("""COMPUTED_VALUE"""),152.23)</f>
        <v>152.22999999999999</v>
      </c>
      <c r="F43">
        <f t="shared" ca="1" si="0"/>
        <v>4.0534035923288471E-3</v>
      </c>
      <c r="G43">
        <f t="shared" ca="1" si="1"/>
        <v>1.8765638031693076E-2</v>
      </c>
      <c r="H43">
        <f t="shared" ca="1" si="2"/>
        <v>1.6907483286607791E-2</v>
      </c>
      <c r="I43">
        <f t="shared" ca="1" si="3"/>
        <v>-1.4564992232004144E-2</v>
      </c>
      <c r="O43">
        <f t="shared" ca="1" si="4"/>
        <v>1.0534247667650094</v>
      </c>
      <c r="P43">
        <f t="shared" ca="1" si="5"/>
        <v>0.93144730822022326</v>
      </c>
      <c r="Q43">
        <f t="shared" ca="1" si="6"/>
        <v>0.98380972251199672</v>
      </c>
      <c r="R43">
        <f t="shared" ca="1" si="7"/>
        <v>1.1744329578768711</v>
      </c>
    </row>
    <row r="44" spans="1:18" x14ac:dyDescent="0.3">
      <c r="A44" s="2">
        <f ca="1">IFERROR(__xludf.DUMMYFUNCTION("""COMPUTED_VALUE"""),44287.6666666666)</f>
        <v>44287.666666666599</v>
      </c>
      <c r="B44" s="1">
        <f ca="1">IFERROR(__xludf.DUMMYFUNCTION("""COMPUTED_VALUE"""),400.61)</f>
        <v>400.61</v>
      </c>
      <c r="C44" s="1">
        <f ca="1">IFERROR(__xludf.DUMMYFUNCTION("""COMPUTED_VALUE"""),123)</f>
        <v>123</v>
      </c>
      <c r="D44" s="1">
        <f ca="1">IFERROR(__xludf.DUMMYFUNCTION("""COMPUTED_VALUE"""),242.35)</f>
        <v>242.35</v>
      </c>
      <c r="E44" s="1">
        <f ca="1">IFERROR(__xludf.DUMMYFUNCTION("""COMPUTED_VALUE"""),153.71)</f>
        <v>153.71</v>
      </c>
      <c r="F44">
        <f t="shared" ca="1" si="0"/>
        <v>1.0799081573436353E-2</v>
      </c>
      <c r="G44">
        <f t="shared" ca="1" si="1"/>
        <v>6.9586573884567685E-3</v>
      </c>
      <c r="H44">
        <f t="shared" ca="1" si="2"/>
        <v>2.7908554947618371E-2</v>
      </c>
      <c r="I44">
        <f t="shared" ca="1" si="3"/>
        <v>9.7221309860081335E-3</v>
      </c>
      <c r="O44">
        <f t="shared" ca="1" si="4"/>
        <v>1.0648007867527831</v>
      </c>
      <c r="P44">
        <f t="shared" ca="1" si="5"/>
        <v>0.93792893091352814</v>
      </c>
      <c r="Q44">
        <f t="shared" ca="1" si="6"/>
        <v>1.0112664302107239</v>
      </c>
      <c r="R44">
        <f t="shared" ca="1" si="7"/>
        <v>1.185850948927635</v>
      </c>
    </row>
    <row r="45" spans="1:18" x14ac:dyDescent="0.3">
      <c r="A45" s="2">
        <f ca="1">IFERROR(__xludf.DUMMYFUNCTION("""COMPUTED_VALUE"""),44291.6666666666)</f>
        <v>44291.666666666599</v>
      </c>
      <c r="B45" s="1">
        <f ca="1">IFERROR(__xludf.DUMMYFUNCTION("""COMPUTED_VALUE"""),406.36)</f>
        <v>406.36</v>
      </c>
      <c r="C45" s="1">
        <f ca="1">IFERROR(__xludf.DUMMYFUNCTION("""COMPUTED_VALUE"""),125.9)</f>
        <v>125.9</v>
      </c>
      <c r="D45" s="1">
        <f ca="1">IFERROR(__xludf.DUMMYFUNCTION("""COMPUTED_VALUE"""),249.07)</f>
        <v>249.07</v>
      </c>
      <c r="E45" s="1">
        <f ca="1">IFERROR(__xludf.DUMMYFUNCTION("""COMPUTED_VALUE"""),153.62)</f>
        <v>153.62</v>
      </c>
      <c r="F45">
        <f t="shared" ca="1" si="0"/>
        <v>1.4353111504954942E-2</v>
      </c>
      <c r="G45">
        <f t="shared" ca="1" si="1"/>
        <v>2.357723577235777E-2</v>
      </c>
      <c r="H45">
        <f t="shared" ca="1" si="2"/>
        <v>2.7728491850629252E-2</v>
      </c>
      <c r="I45">
        <f t="shared" ca="1" si="3"/>
        <v>-5.8551818359250149E-4</v>
      </c>
      <c r="O45">
        <f t="shared" ca="1" si="4"/>
        <v>1.0800839911756095</v>
      </c>
      <c r="P45">
        <f t="shared" ca="1" si="5"/>
        <v>0.96004270245539192</v>
      </c>
      <c r="Q45">
        <f t="shared" ca="1" si="6"/>
        <v>1.039307323179637</v>
      </c>
      <c r="R45">
        <f t="shared" ca="1" si="7"/>
        <v>1.1851566116340073</v>
      </c>
    </row>
    <row r="46" spans="1:18" x14ac:dyDescent="0.3">
      <c r="A46" s="2">
        <f ca="1">IFERROR(__xludf.DUMMYFUNCTION("""COMPUTED_VALUE"""),44292.6666666666)</f>
        <v>44292.666666666599</v>
      </c>
      <c r="B46" s="1">
        <f ca="1">IFERROR(__xludf.DUMMYFUNCTION("""COMPUTED_VALUE"""),406.12)</f>
        <v>406.12</v>
      </c>
      <c r="C46" s="1">
        <f ca="1">IFERROR(__xludf.DUMMYFUNCTION("""COMPUTED_VALUE"""),126.21)</f>
        <v>126.21</v>
      </c>
      <c r="D46" s="1">
        <f ca="1">IFERROR(__xludf.DUMMYFUNCTION("""COMPUTED_VALUE"""),247.86)</f>
        <v>247.86</v>
      </c>
      <c r="E46" s="1">
        <f ca="1">IFERROR(__xludf.DUMMYFUNCTION("""COMPUTED_VALUE"""),152.54)</f>
        <v>152.54</v>
      </c>
      <c r="F46">
        <f t="shared" ca="1" si="0"/>
        <v>-5.9060931194017396E-4</v>
      </c>
      <c r="G46">
        <f t="shared" ca="1" si="1"/>
        <v>2.4622716441619385E-3</v>
      </c>
      <c r="H46">
        <f t="shared" ca="1" si="2"/>
        <v>-4.8580720279438692E-3</v>
      </c>
      <c r="I46">
        <f t="shared" ca="1" si="3"/>
        <v>-7.0303345918501011E-3</v>
      </c>
      <c r="O46">
        <f t="shared" ca="1" si="4"/>
        <v>1.0794460835127435</v>
      </c>
      <c r="P46">
        <f t="shared" ca="1" si="5"/>
        <v>0.96240658837883253</v>
      </c>
      <c r="Q46">
        <f t="shared" ca="1" si="6"/>
        <v>1.0342582933444608</v>
      </c>
      <c r="R46">
        <f t="shared" ca="1" si="7"/>
        <v>1.1768245641104769</v>
      </c>
    </row>
    <row r="47" spans="1:18" x14ac:dyDescent="0.3">
      <c r="A47" s="2">
        <f ca="1">IFERROR(__xludf.DUMMYFUNCTION("""COMPUTED_VALUE"""),44293.6666666666)</f>
        <v>44293.666666666599</v>
      </c>
      <c r="B47" s="1">
        <f ca="1">IFERROR(__xludf.DUMMYFUNCTION("""COMPUTED_VALUE"""),406.59)</f>
        <v>406.59</v>
      </c>
      <c r="C47" s="1">
        <f ca="1">IFERROR(__xludf.DUMMYFUNCTION("""COMPUTED_VALUE"""),127.9)</f>
        <v>127.9</v>
      </c>
      <c r="D47" s="1">
        <f ca="1">IFERROR(__xludf.DUMMYFUNCTION("""COMPUTED_VALUE"""),249.9)</f>
        <v>249.9</v>
      </c>
      <c r="E47" s="1">
        <f ca="1">IFERROR(__xludf.DUMMYFUNCTION("""COMPUTED_VALUE"""),154.93)</f>
        <v>154.93</v>
      </c>
      <c r="F47">
        <f t="shared" ca="1" si="0"/>
        <v>1.1572934108144647E-3</v>
      </c>
      <c r="G47">
        <f t="shared" ca="1" si="1"/>
        <v>1.3390381110847097E-2</v>
      </c>
      <c r="H47">
        <f t="shared" ca="1" si="2"/>
        <v>8.2304526748970871E-3</v>
      </c>
      <c r="I47">
        <f t="shared" ca="1" si="3"/>
        <v>1.5668021502556802E-2</v>
      </c>
      <c r="O47">
        <f t="shared" ca="1" si="4"/>
        <v>1.0806953193525222</v>
      </c>
      <c r="P47">
        <f t="shared" ca="1" si="5"/>
        <v>0.97529357938081529</v>
      </c>
      <c r="Q47">
        <f t="shared" ca="1" si="6"/>
        <v>1.0427707072814523</v>
      </c>
      <c r="R47">
        <f t="shared" ca="1" si="7"/>
        <v>1.1952630766856969</v>
      </c>
    </row>
    <row r="48" spans="1:18" x14ac:dyDescent="0.3">
      <c r="A48" s="2">
        <f ca="1">IFERROR(__xludf.DUMMYFUNCTION("""COMPUTED_VALUE"""),44294.6666666666)</f>
        <v>44294.666666666599</v>
      </c>
      <c r="B48" s="1">
        <f ca="1">IFERROR(__xludf.DUMMYFUNCTION("""COMPUTED_VALUE"""),408.52)</f>
        <v>408.52</v>
      </c>
      <c r="C48" s="1">
        <f ca="1">IFERROR(__xludf.DUMMYFUNCTION("""COMPUTED_VALUE"""),130.36)</f>
        <v>130.36000000000001</v>
      </c>
      <c r="D48" s="1">
        <f ca="1">IFERROR(__xludf.DUMMYFUNCTION("""COMPUTED_VALUE"""),253.25)</f>
        <v>253.25</v>
      </c>
      <c r="E48" s="1">
        <f ca="1">IFERROR(__xludf.DUMMYFUNCTION("""COMPUTED_VALUE"""),155.12)</f>
        <v>155.12</v>
      </c>
      <c r="F48">
        <f t="shared" ca="1" si="0"/>
        <v>4.746796527214164E-3</v>
      </c>
      <c r="G48">
        <f t="shared" ca="1" si="1"/>
        <v>1.9233776387803034E-2</v>
      </c>
      <c r="H48">
        <f t="shared" ca="1" si="2"/>
        <v>1.340536214485792E-2</v>
      </c>
      <c r="I48">
        <f t="shared" ca="1" si="3"/>
        <v>1.2263602917446442E-3</v>
      </c>
      <c r="O48">
        <f t="shared" ca="1" si="4"/>
        <v>1.0858251601414013</v>
      </c>
      <c r="P48">
        <f t="shared" ca="1" si="5"/>
        <v>0.99405215799908586</v>
      </c>
      <c r="Q48">
        <f t="shared" ca="1" si="6"/>
        <v>1.0567494262466099</v>
      </c>
      <c r="R48">
        <f t="shared" ca="1" si="7"/>
        <v>1.1967288998611327</v>
      </c>
    </row>
    <row r="49" spans="1:18" x14ac:dyDescent="0.3">
      <c r="A49" s="2">
        <f ca="1">IFERROR(__xludf.DUMMYFUNCTION("""COMPUTED_VALUE"""),44295.6666666666)</f>
        <v>44295.666666666599</v>
      </c>
      <c r="B49" s="1">
        <f ca="1">IFERROR(__xludf.DUMMYFUNCTION("""COMPUTED_VALUE"""),411.49)</f>
        <v>411.49</v>
      </c>
      <c r="C49" s="1">
        <f ca="1">IFERROR(__xludf.DUMMYFUNCTION("""COMPUTED_VALUE"""),133)</f>
        <v>133</v>
      </c>
      <c r="D49" s="1">
        <f ca="1">IFERROR(__xludf.DUMMYFUNCTION("""COMPUTED_VALUE"""),255.85)</f>
        <v>255.85</v>
      </c>
      <c r="E49" s="1">
        <f ca="1">IFERROR(__xludf.DUMMYFUNCTION("""COMPUTED_VALUE"""),156.28)</f>
        <v>156.28</v>
      </c>
      <c r="F49">
        <f t="shared" ca="1" si="0"/>
        <v>7.2701458924900311E-3</v>
      </c>
      <c r="G49">
        <f t="shared" ca="1" si="1"/>
        <v>2.0251610923596088E-2</v>
      </c>
      <c r="H49">
        <f t="shared" ca="1" si="2"/>
        <v>1.0266535044422485E-2</v>
      </c>
      <c r="I49">
        <f t="shared" ca="1" si="3"/>
        <v>7.4780814853016801E-3</v>
      </c>
      <c r="O49">
        <f t="shared" ca="1" si="4"/>
        <v>1.0937192674693657</v>
      </c>
      <c r="P49">
        <f t="shared" ca="1" si="5"/>
        <v>1.0141833155406446</v>
      </c>
      <c r="Q49">
        <f t="shared" ca="1" si="6"/>
        <v>1.067598581264344</v>
      </c>
      <c r="R49">
        <f t="shared" ca="1" si="7"/>
        <v>1.2056781360901097</v>
      </c>
    </row>
    <row r="50" spans="1:18" x14ac:dyDescent="0.3">
      <c r="A50" s="2">
        <f ca="1">IFERROR(__xludf.DUMMYFUNCTION("""COMPUTED_VALUE"""),44298.6666666666)</f>
        <v>44298.666666666599</v>
      </c>
      <c r="B50" s="1">
        <f ca="1">IFERROR(__xludf.DUMMYFUNCTION("""COMPUTED_VALUE"""),411.64)</f>
        <v>411.64</v>
      </c>
      <c r="C50" s="1">
        <f ca="1">IFERROR(__xludf.DUMMYFUNCTION("""COMPUTED_VALUE"""),131.24)</f>
        <v>131.24</v>
      </c>
      <c r="D50" s="1">
        <f ca="1">IFERROR(__xludf.DUMMYFUNCTION("""COMPUTED_VALUE"""),255.91)</f>
        <v>255.91</v>
      </c>
      <c r="E50" s="1">
        <f ca="1">IFERROR(__xludf.DUMMYFUNCTION("""COMPUTED_VALUE"""),155.95)</f>
        <v>155.94999999999999</v>
      </c>
      <c r="F50">
        <f t="shared" ca="1" si="0"/>
        <v>3.6452890714228114E-4</v>
      </c>
      <c r="G50">
        <f t="shared" ca="1" si="1"/>
        <v>-1.3233082706766848E-2</v>
      </c>
      <c r="H50">
        <f t="shared" ca="1" si="2"/>
        <v>2.3451240961501769E-4</v>
      </c>
      <c r="I50">
        <f t="shared" ca="1" si="3"/>
        <v>-2.1115945738419024E-3</v>
      </c>
      <c r="O50">
        <f t="shared" ca="1" si="4"/>
        <v>1.0941179597586568</v>
      </c>
      <c r="P50">
        <f t="shared" ca="1" si="5"/>
        <v>1.0007625438462722</v>
      </c>
      <c r="Q50">
        <f t="shared" ca="1" si="6"/>
        <v>1.0678489463801379</v>
      </c>
      <c r="R50">
        <f t="shared" ca="1" si="7"/>
        <v>1.2031322326801419</v>
      </c>
    </row>
    <row r="51" spans="1:18" x14ac:dyDescent="0.3">
      <c r="A51" s="2">
        <f ca="1">IFERROR(__xludf.DUMMYFUNCTION("""COMPUTED_VALUE"""),44299.6666666666)</f>
        <v>44299.666666666599</v>
      </c>
      <c r="B51" s="1">
        <f ca="1">IFERROR(__xludf.DUMMYFUNCTION("""COMPUTED_VALUE"""),412.86)</f>
        <v>412.86</v>
      </c>
      <c r="C51" s="1">
        <f ca="1">IFERROR(__xludf.DUMMYFUNCTION("""COMPUTED_VALUE"""),134.43)</f>
        <v>134.43</v>
      </c>
      <c r="D51" s="1">
        <f ca="1">IFERROR(__xludf.DUMMYFUNCTION("""COMPUTED_VALUE"""),258.49)</f>
        <v>258.49</v>
      </c>
      <c r="E51" s="1">
        <f ca="1">IFERROR(__xludf.DUMMYFUNCTION("""COMPUTED_VALUE"""),154.09)</f>
        <v>154.09</v>
      </c>
      <c r="F51">
        <f t="shared" ca="1" si="0"/>
        <v>2.9637547371490314E-3</v>
      </c>
      <c r="G51">
        <f t="shared" ca="1" si="1"/>
        <v>2.4306613837244723E-2</v>
      </c>
      <c r="H51">
        <f t="shared" ca="1" si="2"/>
        <v>1.0081669336876294E-2</v>
      </c>
      <c r="I51">
        <f t="shared" ca="1" si="3"/>
        <v>-1.1926899647322766E-2</v>
      </c>
      <c r="O51">
        <f t="shared" ca="1" si="4"/>
        <v>1.0973606570448913</v>
      </c>
      <c r="P51">
        <f t="shared" ca="1" si="5"/>
        <v>1.0250876925423222</v>
      </c>
      <c r="Q51">
        <f t="shared" ca="1" si="6"/>
        <v>1.0786146463592743</v>
      </c>
      <c r="R51">
        <f t="shared" ca="1" si="7"/>
        <v>1.1887825952785065</v>
      </c>
    </row>
    <row r="52" spans="1:18" x14ac:dyDescent="0.3">
      <c r="A52" s="2">
        <f ca="1">IFERROR(__xludf.DUMMYFUNCTION("""COMPUTED_VALUE"""),44300.6666666666)</f>
        <v>44300.666666666599</v>
      </c>
      <c r="B52" s="1">
        <f ca="1">IFERROR(__xludf.DUMMYFUNCTION("""COMPUTED_VALUE"""),411.45)</f>
        <v>411.45</v>
      </c>
      <c r="C52" s="1">
        <f ca="1">IFERROR(__xludf.DUMMYFUNCTION("""COMPUTED_VALUE"""),132.03)</f>
        <v>132.03</v>
      </c>
      <c r="D52" s="1">
        <f ca="1">IFERROR(__xludf.DUMMYFUNCTION("""COMPUTED_VALUE"""),255.59)</f>
        <v>255.59</v>
      </c>
      <c r="E52" s="1">
        <f ca="1">IFERROR(__xludf.DUMMYFUNCTION("""COMPUTED_VALUE"""),151.21)</f>
        <v>151.21</v>
      </c>
      <c r="F52">
        <f t="shared" ca="1" si="0"/>
        <v>-3.4152012788839438E-3</v>
      </c>
      <c r="G52">
        <f t="shared" ca="1" si="1"/>
        <v>-1.7853157777281897E-2</v>
      </c>
      <c r="H52">
        <f t="shared" ca="1" si="2"/>
        <v>-1.1219002669348933E-2</v>
      </c>
      <c r="I52">
        <f t="shared" ca="1" si="3"/>
        <v>-1.8690375754429198E-2</v>
      </c>
      <c r="O52">
        <f t="shared" ca="1" si="4"/>
        <v>1.0936129495255547</v>
      </c>
      <c r="P52">
        <f t="shared" ca="1" si="5"/>
        <v>1.0067866402318144</v>
      </c>
      <c r="Q52">
        <f t="shared" ca="1" si="6"/>
        <v>1.0665136657625707</v>
      </c>
      <c r="R52">
        <f t="shared" ca="1" si="7"/>
        <v>1.1665638018824256</v>
      </c>
    </row>
    <row r="53" spans="1:18" x14ac:dyDescent="0.3">
      <c r="A53" s="2">
        <f ca="1">IFERROR(__xludf.DUMMYFUNCTION("""COMPUTED_VALUE"""),44301.6666666666)</f>
        <v>44301.666666666599</v>
      </c>
      <c r="B53" s="1">
        <f ca="1">IFERROR(__xludf.DUMMYFUNCTION("""COMPUTED_VALUE"""),415.87)</f>
        <v>415.87</v>
      </c>
      <c r="C53" s="1">
        <f ca="1">IFERROR(__xludf.DUMMYFUNCTION("""COMPUTED_VALUE"""),134.5)</f>
        <v>134.5</v>
      </c>
      <c r="D53" s="1">
        <f ca="1">IFERROR(__xludf.DUMMYFUNCTION("""COMPUTED_VALUE"""),259.5)</f>
        <v>259.5</v>
      </c>
      <c r="E53" s="1">
        <f ca="1">IFERROR(__xludf.DUMMYFUNCTION("""COMPUTED_VALUE"""),152.17)</f>
        <v>152.16999999999999</v>
      </c>
      <c r="F53">
        <f t="shared" ca="1" si="0"/>
        <v>1.0742496050552962E-2</v>
      </c>
      <c r="G53">
        <f t="shared" ca="1" si="1"/>
        <v>1.8707869423615835E-2</v>
      </c>
      <c r="H53">
        <f t="shared" ca="1" si="2"/>
        <v>1.5297938103994666E-2</v>
      </c>
      <c r="I53">
        <f t="shared" ca="1" si="3"/>
        <v>6.3487864559220921E-3</v>
      </c>
      <c r="O53">
        <f t="shared" ca="1" si="4"/>
        <v>1.1053610823166664</v>
      </c>
      <c r="P53">
        <f t="shared" ca="1" si="5"/>
        <v>1.025621473234712</v>
      </c>
      <c r="Q53">
        <f t="shared" ca="1" si="6"/>
        <v>1.0828291258084708</v>
      </c>
      <c r="R53">
        <f t="shared" ca="1" si="7"/>
        <v>1.1739700663477859</v>
      </c>
    </row>
    <row r="54" spans="1:18" x14ac:dyDescent="0.3">
      <c r="A54" s="2">
        <f ca="1">IFERROR(__xludf.DUMMYFUNCTION("""COMPUTED_VALUE"""),44302.6666666666)</f>
        <v>44302.666666666599</v>
      </c>
      <c r="B54" s="1">
        <f ca="1">IFERROR(__xludf.DUMMYFUNCTION("""COMPUTED_VALUE"""),417.26)</f>
        <v>417.26</v>
      </c>
      <c r="C54" s="1">
        <f ca="1">IFERROR(__xludf.DUMMYFUNCTION("""COMPUTED_VALUE"""),134.16)</f>
        <v>134.16</v>
      </c>
      <c r="D54" s="1">
        <f ca="1">IFERROR(__xludf.DUMMYFUNCTION("""COMPUTED_VALUE"""),260.74)</f>
        <v>260.74</v>
      </c>
      <c r="E54" s="1">
        <f ca="1">IFERROR(__xludf.DUMMYFUNCTION("""COMPUTED_VALUE"""),153.3)</f>
        <v>153.30000000000001</v>
      </c>
      <c r="F54">
        <f t="shared" ca="1" si="0"/>
        <v>3.342390650924535E-3</v>
      </c>
      <c r="G54">
        <f t="shared" ca="1" si="1"/>
        <v>-2.5278810408922185E-3</v>
      </c>
      <c r="H54">
        <f t="shared" ca="1" si="2"/>
        <v>4.7784200385356801E-3</v>
      </c>
      <c r="I54">
        <f t="shared" ca="1" si="3"/>
        <v>7.4259052375634091E-3</v>
      </c>
      <c r="O54">
        <f t="shared" ca="1" si="4"/>
        <v>1.1090556308640973</v>
      </c>
      <c r="P54">
        <f t="shared" ca="1" si="5"/>
        <v>1.0230288241573899</v>
      </c>
      <c r="Q54">
        <f t="shared" ca="1" si="6"/>
        <v>1.0880033382015442</v>
      </c>
      <c r="R54">
        <f t="shared" ca="1" si="7"/>
        <v>1.1826878568122206</v>
      </c>
    </row>
    <row r="55" spans="1:18" x14ac:dyDescent="0.3">
      <c r="A55" s="2">
        <f ca="1">IFERROR(__xludf.DUMMYFUNCTION("""COMPUTED_VALUE"""),44305.6666666666)</f>
        <v>44305.666666666599</v>
      </c>
      <c r="B55" s="1">
        <f ca="1">IFERROR(__xludf.DUMMYFUNCTION("""COMPUTED_VALUE"""),415.21)</f>
        <v>415.21</v>
      </c>
      <c r="C55" s="1">
        <f ca="1">IFERROR(__xludf.DUMMYFUNCTION("""COMPUTED_VALUE"""),134.84)</f>
        <v>134.84</v>
      </c>
      <c r="D55" s="1">
        <f ca="1">IFERROR(__xludf.DUMMYFUNCTION("""COMPUTED_VALUE"""),258.74)</f>
        <v>258.74</v>
      </c>
      <c r="E55" s="1">
        <f ca="1">IFERROR(__xludf.DUMMYFUNCTION("""COMPUTED_VALUE"""),152.65)</f>
        <v>152.65</v>
      </c>
      <c r="F55">
        <f t="shared" ca="1" si="0"/>
        <v>-4.9130038824713885E-3</v>
      </c>
      <c r="G55">
        <f t="shared" ca="1" si="1"/>
        <v>5.0685748360167473E-3</v>
      </c>
      <c r="H55">
        <f t="shared" ca="1" si="2"/>
        <v>-7.6704763365805012E-3</v>
      </c>
      <c r="I55">
        <f t="shared" ca="1" si="3"/>
        <v>-4.2400521852577018E-3</v>
      </c>
      <c r="O55">
        <f t="shared" ca="1" si="4"/>
        <v>1.1036068362437852</v>
      </c>
      <c r="P55">
        <f t="shared" ca="1" si="5"/>
        <v>1.0282141223120338</v>
      </c>
      <c r="Q55">
        <f t="shared" ca="1" si="6"/>
        <v>1.0796578343417487</v>
      </c>
      <c r="R55">
        <f t="shared" ca="1" si="7"/>
        <v>1.1776731985804663</v>
      </c>
    </row>
    <row r="56" spans="1:18" x14ac:dyDescent="0.3">
      <c r="A56" s="2">
        <f ca="1">IFERROR(__xludf.DUMMYFUNCTION("""COMPUTED_VALUE"""),44306.6666666666)</f>
        <v>44306.666666666599</v>
      </c>
      <c r="B56" s="1">
        <f ca="1">IFERROR(__xludf.DUMMYFUNCTION("""COMPUTED_VALUE"""),412.17)</f>
        <v>412.17</v>
      </c>
      <c r="C56" s="1">
        <f ca="1">IFERROR(__xludf.DUMMYFUNCTION("""COMPUTED_VALUE"""),133.11)</f>
        <v>133.11000000000001</v>
      </c>
      <c r="D56" s="1">
        <f ca="1">IFERROR(__xludf.DUMMYFUNCTION("""COMPUTED_VALUE"""),258.26)</f>
        <v>258.26</v>
      </c>
      <c r="E56" s="1">
        <f ca="1">IFERROR(__xludf.DUMMYFUNCTION("""COMPUTED_VALUE"""),149.27)</f>
        <v>149.27000000000001</v>
      </c>
      <c r="F56">
        <f t="shared" ca="1" si="0"/>
        <v>-7.3215963006670447E-3</v>
      </c>
      <c r="G56">
        <f t="shared" ca="1" si="1"/>
        <v>-1.2830020765351452E-2</v>
      </c>
      <c r="H56">
        <f t="shared" ca="1" si="2"/>
        <v>-1.8551441601608494E-3</v>
      </c>
      <c r="I56">
        <f t="shared" ca="1" si="3"/>
        <v>-2.214215525712411E-2</v>
      </c>
      <c r="O56">
        <f t="shared" ca="1" si="4"/>
        <v>1.0955266725141517</v>
      </c>
      <c r="P56">
        <f t="shared" ca="1" si="5"/>
        <v>1.0150221137715427</v>
      </c>
      <c r="Q56">
        <f t="shared" ca="1" si="6"/>
        <v>1.0776549134153977</v>
      </c>
      <c r="R56">
        <f t="shared" ca="1" si="7"/>
        <v>1.1515969757753435</v>
      </c>
    </row>
    <row r="57" spans="1:18" x14ac:dyDescent="0.3">
      <c r="A57" s="2">
        <f ca="1">IFERROR(__xludf.DUMMYFUNCTION("""COMPUTED_VALUE"""),44307.6666666666)</f>
        <v>44307.666666666599</v>
      </c>
      <c r="B57" s="1">
        <f ca="1">IFERROR(__xludf.DUMMYFUNCTION("""COMPUTED_VALUE"""),416.07)</f>
        <v>416.07</v>
      </c>
      <c r="C57" s="1">
        <f ca="1">IFERROR(__xludf.DUMMYFUNCTION("""COMPUTED_VALUE"""),133.5)</f>
        <v>133.5</v>
      </c>
      <c r="D57" s="1">
        <f ca="1">IFERROR(__xludf.DUMMYFUNCTION("""COMPUTED_VALUE"""),260.58)</f>
        <v>260.58</v>
      </c>
      <c r="E57" s="1">
        <f ca="1">IFERROR(__xludf.DUMMYFUNCTION("""COMPUTED_VALUE"""),150.54)</f>
        <v>150.54</v>
      </c>
      <c r="F57">
        <f t="shared" ca="1" si="0"/>
        <v>9.4621151466627289E-3</v>
      </c>
      <c r="G57">
        <f t="shared" ca="1" si="1"/>
        <v>2.9299075952218942E-3</v>
      </c>
      <c r="H57">
        <f t="shared" ca="1" si="2"/>
        <v>8.9831952296135411E-3</v>
      </c>
      <c r="I57">
        <f t="shared" ca="1" si="3"/>
        <v>8.5080726200842879E-3</v>
      </c>
      <c r="O57">
        <f t="shared" ca="1" si="4"/>
        <v>1.1058926720357209</v>
      </c>
      <c r="P57">
        <f t="shared" ca="1" si="5"/>
        <v>1.0179960347720001</v>
      </c>
      <c r="Q57">
        <f t="shared" ca="1" si="6"/>
        <v>1.0873356978927604</v>
      </c>
      <c r="R57">
        <f t="shared" ca="1" si="7"/>
        <v>1.1613948464743096</v>
      </c>
    </row>
    <row r="58" spans="1:18" x14ac:dyDescent="0.3">
      <c r="A58" s="2">
        <f ca="1">IFERROR(__xludf.DUMMYFUNCTION("""COMPUTED_VALUE"""),44308.6666666666)</f>
        <v>44308.666666666599</v>
      </c>
      <c r="B58" s="1">
        <f ca="1">IFERROR(__xludf.DUMMYFUNCTION("""COMPUTED_VALUE"""),412.27)</f>
        <v>412.27</v>
      </c>
      <c r="C58" s="1">
        <f ca="1">IFERROR(__xludf.DUMMYFUNCTION("""COMPUTED_VALUE"""),131.94)</f>
        <v>131.94</v>
      </c>
      <c r="D58" s="1">
        <f ca="1">IFERROR(__xludf.DUMMYFUNCTION("""COMPUTED_VALUE"""),257.17)</f>
        <v>257.17</v>
      </c>
      <c r="E58" s="1">
        <f ca="1">IFERROR(__xludf.DUMMYFUNCTION("""COMPUTED_VALUE"""),147.37)</f>
        <v>147.37</v>
      </c>
      <c r="F58">
        <f t="shared" ca="1" si="0"/>
        <v>-9.1330785685101341E-3</v>
      </c>
      <c r="G58">
        <f t="shared" ca="1" si="1"/>
        <v>-1.1685393258426983E-2</v>
      </c>
      <c r="H58">
        <f t="shared" ca="1" si="2"/>
        <v>-1.3086192340164128E-2</v>
      </c>
      <c r="I58">
        <f t="shared" ca="1" si="3"/>
        <v>-2.1057526238873307E-2</v>
      </c>
      <c r="O58">
        <f t="shared" ca="1" si="4"/>
        <v>1.0957924673736792</v>
      </c>
      <c r="P58">
        <f t="shared" ca="1" si="5"/>
        <v>1.00610035077017</v>
      </c>
      <c r="Q58">
        <f t="shared" ca="1" si="6"/>
        <v>1.0731066138118091</v>
      </c>
      <c r="R58">
        <f t="shared" ca="1" si="7"/>
        <v>1.1369387440209846</v>
      </c>
    </row>
    <row r="59" spans="1:18" x14ac:dyDescent="0.3">
      <c r="A59" s="2">
        <f ca="1">IFERROR(__xludf.DUMMYFUNCTION("""COMPUTED_VALUE"""),44309.6666666666)</f>
        <v>44309.666666666599</v>
      </c>
      <c r="B59" s="1">
        <f ca="1">IFERROR(__xludf.DUMMYFUNCTION("""COMPUTED_VALUE"""),416.74)</f>
        <v>416.74</v>
      </c>
      <c r="C59" s="1">
        <f ca="1">IFERROR(__xludf.DUMMYFUNCTION("""COMPUTED_VALUE"""),134.32)</f>
        <v>134.32</v>
      </c>
      <c r="D59" s="1">
        <f ca="1">IFERROR(__xludf.DUMMYFUNCTION("""COMPUTED_VALUE"""),261.15)</f>
        <v>261.14999999999998</v>
      </c>
      <c r="E59" s="1">
        <f ca="1">IFERROR(__xludf.DUMMYFUNCTION("""COMPUTED_VALUE"""),150.19)</f>
        <v>150.19</v>
      </c>
      <c r="F59">
        <f t="shared" ca="1" si="0"/>
        <v>1.0842409100832045E-2</v>
      </c>
      <c r="G59">
        <f t="shared" ca="1" si="1"/>
        <v>1.8038502349552794E-2</v>
      </c>
      <c r="H59">
        <f t="shared" ca="1" si="2"/>
        <v>1.5476144184780345E-2</v>
      </c>
      <c r="I59">
        <f t="shared" ca="1" si="3"/>
        <v>1.9135509262400714E-2</v>
      </c>
      <c r="O59">
        <f t="shared" ca="1" si="4"/>
        <v>1.1076734975945548</v>
      </c>
      <c r="P59">
        <f t="shared" ca="1" si="5"/>
        <v>1.0242488943114236</v>
      </c>
      <c r="Q59">
        <f t="shared" ca="1" si="6"/>
        <v>1.0897141664928021</v>
      </c>
      <c r="R59">
        <f t="shared" ca="1" si="7"/>
        <v>1.1586946458879805</v>
      </c>
    </row>
    <row r="60" spans="1:18" x14ac:dyDescent="0.3">
      <c r="A60" s="2">
        <f ca="1">IFERROR(__xludf.DUMMYFUNCTION("""COMPUTED_VALUE"""),44312.6666666666)</f>
        <v>44312.666666666599</v>
      </c>
      <c r="B60" s="1">
        <f ca="1">IFERROR(__xludf.DUMMYFUNCTION("""COMPUTED_VALUE"""),417.61)</f>
        <v>417.61</v>
      </c>
      <c r="C60" s="1">
        <f ca="1">IFERROR(__xludf.DUMMYFUNCTION("""COMPUTED_VALUE"""),134.72)</f>
        <v>134.72</v>
      </c>
      <c r="D60" s="1">
        <f ca="1">IFERROR(__xludf.DUMMYFUNCTION("""COMPUTED_VALUE"""),261.55)</f>
        <v>261.55</v>
      </c>
      <c r="E60" s="1">
        <f ca="1">IFERROR(__xludf.DUMMYFUNCTION("""COMPUTED_VALUE"""),150.56)</f>
        <v>150.56</v>
      </c>
      <c r="F60">
        <f t="shared" ca="1" si="0"/>
        <v>2.0876325766665173E-3</v>
      </c>
      <c r="G60">
        <f t="shared" ca="1" si="1"/>
        <v>2.9779630732579341E-3</v>
      </c>
      <c r="H60">
        <f t="shared" ca="1" si="2"/>
        <v>1.5316867700556544E-3</v>
      </c>
      <c r="I60">
        <f t="shared" ca="1" si="3"/>
        <v>2.4635461748452265E-3</v>
      </c>
      <c r="O60">
        <f t="shared" ca="1" si="4"/>
        <v>1.1099859128724434</v>
      </c>
      <c r="P60">
        <f t="shared" ca="1" si="5"/>
        <v>1.0272990696965085</v>
      </c>
      <c r="Q60">
        <f t="shared" ca="1" si="6"/>
        <v>1.0913832672647614</v>
      </c>
      <c r="R60">
        <f t="shared" ca="1" si="7"/>
        <v>1.1615491436506715</v>
      </c>
    </row>
    <row r="61" spans="1:18" x14ac:dyDescent="0.3">
      <c r="A61" s="2">
        <f ca="1">IFERROR(__xludf.DUMMYFUNCTION("""COMPUTED_VALUE"""),44313.6666666666)</f>
        <v>44313.666666666599</v>
      </c>
      <c r="B61" s="1">
        <f ca="1">IFERROR(__xludf.DUMMYFUNCTION("""COMPUTED_VALUE"""),417.52)</f>
        <v>417.52</v>
      </c>
      <c r="C61" s="1">
        <f ca="1">IFERROR(__xludf.DUMMYFUNCTION("""COMPUTED_VALUE"""),134.39)</f>
        <v>134.38999999999999</v>
      </c>
      <c r="D61" s="1">
        <f ca="1">IFERROR(__xludf.DUMMYFUNCTION("""COMPUTED_VALUE"""),261.97)</f>
        <v>261.97000000000003</v>
      </c>
      <c r="E61" s="1">
        <f ca="1">IFERROR(__xludf.DUMMYFUNCTION("""COMPUTED_VALUE"""),151.25)</f>
        <v>151.25</v>
      </c>
      <c r="F61">
        <f t="shared" ca="1" si="0"/>
        <v>-2.1551208064948596E-4</v>
      </c>
      <c r="G61">
        <f t="shared" ca="1" si="1"/>
        <v>-2.4495249406176699E-3</v>
      </c>
      <c r="H61">
        <f t="shared" ca="1" si="2"/>
        <v>1.6058115083158705E-3</v>
      </c>
      <c r="I61">
        <f t="shared" ca="1" si="3"/>
        <v>4.5828905419766051E-3</v>
      </c>
      <c r="O61">
        <f t="shared" ca="1" si="4"/>
        <v>1.1097466974988686</v>
      </c>
      <c r="P61">
        <f t="shared" ca="1" si="5"/>
        <v>1.0247826750038136</v>
      </c>
      <c r="Q61">
        <f t="shared" ca="1" si="6"/>
        <v>1.0931358230753188</v>
      </c>
      <c r="R61">
        <f t="shared" ca="1" si="7"/>
        <v>1.1668723962351493</v>
      </c>
    </row>
    <row r="62" spans="1:18" x14ac:dyDescent="0.3">
      <c r="A62" s="2">
        <f ca="1">IFERROR(__xludf.DUMMYFUNCTION("""COMPUTED_VALUE"""),44314.6666666666)</f>
        <v>44314.666666666599</v>
      </c>
      <c r="B62" s="1">
        <f ca="1">IFERROR(__xludf.DUMMYFUNCTION("""COMPUTED_VALUE"""),417.4)</f>
        <v>417.4</v>
      </c>
      <c r="C62" s="1">
        <f ca="1">IFERROR(__xludf.DUMMYFUNCTION("""COMPUTED_VALUE"""),133.58)</f>
        <v>133.58000000000001</v>
      </c>
      <c r="D62" s="1">
        <f ca="1">IFERROR(__xludf.DUMMYFUNCTION("""COMPUTED_VALUE"""),254.56)</f>
        <v>254.56</v>
      </c>
      <c r="E62" s="1">
        <f ca="1">IFERROR(__xludf.DUMMYFUNCTION("""COMPUTED_VALUE"""),152.23)</f>
        <v>152.22999999999999</v>
      </c>
      <c r="F62">
        <f t="shared" ca="1" si="0"/>
        <v>-2.8741138149071793E-4</v>
      </c>
      <c r="G62">
        <f t="shared" ca="1" si="1"/>
        <v>-6.0272341692088243E-3</v>
      </c>
      <c r="H62">
        <f t="shared" ca="1" si="2"/>
        <v>-2.8285681566591687E-2</v>
      </c>
      <c r="I62">
        <f t="shared" ca="1" si="3"/>
        <v>6.4793388429751388E-3</v>
      </c>
      <c r="O62">
        <f t="shared" ca="1" si="4"/>
        <v>1.1094277436674356</v>
      </c>
      <c r="P62">
        <f t="shared" ca="1" si="5"/>
        <v>1.0186060698490174</v>
      </c>
      <c r="Q62">
        <f t="shared" ca="1" si="6"/>
        <v>1.0622157312747762</v>
      </c>
      <c r="R62">
        <f t="shared" ca="1" si="7"/>
        <v>1.1744329578768711</v>
      </c>
    </row>
    <row r="63" spans="1:18" x14ac:dyDescent="0.3">
      <c r="A63" s="2">
        <f ca="1">IFERROR(__xludf.DUMMYFUNCTION("""COMPUTED_VALUE"""),44315.6666666666)</f>
        <v>44315.666666666599</v>
      </c>
      <c r="B63" s="1">
        <f ca="1">IFERROR(__xludf.DUMMYFUNCTION("""COMPUTED_VALUE"""),420.06)</f>
        <v>420.06</v>
      </c>
      <c r="C63" s="1">
        <f ca="1">IFERROR(__xludf.DUMMYFUNCTION("""COMPUTED_VALUE"""),133.48)</f>
        <v>133.47999999999999</v>
      </c>
      <c r="D63" s="1">
        <f ca="1">IFERROR(__xludf.DUMMYFUNCTION("""COMPUTED_VALUE"""),252.51)</f>
        <v>252.51</v>
      </c>
      <c r="E63" s="1">
        <f ca="1">IFERROR(__xludf.DUMMYFUNCTION("""COMPUTED_VALUE"""),155.19)</f>
        <v>155.19</v>
      </c>
      <c r="F63">
        <f t="shared" ca="1" si="0"/>
        <v>6.3727839003354702E-3</v>
      </c>
      <c r="G63">
        <f t="shared" ca="1" si="1"/>
        <v>-7.4861506213522026E-4</v>
      </c>
      <c r="H63">
        <f t="shared" ca="1" si="2"/>
        <v>-8.0531112507857133E-3</v>
      </c>
      <c r="I63">
        <f t="shared" ca="1" si="3"/>
        <v>1.9444261972016083E-2</v>
      </c>
      <c r="O63">
        <f t="shared" ca="1" si="4"/>
        <v>1.116497886930865</v>
      </c>
      <c r="P63">
        <f t="shared" ca="1" si="5"/>
        <v>1.0178435260027461</v>
      </c>
      <c r="Q63">
        <f t="shared" ca="1" si="6"/>
        <v>1.0536615898184858</v>
      </c>
      <c r="R63">
        <f t="shared" ca="1" si="7"/>
        <v>1.1972689399783987</v>
      </c>
    </row>
    <row r="64" spans="1:18" x14ac:dyDescent="0.3">
      <c r="A64" s="2">
        <f ca="1">IFERROR(__xludf.DUMMYFUNCTION("""COMPUTED_VALUE"""),44316.6666666666)</f>
        <v>44316.666666666599</v>
      </c>
      <c r="B64" s="1">
        <f ca="1">IFERROR(__xludf.DUMMYFUNCTION("""COMPUTED_VALUE"""),417.3)</f>
        <v>417.3</v>
      </c>
      <c r="C64" s="1">
        <f ca="1">IFERROR(__xludf.DUMMYFUNCTION("""COMPUTED_VALUE"""),131.46)</f>
        <v>131.46</v>
      </c>
      <c r="D64" s="1">
        <f ca="1">IFERROR(__xludf.DUMMYFUNCTION("""COMPUTED_VALUE"""),252.18)</f>
        <v>252.18</v>
      </c>
      <c r="E64" s="1">
        <f ca="1">IFERROR(__xludf.DUMMYFUNCTION("""COMPUTED_VALUE"""),153.81)</f>
        <v>153.81</v>
      </c>
      <c r="F64">
        <f t="shared" ca="1" si="0"/>
        <v>-6.5704899300099767E-3</v>
      </c>
      <c r="G64">
        <f t="shared" ca="1" si="1"/>
        <v>-1.5133353311357371E-2</v>
      </c>
      <c r="H64">
        <f t="shared" ca="1" si="2"/>
        <v>-1.3068789354876405E-3</v>
      </c>
      <c r="I64">
        <f t="shared" ca="1" si="3"/>
        <v>-8.8923255364391739E-3</v>
      </c>
      <c r="O64">
        <f t="shared" ca="1" si="4"/>
        <v>1.1091619488079083</v>
      </c>
      <c r="P64">
        <f t="shared" ca="1" si="5"/>
        <v>1.0024401403080687</v>
      </c>
      <c r="Q64">
        <f t="shared" ca="1" si="6"/>
        <v>1.0522845816816195</v>
      </c>
      <c r="R64">
        <f t="shared" ca="1" si="7"/>
        <v>1.1866224348094434</v>
      </c>
    </row>
    <row r="65" spans="1:18" x14ac:dyDescent="0.3">
      <c r="A65" s="2">
        <f ca="1">IFERROR(__xludf.DUMMYFUNCTION("""COMPUTED_VALUE"""),44319.6666666666)</f>
        <v>44319.666666666599</v>
      </c>
      <c r="B65" s="1">
        <f ca="1">IFERROR(__xludf.DUMMYFUNCTION("""COMPUTED_VALUE"""),418.2)</f>
        <v>418.2</v>
      </c>
      <c r="C65" s="1">
        <f ca="1">IFERROR(__xludf.DUMMYFUNCTION("""COMPUTED_VALUE"""),132.54)</f>
        <v>132.54</v>
      </c>
      <c r="D65" s="1">
        <f ca="1">IFERROR(__xludf.DUMMYFUNCTION("""COMPUTED_VALUE"""),251.86)</f>
        <v>251.86</v>
      </c>
      <c r="E65" s="1">
        <f ca="1">IFERROR(__xludf.DUMMYFUNCTION("""COMPUTED_VALUE"""),153.36)</f>
        <v>153.36000000000001</v>
      </c>
      <c r="F65">
        <f t="shared" ca="1" si="0"/>
        <v>2.1567217828899529E-3</v>
      </c>
      <c r="G65">
        <f t="shared" ca="1" si="1"/>
        <v>8.2154267457780622E-3</v>
      </c>
      <c r="H65">
        <f t="shared" ca="1" si="2"/>
        <v>-1.2689348877785438E-3</v>
      </c>
      <c r="I65">
        <f t="shared" ca="1" si="3"/>
        <v>-2.9256875365710204E-3</v>
      </c>
      <c r="O65">
        <f t="shared" ca="1" si="4"/>
        <v>1.1115541025436551</v>
      </c>
      <c r="P65">
        <f t="shared" ca="1" si="5"/>
        <v>1.0106756138477972</v>
      </c>
      <c r="Q65">
        <f t="shared" ca="1" si="6"/>
        <v>1.0509493010640523</v>
      </c>
      <c r="R65">
        <f t="shared" ca="1" si="7"/>
        <v>1.1831507483413057</v>
      </c>
    </row>
    <row r="66" spans="1:18" x14ac:dyDescent="0.3">
      <c r="A66" s="2">
        <f ca="1">IFERROR(__xludf.DUMMYFUNCTION("""COMPUTED_VALUE"""),44320.6666666666)</f>
        <v>44320.666666666599</v>
      </c>
      <c r="B66" s="1">
        <f ca="1">IFERROR(__xludf.DUMMYFUNCTION("""COMPUTED_VALUE"""),415.62)</f>
        <v>415.62</v>
      </c>
      <c r="C66" s="1">
        <f ca="1">IFERROR(__xludf.DUMMYFUNCTION("""COMPUTED_VALUE"""),127.85)</f>
        <v>127.85</v>
      </c>
      <c r="D66" s="1">
        <f ca="1">IFERROR(__xludf.DUMMYFUNCTION("""COMPUTED_VALUE"""),247.79)</f>
        <v>247.79</v>
      </c>
      <c r="E66" s="1">
        <f ca="1">IFERROR(__xludf.DUMMYFUNCTION("""COMPUTED_VALUE"""),155.48)</f>
        <v>155.47999999999999</v>
      </c>
      <c r="F66">
        <f t="shared" ca="1" si="0"/>
        <v>-6.1692969870874798E-3</v>
      </c>
      <c r="G66">
        <f t="shared" ca="1" si="1"/>
        <v>-3.5385543986720974E-2</v>
      </c>
      <c r="H66">
        <f t="shared" ca="1" si="2"/>
        <v>-1.6159771301516801E-2</v>
      </c>
      <c r="I66">
        <f t="shared" ca="1" si="3"/>
        <v>1.3823682837767188E-2</v>
      </c>
      <c r="O66">
        <f t="shared" ca="1" si="4"/>
        <v>1.1046965951678478</v>
      </c>
      <c r="P66">
        <f t="shared" ca="1" si="5"/>
        <v>0.97491230745767976</v>
      </c>
      <c r="Q66">
        <f t="shared" ca="1" si="6"/>
        <v>1.0339662007093682</v>
      </c>
      <c r="R66">
        <f t="shared" ca="1" si="7"/>
        <v>1.1995062490356427</v>
      </c>
    </row>
    <row r="67" spans="1:18" x14ac:dyDescent="0.3">
      <c r="A67" s="2">
        <f ca="1">IFERROR(__xludf.DUMMYFUNCTION("""COMPUTED_VALUE"""),44321.6666666666)</f>
        <v>44321.666666666599</v>
      </c>
      <c r="B67" s="1">
        <f ca="1">IFERROR(__xludf.DUMMYFUNCTION("""COMPUTED_VALUE"""),415.75)</f>
        <v>415.75</v>
      </c>
      <c r="C67" s="1">
        <f ca="1">IFERROR(__xludf.DUMMYFUNCTION("""COMPUTED_VALUE"""),128.1)</f>
        <v>128.1</v>
      </c>
      <c r="D67" s="1">
        <f ca="1">IFERROR(__xludf.DUMMYFUNCTION("""COMPUTED_VALUE"""),246.47)</f>
        <v>246.47</v>
      </c>
      <c r="E67" s="1">
        <f ca="1">IFERROR(__xludf.DUMMYFUNCTION("""COMPUTED_VALUE"""),157.52)</f>
        <v>157.52000000000001</v>
      </c>
      <c r="F67">
        <f t="shared" ca="1" si="0"/>
        <v>3.1278571772290904E-4</v>
      </c>
      <c r="G67">
        <f t="shared" ca="1" si="1"/>
        <v>1.9554165037152915E-3</v>
      </c>
      <c r="H67">
        <f t="shared" ca="1" si="2"/>
        <v>-5.327091488760617E-3</v>
      </c>
      <c r="I67">
        <f t="shared" ca="1" si="3"/>
        <v>1.3120658605608571E-2</v>
      </c>
      <c r="O67">
        <f t="shared" ca="1" si="4"/>
        <v>1.1050421284852334</v>
      </c>
      <c r="P67">
        <f t="shared" ca="1" si="5"/>
        <v>0.97681866707335763</v>
      </c>
      <c r="Q67">
        <f t="shared" ca="1" si="6"/>
        <v>1.0284581681619032</v>
      </c>
      <c r="R67">
        <f t="shared" ca="1" si="7"/>
        <v>1.2152445610245335</v>
      </c>
    </row>
    <row r="68" spans="1:18" x14ac:dyDescent="0.3">
      <c r="A68" s="2">
        <f ca="1">IFERROR(__xludf.DUMMYFUNCTION("""COMPUTED_VALUE"""),44322.6666666666)</f>
        <v>44322.666666666599</v>
      </c>
      <c r="B68" s="1">
        <f ca="1">IFERROR(__xludf.DUMMYFUNCTION("""COMPUTED_VALUE"""),419.07)</f>
        <v>419.07</v>
      </c>
      <c r="C68" s="1">
        <f ca="1">IFERROR(__xludf.DUMMYFUNCTION("""COMPUTED_VALUE"""),129.74)</f>
        <v>129.74</v>
      </c>
      <c r="D68" s="1">
        <f ca="1">IFERROR(__xludf.DUMMYFUNCTION("""COMPUTED_VALUE"""),249.73)</f>
        <v>249.73</v>
      </c>
      <c r="E68" s="1">
        <f ca="1">IFERROR(__xludf.DUMMYFUNCTION("""COMPUTED_VALUE"""),160.69)</f>
        <v>160.69</v>
      </c>
      <c r="F68">
        <f t="shared" ref="F68:F131" ca="1" si="13">(B68-B67)/B67</f>
        <v>7.9855682501503138E-3</v>
      </c>
      <c r="G68">
        <f t="shared" ref="G68:G131" ca="1" si="14">(C68-C67)/C67</f>
        <v>1.2802498048399804E-2</v>
      </c>
      <c r="H68">
        <f t="shared" ref="H68:H131" ca="1" si="15">(D68-D67)/D67</f>
        <v>1.3226761877713275E-2</v>
      </c>
      <c r="I68">
        <f t="shared" ref="I68:I131" ca="1" si="16">(E68-E67)/E67</f>
        <v>2.0124428643981635E-2</v>
      </c>
      <c r="O68">
        <f t="shared" ref="O68:O131" ca="1" si="17">O67*(1+F68)</f>
        <v>1.1138665178215437</v>
      </c>
      <c r="P68">
        <f t="shared" ref="P68:P131" ca="1" si="18">P67*(1+G68)</f>
        <v>0.98932438615220486</v>
      </c>
      <c r="Q68">
        <f t="shared" ref="Q68:Q131" ca="1" si="19">Q67*(1+H68)</f>
        <v>1.04206133945337</v>
      </c>
      <c r="R68">
        <f t="shared" ref="R68:R131" ca="1" si="20">R67*(1+I68)</f>
        <v>1.2397006634778585</v>
      </c>
    </row>
    <row r="69" spans="1:18" x14ac:dyDescent="0.3">
      <c r="A69" s="2">
        <f ca="1">IFERROR(__xludf.DUMMYFUNCTION("""COMPUTED_VALUE"""),44323.6666666666)</f>
        <v>44323.666666666599</v>
      </c>
      <c r="B69" s="1">
        <f ca="1">IFERROR(__xludf.DUMMYFUNCTION("""COMPUTED_VALUE"""),422.12)</f>
        <v>422.12</v>
      </c>
      <c r="C69" s="1">
        <f ca="1">IFERROR(__xludf.DUMMYFUNCTION("""COMPUTED_VALUE"""),130.21)</f>
        <v>130.21</v>
      </c>
      <c r="D69" s="1">
        <f ca="1">IFERROR(__xludf.DUMMYFUNCTION("""COMPUTED_VALUE"""),252.46)</f>
        <v>252.46</v>
      </c>
      <c r="E69" s="1">
        <f ca="1">IFERROR(__xludf.DUMMYFUNCTION("""COMPUTED_VALUE"""),161.24)</f>
        <v>161.24</v>
      </c>
      <c r="F69">
        <f t="shared" ca="1" si="13"/>
        <v>7.2780203784570873E-3</v>
      </c>
      <c r="G69">
        <f t="shared" ca="1" si="14"/>
        <v>3.6226298751348761E-3</v>
      </c>
      <c r="H69">
        <f t="shared" ca="1" si="15"/>
        <v>1.0931806350859E-2</v>
      </c>
      <c r="I69">
        <f t="shared" ca="1" si="16"/>
        <v>3.4227394361815381E-3</v>
      </c>
      <c r="O69">
        <f t="shared" ca="1" si="17"/>
        <v>1.1219732610371298</v>
      </c>
      <c r="P69">
        <f t="shared" ca="1" si="18"/>
        <v>0.99290834222967939</v>
      </c>
      <c r="Q69">
        <f t="shared" ca="1" si="19"/>
        <v>1.0534529522219909</v>
      </c>
      <c r="R69">
        <f t="shared" ca="1" si="20"/>
        <v>1.2439438358278043</v>
      </c>
    </row>
    <row r="70" spans="1:18" x14ac:dyDescent="0.3">
      <c r="A70" s="2">
        <f ca="1">IFERROR(__xludf.DUMMYFUNCTION("""COMPUTED_VALUE"""),44326.6666666666)</f>
        <v>44326.666666666599</v>
      </c>
      <c r="B70" s="1">
        <f ca="1">IFERROR(__xludf.DUMMYFUNCTION("""COMPUTED_VALUE"""),417.94)</f>
        <v>417.94</v>
      </c>
      <c r="C70" s="1">
        <f ca="1">IFERROR(__xludf.DUMMYFUNCTION("""COMPUTED_VALUE"""),126.85)</f>
        <v>126.85</v>
      </c>
      <c r="D70" s="1">
        <f ca="1">IFERROR(__xludf.DUMMYFUNCTION("""COMPUTED_VALUE"""),247.18)</f>
        <v>247.18</v>
      </c>
      <c r="E70" s="1">
        <f ca="1">IFERROR(__xludf.DUMMYFUNCTION("""COMPUTED_VALUE"""),161.22)</f>
        <v>161.22</v>
      </c>
      <c r="F70">
        <f t="shared" ca="1" si="13"/>
        <v>-9.9023974225338918E-3</v>
      </c>
      <c r="G70">
        <f t="shared" ca="1" si="14"/>
        <v>-2.5804469702787908E-2</v>
      </c>
      <c r="H70">
        <f t="shared" ca="1" si="15"/>
        <v>-2.0914204230373133E-2</v>
      </c>
      <c r="I70">
        <f t="shared" ca="1" si="16"/>
        <v>-1.2403870007448667E-4</v>
      </c>
      <c r="O70">
        <f t="shared" ca="1" si="17"/>
        <v>1.1108630359088838</v>
      </c>
      <c r="P70">
        <f t="shared" ca="1" si="18"/>
        <v>0.96728686899496819</v>
      </c>
      <c r="Q70">
        <f t="shared" ca="1" si="19"/>
        <v>1.0314208220321306</v>
      </c>
      <c r="R70">
        <f t="shared" ca="1" si="20"/>
        <v>1.2437895386514426</v>
      </c>
    </row>
    <row r="71" spans="1:18" x14ac:dyDescent="0.3">
      <c r="A71" s="2">
        <f ca="1">IFERROR(__xludf.DUMMYFUNCTION("""COMPUTED_VALUE"""),44327.6666666666)</f>
        <v>44327.666666666599</v>
      </c>
      <c r="B71" s="1">
        <f ca="1">IFERROR(__xludf.DUMMYFUNCTION("""COMPUTED_VALUE"""),414.21)</f>
        <v>414.21</v>
      </c>
      <c r="C71" s="1">
        <f ca="1">IFERROR(__xludf.DUMMYFUNCTION("""COMPUTED_VALUE"""),125.91)</f>
        <v>125.91</v>
      </c>
      <c r="D71" s="1">
        <f ca="1">IFERROR(__xludf.DUMMYFUNCTION("""COMPUTED_VALUE"""),246.23)</f>
        <v>246.23</v>
      </c>
      <c r="E71" s="1">
        <f ca="1">IFERROR(__xludf.DUMMYFUNCTION("""COMPUTED_VALUE"""),158.54)</f>
        <v>158.54</v>
      </c>
      <c r="F71">
        <f t="shared" ca="1" si="13"/>
        <v>-8.9247260372302684E-3</v>
      </c>
      <c r="G71">
        <f t="shared" ca="1" si="14"/>
        <v>-7.4103271580606839E-3</v>
      </c>
      <c r="H71">
        <f t="shared" ca="1" si="15"/>
        <v>-3.8433530220892348E-3</v>
      </c>
      <c r="I71">
        <f t="shared" ca="1" si="16"/>
        <v>-1.6623247736012946E-2</v>
      </c>
      <c r="O71">
        <f t="shared" ca="1" si="17"/>
        <v>1.1009488876485112</v>
      </c>
      <c r="P71">
        <f t="shared" ca="1" si="18"/>
        <v>0.96011895684001924</v>
      </c>
      <c r="Q71">
        <f t="shared" ca="1" si="19"/>
        <v>1.0274567076987275</v>
      </c>
      <c r="R71">
        <f t="shared" ca="1" si="20"/>
        <v>1.2231137170189783</v>
      </c>
    </row>
    <row r="72" spans="1:18" x14ac:dyDescent="0.3">
      <c r="A72" s="2">
        <f ca="1">IFERROR(__xludf.DUMMYFUNCTION("""COMPUTED_VALUE"""),44328.6666666666)</f>
        <v>44328.666666666599</v>
      </c>
      <c r="B72" s="1">
        <f ca="1">IFERROR(__xludf.DUMMYFUNCTION("""COMPUTED_VALUE"""),405.41)</f>
        <v>405.41</v>
      </c>
      <c r="C72" s="1">
        <f ca="1">IFERROR(__xludf.DUMMYFUNCTION("""COMPUTED_VALUE"""),122.77)</f>
        <v>122.77</v>
      </c>
      <c r="D72" s="1">
        <f ca="1">IFERROR(__xludf.DUMMYFUNCTION("""COMPUTED_VALUE"""),239)</f>
        <v>239</v>
      </c>
      <c r="E72" s="1">
        <f ca="1">IFERROR(__xludf.DUMMYFUNCTION("""COMPUTED_VALUE"""),157.45)</f>
        <v>157.44999999999999</v>
      </c>
      <c r="F72">
        <f t="shared" ca="1" si="13"/>
        <v>-2.1245262065135932E-2</v>
      </c>
      <c r="G72">
        <f t="shared" ca="1" si="14"/>
        <v>-2.4938448097847673E-2</v>
      </c>
      <c r="H72">
        <f t="shared" ca="1" si="15"/>
        <v>-2.9362790886569429E-2</v>
      </c>
      <c r="I72">
        <f t="shared" ca="1" si="16"/>
        <v>-6.8752365333669954E-3</v>
      </c>
      <c r="O72">
        <f t="shared" ca="1" si="17"/>
        <v>1.0775589400100987</v>
      </c>
      <c r="P72">
        <f t="shared" ca="1" si="18"/>
        <v>0.93617508006710481</v>
      </c>
      <c r="Q72">
        <f t="shared" ca="1" si="19"/>
        <v>0.9972877112455667</v>
      </c>
      <c r="R72">
        <f t="shared" ca="1" si="20"/>
        <v>1.2147045209072671</v>
      </c>
    </row>
    <row r="73" spans="1:18" x14ac:dyDescent="0.3">
      <c r="A73" s="2">
        <f ca="1">IFERROR(__xludf.DUMMYFUNCTION("""COMPUTED_VALUE"""),44329.6666666666)</f>
        <v>44329.666666666599</v>
      </c>
      <c r="B73" s="1">
        <f ca="1">IFERROR(__xludf.DUMMYFUNCTION("""COMPUTED_VALUE"""),410.28)</f>
        <v>410.28</v>
      </c>
      <c r="C73" s="1">
        <f ca="1">IFERROR(__xludf.DUMMYFUNCTION("""COMPUTED_VALUE"""),124.97)</f>
        <v>124.97</v>
      </c>
      <c r="D73" s="1">
        <f ca="1">IFERROR(__xludf.DUMMYFUNCTION("""COMPUTED_VALUE"""),243.03)</f>
        <v>243.03</v>
      </c>
      <c r="E73" s="1">
        <f ca="1">IFERROR(__xludf.DUMMYFUNCTION("""COMPUTED_VALUE"""),161.5)</f>
        <v>161.5</v>
      </c>
      <c r="F73">
        <f t="shared" ca="1" si="13"/>
        <v>1.2012530524653925E-2</v>
      </c>
      <c r="G73">
        <f t="shared" ca="1" si="14"/>
        <v>1.791968722000491E-2</v>
      </c>
      <c r="H73">
        <f t="shared" ca="1" si="15"/>
        <v>1.6861924686192475E-2</v>
      </c>
      <c r="I73">
        <f t="shared" ca="1" si="16"/>
        <v>2.5722451571927669E-2</v>
      </c>
      <c r="O73">
        <f t="shared" ca="1" si="17"/>
        <v>1.0905031496690836</v>
      </c>
      <c r="P73">
        <f t="shared" ca="1" si="18"/>
        <v>0.95295104468507041</v>
      </c>
      <c r="Q73">
        <f t="shared" ca="1" si="19"/>
        <v>1.0141039015230549</v>
      </c>
      <c r="R73">
        <f t="shared" ca="1" si="20"/>
        <v>1.2459496991205059</v>
      </c>
    </row>
    <row r="74" spans="1:18" x14ac:dyDescent="0.3">
      <c r="A74" s="2">
        <f ca="1">IFERROR(__xludf.DUMMYFUNCTION("""COMPUTED_VALUE"""),44330.6666666666)</f>
        <v>44330.666666666599</v>
      </c>
      <c r="B74" s="1">
        <f ca="1">IFERROR(__xludf.DUMMYFUNCTION("""COMPUTED_VALUE"""),416.58)</f>
        <v>416.58</v>
      </c>
      <c r="C74" s="1">
        <f ca="1">IFERROR(__xludf.DUMMYFUNCTION("""COMPUTED_VALUE"""),127.45)</f>
        <v>127.45</v>
      </c>
      <c r="D74" s="1">
        <f ca="1">IFERROR(__xludf.DUMMYFUNCTION("""COMPUTED_VALUE"""),248.15)</f>
        <v>248.15</v>
      </c>
      <c r="E74" s="1">
        <f ca="1">IFERROR(__xludf.DUMMYFUNCTION("""COMPUTED_VALUE"""),164.01)</f>
        <v>164.01</v>
      </c>
      <c r="F74">
        <f t="shared" ca="1" si="13"/>
        <v>1.5355367066393712E-2</v>
      </c>
      <c r="G74">
        <f t="shared" ca="1" si="14"/>
        <v>1.9844762743058367E-2</v>
      </c>
      <c r="H74">
        <f t="shared" ca="1" si="15"/>
        <v>2.1067357939349069E-2</v>
      </c>
      <c r="I74">
        <f t="shared" ca="1" si="16"/>
        <v>1.5541795665634619E-2</v>
      </c>
      <c r="O74">
        <f t="shared" ca="1" si="17"/>
        <v>1.1072482258193108</v>
      </c>
      <c r="P74">
        <f t="shared" ca="1" si="18"/>
        <v>0.97186213207259531</v>
      </c>
      <c r="Q74">
        <f t="shared" ca="1" si="19"/>
        <v>1.0354683914041314</v>
      </c>
      <c r="R74">
        <f t="shared" ca="1" si="20"/>
        <v>1.2653139947538956</v>
      </c>
    </row>
    <row r="75" spans="1:18" x14ac:dyDescent="0.3">
      <c r="A75" s="2">
        <f ca="1">IFERROR(__xludf.DUMMYFUNCTION("""COMPUTED_VALUE"""),44333.6666666666)</f>
        <v>44333.666666666599</v>
      </c>
      <c r="B75" s="1">
        <f ca="1">IFERROR(__xludf.DUMMYFUNCTION("""COMPUTED_VALUE"""),415.52)</f>
        <v>415.52</v>
      </c>
      <c r="C75" s="1">
        <f ca="1">IFERROR(__xludf.DUMMYFUNCTION("""COMPUTED_VALUE"""),126.27)</f>
        <v>126.27</v>
      </c>
      <c r="D75" s="1">
        <f ca="1">IFERROR(__xludf.DUMMYFUNCTION("""COMPUTED_VALUE"""),245.18)</f>
        <v>245.18</v>
      </c>
      <c r="E75" s="1">
        <f ca="1">IFERROR(__xludf.DUMMYFUNCTION("""COMPUTED_VALUE"""),164.67)</f>
        <v>164.67</v>
      </c>
      <c r="F75">
        <f t="shared" ca="1" si="13"/>
        <v>-2.5445292620865194E-3</v>
      </c>
      <c r="G75">
        <f t="shared" ca="1" si="14"/>
        <v>-9.258532757944346E-3</v>
      </c>
      <c r="H75">
        <f t="shared" ca="1" si="15"/>
        <v>-1.1968567398750751E-2</v>
      </c>
      <c r="I75">
        <f t="shared" ca="1" si="16"/>
        <v>4.0241448692152713E-3</v>
      </c>
      <c r="O75">
        <f t="shared" ca="1" si="17"/>
        <v>1.1044308003083203</v>
      </c>
      <c r="P75">
        <f t="shared" ca="1" si="18"/>
        <v>0.96286411468659561</v>
      </c>
      <c r="Q75">
        <f t="shared" ca="1" si="19"/>
        <v>1.0230753181723351</v>
      </c>
      <c r="R75">
        <f t="shared" ca="1" si="20"/>
        <v>1.2704058015738309</v>
      </c>
    </row>
    <row r="76" spans="1:18" x14ac:dyDescent="0.3">
      <c r="A76" s="2">
        <f ca="1">IFERROR(__xludf.DUMMYFUNCTION("""COMPUTED_VALUE"""),44334.6666666666)</f>
        <v>44334.666666666599</v>
      </c>
      <c r="B76" s="1">
        <f ca="1">IFERROR(__xludf.DUMMYFUNCTION("""COMPUTED_VALUE"""),411.94)</f>
        <v>411.94</v>
      </c>
      <c r="C76" s="1">
        <f ca="1">IFERROR(__xludf.DUMMYFUNCTION("""COMPUTED_VALUE"""),124.85)</f>
        <v>124.85</v>
      </c>
      <c r="D76" s="1">
        <f ca="1">IFERROR(__xludf.DUMMYFUNCTION("""COMPUTED_VALUE"""),243.08)</f>
        <v>243.08</v>
      </c>
      <c r="E76" s="1">
        <f ca="1">IFERROR(__xludf.DUMMYFUNCTION("""COMPUTED_VALUE"""),162.35)</f>
        <v>162.35</v>
      </c>
      <c r="F76">
        <f t="shared" ca="1" si="13"/>
        <v>-8.615710435117406E-3</v>
      </c>
      <c r="G76">
        <f t="shared" ca="1" si="14"/>
        <v>-1.1245743248594295E-2</v>
      </c>
      <c r="H76">
        <f t="shared" ca="1" si="15"/>
        <v>-8.5651358185822434E-3</v>
      </c>
      <c r="I76">
        <f t="shared" ca="1" si="16"/>
        <v>-1.4088783627861744E-2</v>
      </c>
      <c r="O76">
        <f t="shared" ca="1" si="17"/>
        <v>1.0949153443372388</v>
      </c>
      <c r="P76">
        <f t="shared" ca="1" si="18"/>
        <v>0.95203599206954515</v>
      </c>
      <c r="Q76">
        <f t="shared" ca="1" si="19"/>
        <v>1.0143125391195498</v>
      </c>
      <c r="R76">
        <f t="shared" ca="1" si="20"/>
        <v>1.252507329115877</v>
      </c>
    </row>
    <row r="77" spans="1:18" x14ac:dyDescent="0.3">
      <c r="A77" s="2">
        <f ca="1">IFERROR(__xludf.DUMMYFUNCTION("""COMPUTED_VALUE"""),44335.6666666666)</f>
        <v>44335.666666666599</v>
      </c>
      <c r="B77" s="1">
        <f ca="1">IFERROR(__xludf.DUMMYFUNCTION("""COMPUTED_VALUE"""),410.86)</f>
        <v>410.86</v>
      </c>
      <c r="C77" s="1">
        <f ca="1">IFERROR(__xludf.DUMMYFUNCTION("""COMPUTED_VALUE"""),124.69)</f>
        <v>124.69</v>
      </c>
      <c r="D77" s="1">
        <f ca="1">IFERROR(__xludf.DUMMYFUNCTION("""COMPUTED_VALUE"""),243.12)</f>
        <v>243.12</v>
      </c>
      <c r="E77" s="1">
        <f ca="1">IFERROR(__xludf.DUMMYFUNCTION("""COMPUTED_VALUE"""),161.11)</f>
        <v>161.11000000000001</v>
      </c>
      <c r="F77">
        <f t="shared" ca="1" si="13"/>
        <v>-2.6217410302470847E-3</v>
      </c>
      <c r="G77">
        <f t="shared" ca="1" si="14"/>
        <v>-1.2815378454144701E-3</v>
      </c>
      <c r="H77">
        <f t="shared" ca="1" si="15"/>
        <v>1.6455487905213116E-4</v>
      </c>
      <c r="I77">
        <f t="shared" ca="1" si="16"/>
        <v>-7.6378195257159271E-3</v>
      </c>
      <c r="O77">
        <f t="shared" ca="1" si="17"/>
        <v>1.0920447598543428</v>
      </c>
      <c r="P77">
        <f t="shared" ca="1" si="18"/>
        <v>0.95081592191551123</v>
      </c>
      <c r="Q77">
        <f t="shared" ca="1" si="19"/>
        <v>1.0144794491967457</v>
      </c>
      <c r="R77">
        <f t="shared" ca="1" si="20"/>
        <v>1.2429409041814534</v>
      </c>
    </row>
    <row r="78" spans="1:18" x14ac:dyDescent="0.3">
      <c r="A78" s="2">
        <f ca="1">IFERROR(__xludf.DUMMYFUNCTION("""COMPUTED_VALUE"""),44336.6666666666)</f>
        <v>44336.666666666599</v>
      </c>
      <c r="B78" s="1">
        <f ca="1">IFERROR(__xludf.DUMMYFUNCTION("""COMPUTED_VALUE"""),415.28)</f>
        <v>415.28</v>
      </c>
      <c r="C78" s="1">
        <f ca="1">IFERROR(__xludf.DUMMYFUNCTION("""COMPUTED_VALUE"""),127.31)</f>
        <v>127.31</v>
      </c>
      <c r="D78" s="1">
        <f ca="1">IFERROR(__xludf.DUMMYFUNCTION("""COMPUTED_VALUE"""),246.48)</f>
        <v>246.48</v>
      </c>
      <c r="E78" s="1">
        <f ca="1">IFERROR(__xludf.DUMMYFUNCTION("""COMPUTED_VALUE"""),160.83)</f>
        <v>160.83000000000001</v>
      </c>
      <c r="F78">
        <f t="shared" ca="1" si="13"/>
        <v>1.0757922406659102E-2</v>
      </c>
      <c r="G78">
        <f t="shared" ca="1" si="14"/>
        <v>2.1012110032881583E-2</v>
      </c>
      <c r="H78">
        <f t="shared" ca="1" si="15"/>
        <v>1.3820335636722546E-2</v>
      </c>
      <c r="I78">
        <f t="shared" ca="1" si="16"/>
        <v>-1.7379430202966986E-3</v>
      </c>
      <c r="O78">
        <f t="shared" ca="1" si="17"/>
        <v>1.1037928926454545</v>
      </c>
      <c r="P78">
        <f t="shared" ca="1" si="18"/>
        <v>0.97079457068781561</v>
      </c>
      <c r="Q78">
        <f t="shared" ca="1" si="19"/>
        <v>1.0284998956812021</v>
      </c>
      <c r="R78">
        <f t="shared" ca="1" si="20"/>
        <v>1.2407807437123899</v>
      </c>
    </row>
    <row r="79" spans="1:18" x14ac:dyDescent="0.3">
      <c r="A79" s="2">
        <f ca="1">IFERROR(__xludf.DUMMYFUNCTION("""COMPUTED_VALUE"""),44337.6666666666)</f>
        <v>44337.666666666599</v>
      </c>
      <c r="B79" s="1">
        <f ca="1">IFERROR(__xludf.DUMMYFUNCTION("""COMPUTED_VALUE"""),414.94)</f>
        <v>414.94</v>
      </c>
      <c r="C79" s="1">
        <f ca="1">IFERROR(__xludf.DUMMYFUNCTION("""COMPUTED_VALUE"""),125.43)</f>
        <v>125.43</v>
      </c>
      <c r="D79" s="1">
        <f ca="1">IFERROR(__xludf.DUMMYFUNCTION("""COMPUTED_VALUE"""),245.17)</f>
        <v>245.17</v>
      </c>
      <c r="E79" s="1">
        <f ca="1">IFERROR(__xludf.DUMMYFUNCTION("""COMPUTED_VALUE"""),162.66)</f>
        <v>162.66</v>
      </c>
      <c r="F79">
        <f t="shared" ca="1" si="13"/>
        <v>-8.1872471585430319E-4</v>
      </c>
      <c r="G79">
        <f t="shared" ca="1" si="14"/>
        <v>-1.4767103919566376E-2</v>
      </c>
      <c r="H79">
        <f t="shared" ca="1" si="15"/>
        <v>-5.3148328464784258E-3</v>
      </c>
      <c r="I79">
        <f t="shared" ca="1" si="16"/>
        <v>1.1378474165267573E-2</v>
      </c>
      <c r="O79">
        <f t="shared" ca="1" si="17"/>
        <v>1.1028891901230613</v>
      </c>
      <c r="P79">
        <f t="shared" ca="1" si="18"/>
        <v>0.95645874637791783</v>
      </c>
      <c r="Q79">
        <f t="shared" ca="1" si="19"/>
        <v>1.0230335906530361</v>
      </c>
      <c r="R79">
        <f t="shared" ca="1" si="20"/>
        <v>1.2548989353494828</v>
      </c>
    </row>
    <row r="80" spans="1:18" x14ac:dyDescent="0.3">
      <c r="A80" s="2">
        <f ca="1">IFERROR(__xludf.DUMMYFUNCTION("""COMPUTED_VALUE"""),44340.6666666666)</f>
        <v>44340.666666666599</v>
      </c>
      <c r="B80" s="1">
        <f ca="1">IFERROR(__xludf.DUMMYFUNCTION("""COMPUTED_VALUE"""),419.17)</f>
        <v>419.17</v>
      </c>
      <c r="C80" s="1">
        <f ca="1">IFERROR(__xludf.DUMMYFUNCTION("""COMPUTED_VALUE"""),127.1)</f>
        <v>127.1</v>
      </c>
      <c r="D80" s="1">
        <f ca="1">IFERROR(__xludf.DUMMYFUNCTION("""COMPUTED_VALUE"""),250.78)</f>
        <v>250.78</v>
      </c>
      <c r="E80" s="1">
        <f ca="1">IFERROR(__xludf.DUMMYFUNCTION("""COMPUTED_VALUE"""),163.54)</f>
        <v>163.54</v>
      </c>
      <c r="F80">
        <f t="shared" ca="1" si="13"/>
        <v>1.0194244951077309E-2</v>
      </c>
      <c r="G80">
        <f t="shared" ca="1" si="14"/>
        <v>1.3314199154907018E-2</v>
      </c>
      <c r="H80">
        <f t="shared" ca="1" si="15"/>
        <v>2.2882081820777476E-2</v>
      </c>
      <c r="I80">
        <f t="shared" ca="1" si="16"/>
        <v>5.4100577892536297E-3</v>
      </c>
      <c r="O80">
        <f t="shared" ca="1" si="17"/>
        <v>1.1141323126810709</v>
      </c>
      <c r="P80">
        <f t="shared" ca="1" si="18"/>
        <v>0.96919322861064616</v>
      </c>
      <c r="Q80">
        <f t="shared" ca="1" si="19"/>
        <v>1.0464427289797626</v>
      </c>
      <c r="R80">
        <f t="shared" ca="1" si="20"/>
        <v>1.2616880111093962</v>
      </c>
    </row>
    <row r="81" spans="1:18" x14ac:dyDescent="0.3">
      <c r="A81" s="2">
        <f ca="1">IFERROR(__xludf.DUMMYFUNCTION("""COMPUTED_VALUE"""),44341.6666666666)</f>
        <v>44341.666666666599</v>
      </c>
      <c r="B81" s="1">
        <f ca="1">IFERROR(__xludf.DUMMYFUNCTION("""COMPUTED_VALUE"""),418.24)</f>
        <v>418.24</v>
      </c>
      <c r="C81" s="1">
        <f ca="1">IFERROR(__xludf.DUMMYFUNCTION("""COMPUTED_VALUE"""),126.9)</f>
        <v>126.9</v>
      </c>
      <c r="D81" s="1">
        <f ca="1">IFERROR(__xludf.DUMMYFUNCTION("""COMPUTED_VALUE"""),251.72)</f>
        <v>251.72</v>
      </c>
      <c r="E81" s="1">
        <f ca="1">IFERROR(__xludf.DUMMYFUNCTION("""COMPUTED_VALUE"""),161.85)</f>
        <v>161.85</v>
      </c>
      <c r="F81">
        <f t="shared" ca="1" si="13"/>
        <v>-2.2186702292626066E-3</v>
      </c>
      <c r="G81">
        <f t="shared" ca="1" si="14"/>
        <v>-1.5735641227379122E-3</v>
      </c>
      <c r="H81">
        <f t="shared" ca="1" si="15"/>
        <v>3.7483052875029814E-3</v>
      </c>
      <c r="I81">
        <f t="shared" ca="1" si="16"/>
        <v>-1.0333863275039733E-2</v>
      </c>
      <c r="O81">
        <f t="shared" ca="1" si="17"/>
        <v>1.111660420487466</v>
      </c>
      <c r="P81">
        <f t="shared" ca="1" si="18"/>
        <v>0.96766814091810394</v>
      </c>
      <c r="Q81">
        <f t="shared" ca="1" si="19"/>
        <v>1.0503651157938665</v>
      </c>
      <c r="R81">
        <f t="shared" ca="1" si="20"/>
        <v>1.2486498997068349</v>
      </c>
    </row>
    <row r="82" spans="1:18" x14ac:dyDescent="0.3">
      <c r="A82" s="2">
        <f ca="1">IFERROR(__xludf.DUMMYFUNCTION("""COMPUTED_VALUE"""),44342.6666666666)</f>
        <v>44342.666666666599</v>
      </c>
      <c r="B82" s="1">
        <f ca="1">IFERROR(__xludf.DUMMYFUNCTION("""COMPUTED_VALUE"""),419.07)</f>
        <v>419.07</v>
      </c>
      <c r="C82" s="1">
        <f ca="1">IFERROR(__xludf.DUMMYFUNCTION("""COMPUTED_VALUE"""),126.85)</f>
        <v>126.85</v>
      </c>
      <c r="D82" s="1">
        <f ca="1">IFERROR(__xludf.DUMMYFUNCTION("""COMPUTED_VALUE"""),251.49)</f>
        <v>251.49</v>
      </c>
      <c r="E82" s="1">
        <f ca="1">IFERROR(__xludf.DUMMYFUNCTION("""COMPUTED_VALUE"""),161.83)</f>
        <v>161.83000000000001</v>
      </c>
      <c r="F82">
        <f t="shared" ca="1" si="13"/>
        <v>1.984506503442961E-3</v>
      </c>
      <c r="G82">
        <f t="shared" ca="1" si="14"/>
        <v>-3.9401103230899423E-4</v>
      </c>
      <c r="H82">
        <f t="shared" ca="1" si="15"/>
        <v>-9.137136500873581E-4</v>
      </c>
      <c r="I82">
        <f t="shared" ca="1" si="16"/>
        <v>-1.2357120790844494E-4</v>
      </c>
      <c r="O82">
        <f t="shared" ca="1" si="17"/>
        <v>1.1138665178215434</v>
      </c>
      <c r="P82">
        <f t="shared" ca="1" si="18"/>
        <v>0.9672868689949683</v>
      </c>
      <c r="Q82">
        <f t="shared" ca="1" si="19"/>
        <v>1.0494053828499901</v>
      </c>
      <c r="R82">
        <f t="shared" ca="1" si="20"/>
        <v>1.2484956025304734</v>
      </c>
    </row>
    <row r="83" spans="1:18" x14ac:dyDescent="0.3">
      <c r="A83" s="2">
        <f ca="1">IFERROR(__xludf.DUMMYFUNCTION("""COMPUTED_VALUE"""),44343.6666666666)</f>
        <v>44343.666666666599</v>
      </c>
      <c r="B83" s="1">
        <f ca="1">IFERROR(__xludf.DUMMYFUNCTION("""COMPUTED_VALUE"""),419.29)</f>
        <v>419.29</v>
      </c>
      <c r="C83" s="1">
        <f ca="1">IFERROR(__xludf.DUMMYFUNCTION("""COMPUTED_VALUE"""),125.28)</f>
        <v>125.28</v>
      </c>
      <c r="D83" s="1">
        <f ca="1">IFERROR(__xludf.DUMMYFUNCTION("""COMPUTED_VALUE"""),249.31)</f>
        <v>249.31</v>
      </c>
      <c r="E83" s="1">
        <f ca="1">IFERROR(__xludf.DUMMYFUNCTION("""COMPUTED_VALUE"""),164.35)</f>
        <v>164.35</v>
      </c>
      <c r="F83">
        <f t="shared" ca="1" si="13"/>
        <v>5.2497196172483665E-4</v>
      </c>
      <c r="G83">
        <f t="shared" ca="1" si="14"/>
        <v>-1.2376823019314098E-2</v>
      </c>
      <c r="H83">
        <f t="shared" ca="1" si="15"/>
        <v>-8.6683367131894177E-3</v>
      </c>
      <c r="I83">
        <f t="shared" ca="1" si="16"/>
        <v>1.5571896434529948E-2</v>
      </c>
      <c r="O83">
        <f t="shared" ca="1" si="17"/>
        <v>1.1144512665125039</v>
      </c>
      <c r="P83">
        <f t="shared" ca="1" si="18"/>
        <v>0.95531493060851114</v>
      </c>
      <c r="Q83">
        <f t="shared" ca="1" si="19"/>
        <v>1.0403087836428129</v>
      </c>
      <c r="R83">
        <f t="shared" ca="1" si="20"/>
        <v>1.2679370467520441</v>
      </c>
    </row>
    <row r="84" spans="1:18" x14ac:dyDescent="0.3">
      <c r="A84" s="2">
        <f ca="1">IFERROR(__xludf.DUMMYFUNCTION("""COMPUTED_VALUE"""),44344.6666666666)</f>
        <v>44344.666666666599</v>
      </c>
      <c r="B84" s="1">
        <f ca="1">IFERROR(__xludf.DUMMYFUNCTION("""COMPUTED_VALUE"""),420.04)</f>
        <v>420.04</v>
      </c>
      <c r="C84" s="1">
        <f ca="1">IFERROR(__xludf.DUMMYFUNCTION("""COMPUTED_VALUE"""),124.61)</f>
        <v>124.61</v>
      </c>
      <c r="D84" s="1">
        <f ca="1">IFERROR(__xludf.DUMMYFUNCTION("""COMPUTED_VALUE"""),249.68)</f>
        <v>249.68</v>
      </c>
      <c r="E84" s="1">
        <f ca="1">IFERROR(__xludf.DUMMYFUNCTION("""COMPUTED_VALUE"""),164.24)</f>
        <v>164.24</v>
      </c>
      <c r="F84">
        <f t="shared" ca="1" si="13"/>
        <v>1.7887381048916024E-3</v>
      </c>
      <c r="G84">
        <f t="shared" ca="1" si="14"/>
        <v>-5.3480204342273444E-3</v>
      </c>
      <c r="H84">
        <f t="shared" ca="1" si="15"/>
        <v>1.4840961052505095E-3</v>
      </c>
      <c r="I84">
        <f t="shared" ca="1" si="16"/>
        <v>-6.6930331609361255E-4</v>
      </c>
      <c r="O84">
        <f t="shared" ca="1" si="17"/>
        <v>1.1164447279589595</v>
      </c>
      <c r="P84">
        <f t="shared" ca="1" si="18"/>
        <v>0.95020588683849438</v>
      </c>
      <c r="Q84">
        <f t="shared" ca="1" si="19"/>
        <v>1.0418527018568751</v>
      </c>
      <c r="R84">
        <f t="shared" ca="1" si="20"/>
        <v>1.2670884122820549</v>
      </c>
    </row>
    <row r="85" spans="1:18" x14ac:dyDescent="0.3">
      <c r="A85" s="2">
        <f ca="1">IFERROR(__xludf.DUMMYFUNCTION("""COMPUTED_VALUE"""),44348.6666666666)</f>
        <v>44348.666666666599</v>
      </c>
      <c r="B85" s="1">
        <f ca="1">IFERROR(__xludf.DUMMYFUNCTION("""COMPUTED_VALUE"""),419.67)</f>
        <v>419.67</v>
      </c>
      <c r="C85" s="1">
        <f ca="1">IFERROR(__xludf.DUMMYFUNCTION("""COMPUTED_VALUE"""),124.28)</f>
        <v>124.28</v>
      </c>
      <c r="D85" s="1">
        <f ca="1">IFERROR(__xludf.DUMMYFUNCTION("""COMPUTED_VALUE"""),247.4)</f>
        <v>247.4</v>
      </c>
      <c r="E85" s="1">
        <f ca="1">IFERROR(__xludf.DUMMYFUNCTION("""COMPUTED_VALUE"""),166.05)</f>
        <v>166.05</v>
      </c>
      <c r="F85">
        <f t="shared" ca="1" si="13"/>
        <v>-8.8086848871537127E-4</v>
      </c>
      <c r="G85">
        <f t="shared" ca="1" si="14"/>
        <v>-2.6482625792472376E-3</v>
      </c>
      <c r="H85">
        <f t="shared" ca="1" si="15"/>
        <v>-9.1316885613585436E-3</v>
      </c>
      <c r="I85">
        <f t="shared" ca="1" si="16"/>
        <v>1.1020457866536789E-2</v>
      </c>
      <c r="O85">
        <f t="shared" ca="1" si="17"/>
        <v>1.1154612869787082</v>
      </c>
      <c r="P85">
        <f t="shared" ca="1" si="18"/>
        <v>0.94768949214579956</v>
      </c>
      <c r="Q85">
        <f t="shared" ca="1" si="19"/>
        <v>1.032338827456708</v>
      </c>
      <c r="R85">
        <f t="shared" ca="1" si="20"/>
        <v>1.2810523067427861</v>
      </c>
    </row>
    <row r="86" spans="1:18" x14ac:dyDescent="0.3">
      <c r="A86" s="2">
        <f ca="1">IFERROR(__xludf.DUMMYFUNCTION("""COMPUTED_VALUE"""),44349.6666666666)</f>
        <v>44349.666666666599</v>
      </c>
      <c r="B86" s="1">
        <f ca="1">IFERROR(__xludf.DUMMYFUNCTION("""COMPUTED_VALUE"""),420.33)</f>
        <v>420.33</v>
      </c>
      <c r="C86" s="1">
        <f ca="1">IFERROR(__xludf.DUMMYFUNCTION("""COMPUTED_VALUE"""),125.06)</f>
        <v>125.06</v>
      </c>
      <c r="D86" s="1">
        <f ca="1">IFERROR(__xludf.DUMMYFUNCTION("""COMPUTED_VALUE"""),247.3)</f>
        <v>247.3</v>
      </c>
      <c r="E86" s="1">
        <f ca="1">IFERROR(__xludf.DUMMYFUNCTION("""COMPUTED_VALUE"""),166.06)</f>
        <v>166.06</v>
      </c>
      <c r="F86">
        <f t="shared" ca="1" si="13"/>
        <v>1.5726642361854986E-3</v>
      </c>
      <c r="G86">
        <f t="shared" ca="1" si="14"/>
        <v>6.2761506276150722E-3</v>
      </c>
      <c r="H86">
        <f t="shared" ca="1" si="15"/>
        <v>-4.042037186741888E-4</v>
      </c>
      <c r="I86">
        <f t="shared" ca="1" si="16"/>
        <v>6.0222824450411953E-5</v>
      </c>
      <c r="O86">
        <f t="shared" ca="1" si="17"/>
        <v>1.1172155330515892</v>
      </c>
      <c r="P86">
        <f t="shared" ca="1" si="18"/>
        <v>0.95363733414671459</v>
      </c>
      <c r="Q86">
        <f t="shared" ca="1" si="19"/>
        <v>1.0319215522637182</v>
      </c>
      <c r="R86">
        <f t="shared" ca="1" si="20"/>
        <v>1.2811294553309669</v>
      </c>
    </row>
    <row r="87" spans="1:18" x14ac:dyDescent="0.3">
      <c r="A87" s="2">
        <f ca="1">IFERROR(__xludf.DUMMYFUNCTION("""COMPUTED_VALUE"""),44350.6666666666)</f>
        <v>44350.666666666599</v>
      </c>
      <c r="B87" s="1">
        <f ca="1">IFERROR(__xludf.DUMMYFUNCTION("""COMPUTED_VALUE"""),418.77)</f>
        <v>418.77</v>
      </c>
      <c r="C87" s="1">
        <f ca="1">IFERROR(__xludf.DUMMYFUNCTION("""COMPUTED_VALUE"""),123.54)</f>
        <v>123.54</v>
      </c>
      <c r="D87" s="1">
        <f ca="1">IFERROR(__xludf.DUMMYFUNCTION("""COMPUTED_VALUE"""),245.71)</f>
        <v>245.71</v>
      </c>
      <c r="E87" s="1">
        <f ca="1">IFERROR(__xludf.DUMMYFUNCTION("""COMPUTED_VALUE"""),166.17)</f>
        <v>166.17</v>
      </c>
      <c r="F87">
        <f t="shared" ca="1" si="13"/>
        <v>-3.7113696381414658E-3</v>
      </c>
      <c r="G87">
        <f t="shared" ca="1" si="14"/>
        <v>-1.2154166000319815E-2</v>
      </c>
      <c r="H87">
        <f t="shared" ca="1" si="15"/>
        <v>-6.4294379296401267E-3</v>
      </c>
      <c r="I87">
        <f t="shared" ca="1" si="16"/>
        <v>6.6241117668303757E-4</v>
      </c>
      <c r="O87">
        <f t="shared" ca="1" si="17"/>
        <v>1.1130691332429614</v>
      </c>
      <c r="P87">
        <f t="shared" ca="1" si="18"/>
        <v>0.94204666768339296</v>
      </c>
      <c r="Q87">
        <f t="shared" ca="1" si="19"/>
        <v>1.0252868766951808</v>
      </c>
      <c r="R87">
        <f t="shared" ca="1" si="20"/>
        <v>1.2819780898009561</v>
      </c>
    </row>
    <row r="88" spans="1:18" x14ac:dyDescent="0.3">
      <c r="A88" s="2">
        <f ca="1">IFERROR(__xludf.DUMMYFUNCTION("""COMPUTED_VALUE"""),44351.6666666666)</f>
        <v>44351.666666666599</v>
      </c>
      <c r="B88" s="1">
        <f ca="1">IFERROR(__xludf.DUMMYFUNCTION("""COMPUTED_VALUE"""),422.6)</f>
        <v>422.6</v>
      </c>
      <c r="C88" s="1">
        <f ca="1">IFERROR(__xludf.DUMMYFUNCTION("""COMPUTED_VALUE"""),125.89)</f>
        <v>125.89</v>
      </c>
      <c r="D88" s="1">
        <f ca="1">IFERROR(__xludf.DUMMYFUNCTION("""COMPUTED_VALUE"""),250.79)</f>
        <v>250.79</v>
      </c>
      <c r="E88" s="1">
        <f ca="1">IFERROR(__xludf.DUMMYFUNCTION("""COMPUTED_VALUE"""),166.44)</f>
        <v>166.44</v>
      </c>
      <c r="F88">
        <f t="shared" ca="1" si="13"/>
        <v>9.1458318408674001E-3</v>
      </c>
      <c r="G88">
        <f t="shared" ca="1" si="14"/>
        <v>1.9022179051319362E-2</v>
      </c>
      <c r="H88">
        <f t="shared" ca="1" si="15"/>
        <v>2.0674779211265246E-2</v>
      </c>
      <c r="I88">
        <f t="shared" ca="1" si="16"/>
        <v>1.6248420292472182E-3</v>
      </c>
      <c r="O88">
        <f t="shared" ca="1" si="17"/>
        <v>1.1232490763628618</v>
      </c>
      <c r="P88">
        <f t="shared" ca="1" si="18"/>
        <v>0.95996644807076525</v>
      </c>
      <c r="Q88">
        <f t="shared" ca="1" si="19"/>
        <v>1.0464844564990614</v>
      </c>
      <c r="R88">
        <f t="shared" ca="1" si="20"/>
        <v>1.2840611016818388</v>
      </c>
    </row>
    <row r="89" spans="1:18" x14ac:dyDescent="0.3">
      <c r="A89" s="2">
        <f ca="1">IFERROR(__xludf.DUMMYFUNCTION("""COMPUTED_VALUE"""),44354.6666666666)</f>
        <v>44354.666666666599</v>
      </c>
      <c r="B89" s="1">
        <f ca="1">IFERROR(__xludf.DUMMYFUNCTION("""COMPUTED_VALUE"""),422.19)</f>
        <v>422.19</v>
      </c>
      <c r="C89" s="1">
        <f ca="1">IFERROR(__xludf.DUMMYFUNCTION("""COMPUTED_VALUE"""),125.9)</f>
        <v>125.9</v>
      </c>
      <c r="D89" s="1">
        <f ca="1">IFERROR(__xludf.DUMMYFUNCTION("""COMPUTED_VALUE"""),253.81)</f>
        <v>253.81</v>
      </c>
      <c r="E89" s="1">
        <f ca="1">IFERROR(__xludf.DUMMYFUNCTION("""COMPUTED_VALUE"""),165.66)</f>
        <v>165.66</v>
      </c>
      <c r="F89">
        <f t="shared" ca="1" si="13"/>
        <v>-9.7018457169906528E-4</v>
      </c>
      <c r="G89">
        <f t="shared" ca="1" si="14"/>
        <v>7.94344268806507E-5</v>
      </c>
      <c r="H89">
        <f t="shared" ca="1" si="15"/>
        <v>1.2041947446070459E-2</v>
      </c>
      <c r="I89">
        <f t="shared" ca="1" si="16"/>
        <v>-4.6863734679163729E-3</v>
      </c>
      <c r="O89">
        <f t="shared" ca="1" si="17"/>
        <v>1.1221593174387994</v>
      </c>
      <c r="P89">
        <f t="shared" ca="1" si="18"/>
        <v>0.96004270245539236</v>
      </c>
      <c r="Q89">
        <f t="shared" ca="1" si="19"/>
        <v>1.0590861673273526</v>
      </c>
      <c r="R89">
        <f t="shared" ca="1" si="20"/>
        <v>1.2780435118037337</v>
      </c>
    </row>
    <row r="90" spans="1:18" x14ac:dyDescent="0.3">
      <c r="A90" s="2">
        <f ca="1">IFERROR(__xludf.DUMMYFUNCTION("""COMPUTED_VALUE"""),44355.6666666666)</f>
        <v>44355.666666666599</v>
      </c>
      <c r="B90" s="1">
        <f ca="1">IFERROR(__xludf.DUMMYFUNCTION("""COMPUTED_VALUE"""),422.28)</f>
        <v>422.28</v>
      </c>
      <c r="C90" s="1">
        <f ca="1">IFERROR(__xludf.DUMMYFUNCTION("""COMPUTED_VALUE"""),126.74)</f>
        <v>126.74</v>
      </c>
      <c r="D90" s="1">
        <f ca="1">IFERROR(__xludf.DUMMYFUNCTION("""COMPUTED_VALUE"""),252.57)</f>
        <v>252.57</v>
      </c>
      <c r="E90" s="1">
        <f ca="1">IFERROR(__xludf.DUMMYFUNCTION("""COMPUTED_VALUE"""),165)</f>
        <v>165</v>
      </c>
      <c r="F90">
        <f t="shared" ca="1" si="13"/>
        <v>2.1317416329134985E-4</v>
      </c>
      <c r="G90">
        <f t="shared" ca="1" si="14"/>
        <v>6.6719618745034884E-3</v>
      </c>
      <c r="H90">
        <f t="shared" ca="1" si="15"/>
        <v>-4.8855443047949613E-3</v>
      </c>
      <c r="I90">
        <f t="shared" ca="1" si="16"/>
        <v>-3.9840637450198994E-3</v>
      </c>
      <c r="O90">
        <f t="shared" ca="1" si="17"/>
        <v>1.122398532812374</v>
      </c>
      <c r="P90">
        <f t="shared" ca="1" si="18"/>
        <v>0.96644807076407002</v>
      </c>
      <c r="Q90">
        <f t="shared" ca="1" si="19"/>
        <v>1.0539119549342795</v>
      </c>
      <c r="R90">
        <f t="shared" ca="1" si="20"/>
        <v>1.2729517049837984</v>
      </c>
    </row>
    <row r="91" spans="1:18" x14ac:dyDescent="0.3">
      <c r="A91" s="2">
        <f ca="1">IFERROR(__xludf.DUMMYFUNCTION("""COMPUTED_VALUE"""),44356.6666666666)</f>
        <v>44356.666666666599</v>
      </c>
      <c r="B91" s="1">
        <f ca="1">IFERROR(__xludf.DUMMYFUNCTION("""COMPUTED_VALUE"""),421.65)</f>
        <v>421.65</v>
      </c>
      <c r="C91" s="1">
        <f ca="1">IFERROR(__xludf.DUMMYFUNCTION("""COMPUTED_VALUE"""),127.13)</f>
        <v>127.13</v>
      </c>
      <c r="D91" s="1">
        <f ca="1">IFERROR(__xludf.DUMMYFUNCTION("""COMPUTED_VALUE"""),253.59)</f>
        <v>253.59</v>
      </c>
      <c r="E91" s="1">
        <f ca="1">IFERROR(__xludf.DUMMYFUNCTION("""COMPUTED_VALUE"""),162.94)</f>
        <v>162.94</v>
      </c>
      <c r="F91">
        <f t="shared" ca="1" si="13"/>
        <v>-1.491901108269384E-3</v>
      </c>
      <c r="G91">
        <f t="shared" ca="1" si="14"/>
        <v>3.0771658513492235E-3</v>
      </c>
      <c r="H91">
        <f t="shared" ca="1" si="15"/>
        <v>4.038484380567804E-3</v>
      </c>
      <c r="I91">
        <f t="shared" ca="1" si="16"/>
        <v>-1.2484848484848498E-2</v>
      </c>
      <c r="O91">
        <f t="shared" ca="1" si="17"/>
        <v>1.1207240251973514</v>
      </c>
      <c r="P91">
        <f t="shared" ca="1" si="18"/>
        <v>0.9694219917645277</v>
      </c>
      <c r="Q91">
        <f t="shared" ca="1" si="19"/>
        <v>1.0581681619027754</v>
      </c>
      <c r="R91">
        <f t="shared" ca="1" si="20"/>
        <v>1.2570590958185461</v>
      </c>
    </row>
    <row r="92" spans="1:18" x14ac:dyDescent="0.3">
      <c r="A92" s="2">
        <f ca="1">IFERROR(__xludf.DUMMYFUNCTION("""COMPUTED_VALUE"""),44357.6666666666)</f>
        <v>44357.666666666599</v>
      </c>
      <c r="B92" s="1">
        <f ca="1">IFERROR(__xludf.DUMMYFUNCTION("""COMPUTED_VALUE"""),423.61)</f>
        <v>423.61</v>
      </c>
      <c r="C92" s="1">
        <f ca="1">IFERROR(__xludf.DUMMYFUNCTION("""COMPUTED_VALUE"""),126.11)</f>
        <v>126.11</v>
      </c>
      <c r="D92" s="1">
        <f ca="1">IFERROR(__xludf.DUMMYFUNCTION("""COMPUTED_VALUE"""),257.24)</f>
        <v>257.24</v>
      </c>
      <c r="E92" s="1">
        <f ca="1">IFERROR(__xludf.DUMMYFUNCTION("""COMPUTED_VALUE"""),160.4)</f>
        <v>160.4</v>
      </c>
      <c r="F92">
        <f t="shared" ca="1" si="13"/>
        <v>4.6484050752995058E-3</v>
      </c>
      <c r="G92">
        <f t="shared" ca="1" si="14"/>
        <v>-8.0232832533626685E-3</v>
      </c>
      <c r="H92">
        <f t="shared" ca="1" si="15"/>
        <v>1.4393312039118283E-2</v>
      </c>
      <c r="I92">
        <f t="shared" ca="1" si="16"/>
        <v>-1.5588560206210826E-2</v>
      </c>
      <c r="O92">
        <f t="shared" ca="1" si="17"/>
        <v>1.1259336044440889</v>
      </c>
      <c r="P92">
        <f t="shared" ca="1" si="18"/>
        <v>0.96164404453256191</v>
      </c>
      <c r="Q92">
        <f t="shared" ca="1" si="19"/>
        <v>1.0733987064469022</v>
      </c>
      <c r="R92">
        <f t="shared" ca="1" si="20"/>
        <v>1.2374633544206137</v>
      </c>
    </row>
    <row r="93" spans="1:18" x14ac:dyDescent="0.3">
      <c r="A93" s="2">
        <f ca="1">IFERROR(__xludf.DUMMYFUNCTION("""COMPUTED_VALUE"""),44358.6666666666)</f>
        <v>44358.666666666599</v>
      </c>
      <c r="B93" s="1">
        <f ca="1">IFERROR(__xludf.DUMMYFUNCTION("""COMPUTED_VALUE"""),424.31)</f>
        <v>424.31</v>
      </c>
      <c r="C93" s="1">
        <f ca="1">IFERROR(__xludf.DUMMYFUNCTION("""COMPUTED_VALUE"""),127.35)</f>
        <v>127.35</v>
      </c>
      <c r="D93" s="1">
        <f ca="1">IFERROR(__xludf.DUMMYFUNCTION("""COMPUTED_VALUE"""),257.89)</f>
        <v>257.89</v>
      </c>
      <c r="E93" s="1">
        <f ca="1">IFERROR(__xludf.DUMMYFUNCTION("""COMPUTED_VALUE"""),160.29)</f>
        <v>160.29</v>
      </c>
      <c r="F93">
        <f t="shared" ca="1" si="13"/>
        <v>1.6524633507235161E-3</v>
      </c>
      <c r="G93">
        <f t="shared" ca="1" si="14"/>
        <v>9.8326857505352059E-3</v>
      </c>
      <c r="H93">
        <f t="shared" ca="1" si="15"/>
        <v>2.5268232001243091E-3</v>
      </c>
      <c r="I93">
        <f t="shared" ca="1" si="16"/>
        <v>-6.8578553615968605E-4</v>
      </c>
      <c r="O93">
        <f t="shared" ca="1" si="17"/>
        <v>1.1277941684607808</v>
      </c>
      <c r="P93">
        <f t="shared" ca="1" si="18"/>
        <v>0.97109958822632436</v>
      </c>
      <c r="Q93">
        <f t="shared" ca="1" si="19"/>
        <v>1.0761109952013357</v>
      </c>
      <c r="R93">
        <f t="shared" ca="1" si="20"/>
        <v>1.2366147199506243</v>
      </c>
    </row>
    <row r="94" spans="1:18" x14ac:dyDescent="0.3">
      <c r="A94" s="2">
        <f ca="1">IFERROR(__xludf.DUMMYFUNCTION("""COMPUTED_VALUE"""),44361.6666666666)</f>
        <v>44361.666666666599</v>
      </c>
      <c r="B94" s="1">
        <f ca="1">IFERROR(__xludf.DUMMYFUNCTION("""COMPUTED_VALUE"""),425.26)</f>
        <v>425.26</v>
      </c>
      <c r="C94" s="1">
        <f ca="1">IFERROR(__xludf.DUMMYFUNCTION("""COMPUTED_VALUE"""),130.48)</f>
        <v>130.47999999999999</v>
      </c>
      <c r="D94" s="1">
        <f ca="1">IFERROR(__xludf.DUMMYFUNCTION("""COMPUTED_VALUE"""),259.89)</f>
        <v>259.89</v>
      </c>
      <c r="E94" s="1">
        <f ca="1">IFERROR(__xludf.DUMMYFUNCTION("""COMPUTED_VALUE"""),157.57)</f>
        <v>157.57</v>
      </c>
      <c r="F94">
        <f t="shared" ca="1" si="13"/>
        <v>2.2389290848671695E-3</v>
      </c>
      <c r="G94">
        <f t="shared" ca="1" si="14"/>
        <v>2.4577934825284614E-2</v>
      </c>
      <c r="H94">
        <f t="shared" ca="1" si="15"/>
        <v>7.7552444840823607E-3</v>
      </c>
      <c r="I94">
        <f t="shared" ca="1" si="16"/>
        <v>-1.6969243246615504E-2</v>
      </c>
      <c r="O94">
        <f t="shared" ca="1" si="17"/>
        <v>1.1303192196262912</v>
      </c>
      <c r="P94">
        <f t="shared" ca="1" si="18"/>
        <v>0.99496721061461169</v>
      </c>
      <c r="Q94">
        <f t="shared" ca="1" si="19"/>
        <v>1.0844564990611312</v>
      </c>
      <c r="R94">
        <f t="shared" ca="1" si="20"/>
        <v>1.2156303039654368</v>
      </c>
    </row>
    <row r="95" spans="1:18" x14ac:dyDescent="0.3">
      <c r="A95" s="2">
        <f ca="1">IFERROR(__xludf.DUMMYFUNCTION("""COMPUTED_VALUE"""),44362.6666666666)</f>
        <v>44362.666666666599</v>
      </c>
      <c r="B95" s="1">
        <f ca="1">IFERROR(__xludf.DUMMYFUNCTION("""COMPUTED_VALUE"""),424.48)</f>
        <v>424.48</v>
      </c>
      <c r="C95" s="1">
        <f ca="1">IFERROR(__xludf.DUMMYFUNCTION("""COMPUTED_VALUE"""),129.64)</f>
        <v>129.63999999999999</v>
      </c>
      <c r="D95" s="1">
        <f ca="1">IFERROR(__xludf.DUMMYFUNCTION("""COMPUTED_VALUE"""),258.36)</f>
        <v>258.36</v>
      </c>
      <c r="E95" s="1">
        <f ca="1">IFERROR(__xludf.DUMMYFUNCTION("""COMPUTED_VALUE"""),155.18)</f>
        <v>155.18</v>
      </c>
      <c r="F95">
        <f t="shared" ca="1" si="13"/>
        <v>-1.8341720359308959E-3</v>
      </c>
      <c r="G95">
        <f t="shared" ca="1" si="14"/>
        <v>-6.4377682403433745E-3</v>
      </c>
      <c r="H95">
        <f t="shared" ca="1" si="15"/>
        <v>-5.8871060833428478E-3</v>
      </c>
      <c r="I95">
        <f t="shared" ca="1" si="16"/>
        <v>-1.5167861902646356E-2</v>
      </c>
      <c r="O95">
        <f t="shared" ca="1" si="17"/>
        <v>1.1282460197219775</v>
      </c>
      <c r="P95">
        <f t="shared" ca="1" si="18"/>
        <v>0.98856184230593391</v>
      </c>
      <c r="Q95">
        <f t="shared" ca="1" si="19"/>
        <v>1.0780721886083877</v>
      </c>
      <c r="R95">
        <f t="shared" ca="1" si="20"/>
        <v>1.197191791390217</v>
      </c>
    </row>
    <row r="96" spans="1:18" x14ac:dyDescent="0.3">
      <c r="A96" s="2">
        <f ca="1">IFERROR(__xludf.DUMMYFUNCTION("""COMPUTED_VALUE"""),44363.6666666666)</f>
        <v>44363.666666666599</v>
      </c>
      <c r="B96" s="1">
        <f ca="1">IFERROR(__xludf.DUMMYFUNCTION("""COMPUTED_VALUE"""),422.11)</f>
        <v>422.11</v>
      </c>
      <c r="C96" s="1">
        <f ca="1">IFERROR(__xludf.DUMMYFUNCTION("""COMPUTED_VALUE"""),130.15)</f>
        <v>130.15</v>
      </c>
      <c r="D96" s="1">
        <f ca="1">IFERROR(__xludf.DUMMYFUNCTION("""COMPUTED_VALUE"""),257.38)</f>
        <v>257.38</v>
      </c>
      <c r="E96" s="1">
        <f ca="1">IFERROR(__xludf.DUMMYFUNCTION("""COMPUTED_VALUE"""),156.27)</f>
        <v>156.27000000000001</v>
      </c>
      <c r="F96">
        <f t="shared" ca="1" si="13"/>
        <v>-5.5833019223520651E-3</v>
      </c>
      <c r="G96">
        <f t="shared" ca="1" si="14"/>
        <v>3.9339709966061355E-3</v>
      </c>
      <c r="H96">
        <f t="shared" ca="1" si="15"/>
        <v>-3.7931568354235105E-3</v>
      </c>
      <c r="I96">
        <f t="shared" ca="1" si="16"/>
        <v>7.0241010439489838E-3</v>
      </c>
      <c r="O96">
        <f t="shared" ca="1" si="17"/>
        <v>1.1219466815511778</v>
      </c>
      <c r="P96">
        <f t="shared" ca="1" si="18"/>
        <v>0.99245081592191708</v>
      </c>
      <c r="Q96">
        <f t="shared" ca="1" si="19"/>
        <v>1.0739828917170879</v>
      </c>
      <c r="R96">
        <f t="shared" ca="1" si="20"/>
        <v>1.205600987501928</v>
      </c>
    </row>
    <row r="97" spans="1:18" x14ac:dyDescent="0.3">
      <c r="A97" s="2">
        <f ca="1">IFERROR(__xludf.DUMMYFUNCTION("""COMPUTED_VALUE"""),44364.6666666666)</f>
        <v>44364.666666666599</v>
      </c>
      <c r="B97" s="1">
        <f ca="1">IFERROR(__xludf.DUMMYFUNCTION("""COMPUTED_VALUE"""),421.97)</f>
        <v>421.97</v>
      </c>
      <c r="C97" s="1">
        <f ca="1">IFERROR(__xludf.DUMMYFUNCTION("""COMPUTED_VALUE"""),131.79)</f>
        <v>131.79</v>
      </c>
      <c r="D97" s="1">
        <f ca="1">IFERROR(__xludf.DUMMYFUNCTION("""COMPUTED_VALUE"""),260.9)</f>
        <v>260.89999999999998</v>
      </c>
      <c r="E97" s="1">
        <f ca="1">IFERROR(__xludf.DUMMYFUNCTION("""COMPUTED_VALUE"""),151.76)</f>
        <v>151.76</v>
      </c>
      <c r="F97">
        <f t="shared" ca="1" si="13"/>
        <v>-3.3166710099259992E-4</v>
      </c>
      <c r="G97">
        <f t="shared" ca="1" si="14"/>
        <v>1.2600845178639925E-2</v>
      </c>
      <c r="H97">
        <f t="shared" ca="1" si="15"/>
        <v>1.3676276322946546E-2</v>
      </c>
      <c r="I97">
        <f t="shared" ca="1" si="16"/>
        <v>-2.8860305880847373E-2</v>
      </c>
      <c r="O97">
        <f t="shared" ca="1" si="17"/>
        <v>1.1215745687478393</v>
      </c>
      <c r="P97">
        <f t="shared" ca="1" si="18"/>
        <v>1.0049565350007641</v>
      </c>
      <c r="Q97">
        <f t="shared" ca="1" si="19"/>
        <v>1.0886709785103279</v>
      </c>
      <c r="R97">
        <f t="shared" ca="1" si="20"/>
        <v>1.1708069742323706</v>
      </c>
    </row>
    <row r="98" spans="1:18" x14ac:dyDescent="0.3">
      <c r="A98" s="2">
        <f ca="1">IFERROR(__xludf.DUMMYFUNCTION("""COMPUTED_VALUE"""),44365.6666666666)</f>
        <v>44365.666666666599</v>
      </c>
      <c r="B98" s="1">
        <f ca="1">IFERROR(__xludf.DUMMYFUNCTION("""COMPUTED_VALUE"""),414.92)</f>
        <v>414.92</v>
      </c>
      <c r="C98" s="1">
        <f ca="1">IFERROR(__xludf.DUMMYFUNCTION("""COMPUTED_VALUE"""),130.46)</f>
        <v>130.46</v>
      </c>
      <c r="D98" s="1">
        <f ca="1">IFERROR(__xludf.DUMMYFUNCTION("""COMPUTED_VALUE"""),259.43)</f>
        <v>259.43</v>
      </c>
      <c r="E98" s="1">
        <f ca="1">IFERROR(__xludf.DUMMYFUNCTION("""COMPUTED_VALUE"""),147.92)</f>
        <v>147.91999999999999</v>
      </c>
      <c r="F98">
        <f t="shared" ca="1" si="13"/>
        <v>-1.6707348863663318E-2</v>
      </c>
      <c r="G98">
        <f t="shared" ca="1" si="14"/>
        <v>-1.0091812732377147E-2</v>
      </c>
      <c r="H98">
        <f t="shared" ca="1" si="15"/>
        <v>-5.6343426600228841E-3</v>
      </c>
      <c r="I98">
        <f t="shared" ca="1" si="16"/>
        <v>-2.5303110173958906E-2</v>
      </c>
      <c r="O98">
        <f t="shared" ca="1" si="17"/>
        <v>1.1028360311511565</v>
      </c>
      <c r="P98">
        <f t="shared" ca="1" si="18"/>
        <v>0.99481470184535781</v>
      </c>
      <c r="Q98">
        <f t="shared" ca="1" si="19"/>
        <v>1.0825370331733783</v>
      </c>
      <c r="R98">
        <f t="shared" ca="1" si="20"/>
        <v>1.1411819163709294</v>
      </c>
    </row>
    <row r="99" spans="1:18" x14ac:dyDescent="0.3">
      <c r="A99" s="2">
        <f ca="1">IFERROR(__xludf.DUMMYFUNCTION("""COMPUTED_VALUE"""),44368.6666666666)</f>
        <v>44368.666666666599</v>
      </c>
      <c r="B99" s="1">
        <f ca="1">IFERROR(__xludf.DUMMYFUNCTION("""COMPUTED_VALUE"""),420.86)</f>
        <v>420.86</v>
      </c>
      <c r="C99" s="1">
        <f ca="1">IFERROR(__xludf.DUMMYFUNCTION("""COMPUTED_VALUE"""),132.3)</f>
        <v>132.30000000000001</v>
      </c>
      <c r="D99" s="1">
        <f ca="1">IFERROR(__xludf.DUMMYFUNCTION("""COMPUTED_VALUE"""),262.63)</f>
        <v>262.63</v>
      </c>
      <c r="E99" s="1">
        <f ca="1">IFERROR(__xludf.DUMMYFUNCTION("""COMPUTED_VALUE"""),150.43)</f>
        <v>150.43</v>
      </c>
      <c r="F99">
        <f t="shared" ca="1" si="13"/>
        <v>1.4316012725344638E-2</v>
      </c>
      <c r="G99">
        <f t="shared" ca="1" si="14"/>
        <v>1.4103939904951734E-2</v>
      </c>
      <c r="H99">
        <f t="shared" ca="1" si="15"/>
        <v>1.2334733839571324E-2</v>
      </c>
      <c r="I99">
        <f t="shared" ca="1" si="16"/>
        <v>1.6968631692807056E-2</v>
      </c>
      <c r="O99">
        <f t="shared" ca="1" si="17"/>
        <v>1.118624245807085</v>
      </c>
      <c r="P99">
        <f t="shared" ca="1" si="18"/>
        <v>1.0088455086167472</v>
      </c>
      <c r="Q99">
        <f t="shared" ca="1" si="19"/>
        <v>1.0958898393490513</v>
      </c>
      <c r="R99">
        <f t="shared" ca="1" si="20"/>
        <v>1.1605462120043193</v>
      </c>
    </row>
    <row r="100" spans="1:18" x14ac:dyDescent="0.3">
      <c r="A100" s="2">
        <f ca="1">IFERROR(__xludf.DUMMYFUNCTION("""COMPUTED_VALUE"""),44369.6666666666)</f>
        <v>44369.666666666599</v>
      </c>
      <c r="B100" s="1">
        <f ca="1">IFERROR(__xludf.DUMMYFUNCTION("""COMPUTED_VALUE"""),423.11)</f>
        <v>423.11</v>
      </c>
      <c r="C100" s="1">
        <f ca="1">IFERROR(__xludf.DUMMYFUNCTION("""COMPUTED_VALUE"""),133.98)</f>
        <v>133.97999999999999</v>
      </c>
      <c r="D100" s="1">
        <f ca="1">IFERROR(__xludf.DUMMYFUNCTION("""COMPUTED_VALUE"""),265.51)</f>
        <v>265.51</v>
      </c>
      <c r="E100" s="1">
        <f ca="1">IFERROR(__xludf.DUMMYFUNCTION("""COMPUTED_VALUE"""),150.21)</f>
        <v>150.21</v>
      </c>
      <c r="F100">
        <f t="shared" ca="1" si="13"/>
        <v>5.3461958846172126E-3</v>
      </c>
      <c r="G100">
        <f t="shared" ca="1" si="14"/>
        <v>1.2698412698412534E-2</v>
      </c>
      <c r="H100">
        <f t="shared" ca="1" si="15"/>
        <v>1.0965997791569872E-2</v>
      </c>
      <c r="I100">
        <f t="shared" ca="1" si="16"/>
        <v>-1.4624742405105289E-3</v>
      </c>
      <c r="O100">
        <f t="shared" ca="1" si="17"/>
        <v>1.1246046301464518</v>
      </c>
      <c r="P100">
        <f t="shared" ca="1" si="18"/>
        <v>1.0216562452341025</v>
      </c>
      <c r="Q100">
        <f t="shared" ca="1" si="19"/>
        <v>1.1079073649071569</v>
      </c>
      <c r="R100">
        <f t="shared" ca="1" si="20"/>
        <v>1.1588489430643409</v>
      </c>
    </row>
    <row r="101" spans="1:18" x14ac:dyDescent="0.3">
      <c r="A101" s="2">
        <f ca="1">IFERROR(__xludf.DUMMYFUNCTION("""COMPUTED_VALUE"""),44370.6666666666)</f>
        <v>44370.666666666599</v>
      </c>
      <c r="B101" s="1">
        <f ca="1">IFERROR(__xludf.DUMMYFUNCTION("""COMPUTED_VALUE"""),422.6)</f>
        <v>422.6</v>
      </c>
      <c r="C101" s="1">
        <f ca="1">IFERROR(__xludf.DUMMYFUNCTION("""COMPUTED_VALUE"""),133.7)</f>
        <v>133.69999999999999</v>
      </c>
      <c r="D101" s="1">
        <f ca="1">IFERROR(__xludf.DUMMYFUNCTION("""COMPUTED_VALUE"""),265.27)</f>
        <v>265.27</v>
      </c>
      <c r="E101" s="1">
        <f ca="1">IFERROR(__xludf.DUMMYFUNCTION("""COMPUTED_VALUE"""),151.12)</f>
        <v>151.12</v>
      </c>
      <c r="F101">
        <f t="shared" ca="1" si="13"/>
        <v>-1.205360308194065E-3</v>
      </c>
      <c r="G101">
        <f t="shared" ca="1" si="14"/>
        <v>-2.0898641588296845E-3</v>
      </c>
      <c r="H101">
        <f t="shared" ca="1" si="15"/>
        <v>-9.039207562804004E-4</v>
      </c>
      <c r="I101">
        <f t="shared" ca="1" si="16"/>
        <v>6.0581852073763164E-3</v>
      </c>
      <c r="O101">
        <f t="shared" ca="1" si="17"/>
        <v>1.123249076362862</v>
      </c>
      <c r="P101">
        <f t="shared" ca="1" si="18"/>
        <v>1.0195211224645431</v>
      </c>
      <c r="Q101">
        <f t="shared" ca="1" si="19"/>
        <v>1.1069059044439813</v>
      </c>
      <c r="R101">
        <f t="shared" ca="1" si="20"/>
        <v>1.1658694645887968</v>
      </c>
    </row>
    <row r="102" spans="1:18" x14ac:dyDescent="0.3">
      <c r="A102" s="2">
        <f ca="1">IFERROR(__xludf.DUMMYFUNCTION("""COMPUTED_VALUE"""),44371.6666666666)</f>
        <v>44371.666666666599</v>
      </c>
      <c r="B102" s="1">
        <f ca="1">IFERROR(__xludf.DUMMYFUNCTION("""COMPUTED_VALUE"""),425.1)</f>
        <v>425.1</v>
      </c>
      <c r="C102" s="1">
        <f ca="1">IFERROR(__xludf.DUMMYFUNCTION("""COMPUTED_VALUE"""),133.41)</f>
        <v>133.41</v>
      </c>
      <c r="D102" s="1">
        <f ca="1">IFERROR(__xludf.DUMMYFUNCTION("""COMPUTED_VALUE"""),266.69)</f>
        <v>266.69</v>
      </c>
      <c r="E102" s="1">
        <f ca="1">IFERROR(__xludf.DUMMYFUNCTION("""COMPUTED_VALUE"""),152.51)</f>
        <v>152.51</v>
      </c>
      <c r="F102">
        <f t="shared" ca="1" si="13"/>
        <v>5.9157595835305247E-3</v>
      </c>
      <c r="G102">
        <f t="shared" ca="1" si="14"/>
        <v>-2.1690351533282877E-3</v>
      </c>
      <c r="H102">
        <f t="shared" ca="1" si="15"/>
        <v>5.3530365288197539E-3</v>
      </c>
      <c r="I102">
        <f t="shared" ca="1" si="16"/>
        <v>9.1979883536261672E-3</v>
      </c>
      <c r="O102">
        <f t="shared" ca="1" si="17"/>
        <v>1.1298939478510475</v>
      </c>
      <c r="P102">
        <f t="shared" ca="1" si="18"/>
        <v>1.0173097453103568</v>
      </c>
      <c r="Q102">
        <f t="shared" ca="1" si="19"/>
        <v>1.1128312121844361</v>
      </c>
      <c r="R102">
        <f t="shared" ca="1" si="20"/>
        <v>1.1765931183459331</v>
      </c>
    </row>
    <row r="103" spans="1:18" x14ac:dyDescent="0.3">
      <c r="A103" s="2">
        <f ca="1">IFERROR(__xludf.DUMMYFUNCTION("""COMPUTED_VALUE"""),44372.6666666666)</f>
        <v>44372.666666666599</v>
      </c>
      <c r="B103" s="1">
        <f ca="1">IFERROR(__xludf.DUMMYFUNCTION("""COMPUTED_VALUE"""),426.61)</f>
        <v>426.61</v>
      </c>
      <c r="C103" s="1">
        <f ca="1">IFERROR(__xludf.DUMMYFUNCTION("""COMPUTED_VALUE"""),133.11)</f>
        <v>133.11000000000001</v>
      </c>
      <c r="D103" s="1">
        <f ca="1">IFERROR(__xludf.DUMMYFUNCTION("""COMPUTED_VALUE"""),265.02)</f>
        <v>265.02</v>
      </c>
      <c r="E103" s="1">
        <f ca="1">IFERROR(__xludf.DUMMYFUNCTION("""COMPUTED_VALUE"""),154.05)</f>
        <v>154.05000000000001</v>
      </c>
      <c r="F103">
        <f t="shared" ca="1" si="13"/>
        <v>3.5521053869677507E-3</v>
      </c>
      <c r="G103">
        <f t="shared" ca="1" si="14"/>
        <v>-2.2487069934786219E-3</v>
      </c>
      <c r="H103">
        <f t="shared" ca="1" si="15"/>
        <v>-6.2619520791931307E-3</v>
      </c>
      <c r="I103">
        <f t="shared" ca="1" si="16"/>
        <v>1.0097698511573147E-2</v>
      </c>
      <c r="O103">
        <f t="shared" ca="1" si="17"/>
        <v>1.1339074502299116</v>
      </c>
      <c r="P103">
        <f t="shared" ca="1" si="18"/>
        <v>1.0150221137715434</v>
      </c>
      <c r="Q103">
        <f t="shared" ca="1" si="19"/>
        <v>1.1058627164615069</v>
      </c>
      <c r="R103">
        <f t="shared" ca="1" si="20"/>
        <v>1.1884740009257819</v>
      </c>
    </row>
    <row r="104" spans="1:18" x14ac:dyDescent="0.3">
      <c r="A104" s="2">
        <f ca="1">IFERROR(__xludf.DUMMYFUNCTION("""COMPUTED_VALUE"""),44375.6666666666)</f>
        <v>44375.666666666599</v>
      </c>
      <c r="B104" s="1">
        <f ca="1">IFERROR(__xludf.DUMMYFUNCTION("""COMPUTED_VALUE"""),427.47)</f>
        <v>427.47</v>
      </c>
      <c r="C104" s="1">
        <f ca="1">IFERROR(__xludf.DUMMYFUNCTION("""COMPUTED_VALUE"""),134.78)</f>
        <v>134.78</v>
      </c>
      <c r="D104" s="1">
        <f ca="1">IFERROR(__xludf.DUMMYFUNCTION("""COMPUTED_VALUE"""),268.72)</f>
        <v>268.72000000000003</v>
      </c>
      <c r="E104" s="1">
        <f ca="1">IFERROR(__xludf.DUMMYFUNCTION("""COMPUTED_VALUE"""),154.33)</f>
        <v>154.33000000000001</v>
      </c>
      <c r="F104">
        <f t="shared" ca="1" si="13"/>
        <v>2.0158927357539994E-3</v>
      </c>
      <c r="G104">
        <f t="shared" ca="1" si="14"/>
        <v>1.2546014574412045E-2</v>
      </c>
      <c r="H104">
        <f t="shared" ca="1" si="15"/>
        <v>1.3961210474681329E-2</v>
      </c>
      <c r="I104">
        <f t="shared" ca="1" si="16"/>
        <v>1.8175916910094197E-3</v>
      </c>
      <c r="O104">
        <f t="shared" ca="1" si="17"/>
        <v>1.1361932860218475</v>
      </c>
      <c r="P104">
        <f t="shared" ca="1" si="18"/>
        <v>1.0277565960042716</v>
      </c>
      <c r="Q104">
        <f t="shared" ca="1" si="19"/>
        <v>1.1213018986021288</v>
      </c>
      <c r="R104">
        <f t="shared" ca="1" si="20"/>
        <v>1.1906341613948455</v>
      </c>
    </row>
    <row r="105" spans="1:18" x14ac:dyDescent="0.3">
      <c r="A105" s="2">
        <f ca="1">IFERROR(__xludf.DUMMYFUNCTION("""COMPUTED_VALUE"""),44376.6666666666)</f>
        <v>44376.666666666599</v>
      </c>
      <c r="B105" s="1">
        <f ca="1">IFERROR(__xludf.DUMMYFUNCTION("""COMPUTED_VALUE"""),427.7)</f>
        <v>427.7</v>
      </c>
      <c r="C105" s="1">
        <f ca="1">IFERROR(__xludf.DUMMYFUNCTION("""COMPUTED_VALUE"""),136.33)</f>
        <v>136.33000000000001</v>
      </c>
      <c r="D105" s="1">
        <f ca="1">IFERROR(__xludf.DUMMYFUNCTION("""COMPUTED_VALUE"""),271.4)</f>
        <v>271.39999999999998</v>
      </c>
      <c r="E105" s="1">
        <f ca="1">IFERROR(__xludf.DUMMYFUNCTION("""COMPUTED_VALUE"""),154.14)</f>
        <v>154.13999999999999</v>
      </c>
      <c r="F105">
        <f t="shared" ca="1" si="13"/>
        <v>5.3804945376274675E-4</v>
      </c>
      <c r="G105">
        <f t="shared" ca="1" si="14"/>
        <v>1.1500222584953342E-2</v>
      </c>
      <c r="H105">
        <f t="shared" ca="1" si="15"/>
        <v>9.9732063114020154E-3</v>
      </c>
      <c r="I105">
        <f t="shared" ca="1" si="16"/>
        <v>-1.2311281021190057E-3</v>
      </c>
      <c r="O105">
        <f t="shared" ca="1" si="17"/>
        <v>1.1368046141987604</v>
      </c>
      <c r="P105">
        <f t="shared" ca="1" si="18"/>
        <v>1.0395760256214748</v>
      </c>
      <c r="Q105">
        <f t="shared" ca="1" si="19"/>
        <v>1.1324848737742546</v>
      </c>
      <c r="R105">
        <f t="shared" ca="1" si="20"/>
        <v>1.1891683382194094</v>
      </c>
    </row>
    <row r="106" spans="1:18" x14ac:dyDescent="0.3">
      <c r="A106" s="2">
        <f ca="1">IFERROR(__xludf.DUMMYFUNCTION("""COMPUTED_VALUE"""),44377.6666666666)</f>
        <v>44377.666666666599</v>
      </c>
      <c r="B106" s="1">
        <f ca="1">IFERROR(__xludf.DUMMYFUNCTION("""COMPUTED_VALUE"""),428.06)</f>
        <v>428.06</v>
      </c>
      <c r="C106" s="1">
        <f ca="1">IFERROR(__xludf.DUMMYFUNCTION("""COMPUTED_VALUE"""),136.96)</f>
        <v>136.96</v>
      </c>
      <c r="D106" s="1">
        <f ca="1">IFERROR(__xludf.DUMMYFUNCTION("""COMPUTED_VALUE"""),270.9)</f>
        <v>270.89999999999998</v>
      </c>
      <c r="E106" s="1">
        <f ca="1">IFERROR(__xludf.DUMMYFUNCTION("""COMPUTED_VALUE"""),155.54)</f>
        <v>155.54</v>
      </c>
      <c r="F106">
        <f t="shared" ca="1" si="13"/>
        <v>8.4171148000938422E-4</v>
      </c>
      <c r="G106">
        <f t="shared" ca="1" si="14"/>
        <v>4.6211398811706553E-3</v>
      </c>
      <c r="H106">
        <f t="shared" ca="1" si="15"/>
        <v>-1.8422991893883569E-3</v>
      </c>
      <c r="I106">
        <f t="shared" ca="1" si="16"/>
        <v>9.0826521344232886E-3</v>
      </c>
      <c r="O106">
        <f t="shared" ca="1" si="17"/>
        <v>1.1377614756930592</v>
      </c>
      <c r="P106">
        <f t="shared" ca="1" si="18"/>
        <v>1.0443800518529831</v>
      </c>
      <c r="Q106">
        <f t="shared" ca="1" si="19"/>
        <v>1.1303984978093056</v>
      </c>
      <c r="R106">
        <f t="shared" ca="1" si="20"/>
        <v>1.1999691405647266</v>
      </c>
    </row>
    <row r="107" spans="1:18" x14ac:dyDescent="0.3">
      <c r="A107" s="2">
        <f ca="1">IFERROR(__xludf.DUMMYFUNCTION("""COMPUTED_VALUE"""),44378.6666666666)</f>
        <v>44378.666666666599</v>
      </c>
      <c r="B107" s="1">
        <f ca="1">IFERROR(__xludf.DUMMYFUNCTION("""COMPUTED_VALUE"""),430.43)</f>
        <v>430.43</v>
      </c>
      <c r="C107" s="1">
        <f ca="1">IFERROR(__xludf.DUMMYFUNCTION("""COMPUTED_VALUE"""),137.27)</f>
        <v>137.27000000000001</v>
      </c>
      <c r="D107" s="1">
        <f ca="1">IFERROR(__xludf.DUMMYFUNCTION("""COMPUTED_VALUE"""),271.6)</f>
        <v>271.60000000000002</v>
      </c>
      <c r="E107" s="1">
        <f ca="1">IFERROR(__xludf.DUMMYFUNCTION("""COMPUTED_VALUE"""),157.08)</f>
        <v>157.08000000000001</v>
      </c>
      <c r="F107">
        <f t="shared" ca="1" si="13"/>
        <v>5.536607017707809E-3</v>
      </c>
      <c r="G107">
        <f t="shared" ca="1" si="14"/>
        <v>2.2634345794392686E-3</v>
      </c>
      <c r="H107">
        <f t="shared" ca="1" si="15"/>
        <v>2.5839793281655426E-3</v>
      </c>
      <c r="I107">
        <f t="shared" ca="1" si="16"/>
        <v>9.9009900990100329E-3</v>
      </c>
      <c r="O107">
        <f t="shared" ca="1" si="17"/>
        <v>1.144060813863859</v>
      </c>
      <c r="P107">
        <f t="shared" ca="1" si="18"/>
        <v>1.0467439377764236</v>
      </c>
      <c r="Q107">
        <f t="shared" ca="1" si="19"/>
        <v>1.133319424160234</v>
      </c>
      <c r="R107">
        <f t="shared" ca="1" si="20"/>
        <v>1.2118500231445757</v>
      </c>
    </row>
    <row r="108" spans="1:18" x14ac:dyDescent="0.3">
      <c r="A108" s="2">
        <f ca="1">IFERROR(__xludf.DUMMYFUNCTION("""COMPUTED_VALUE"""),44379.6666666666)</f>
        <v>44379.666666666599</v>
      </c>
      <c r="B108" s="1">
        <f ca="1">IFERROR(__xludf.DUMMYFUNCTION("""COMPUTED_VALUE"""),433.72)</f>
        <v>433.72</v>
      </c>
      <c r="C108" s="1">
        <f ca="1">IFERROR(__xludf.DUMMYFUNCTION("""COMPUTED_VALUE"""),139.96)</f>
        <v>139.96</v>
      </c>
      <c r="D108" s="1">
        <f ca="1">IFERROR(__xludf.DUMMYFUNCTION("""COMPUTED_VALUE"""),277.65)</f>
        <v>277.64999999999998</v>
      </c>
      <c r="E108" s="1">
        <f ca="1">IFERROR(__xludf.DUMMYFUNCTION("""COMPUTED_VALUE"""),156.03)</f>
        <v>156.03</v>
      </c>
      <c r="F108">
        <f t="shared" ca="1" si="13"/>
        <v>7.6435192714262952E-3</v>
      </c>
      <c r="G108">
        <f t="shared" ca="1" si="14"/>
        <v>1.95964158228309E-2</v>
      </c>
      <c r="H108">
        <f t="shared" ca="1" si="15"/>
        <v>2.2275405007363601E-2</v>
      </c>
      <c r="I108">
        <f t="shared" ca="1" si="16"/>
        <v>-6.6844919786096975E-3</v>
      </c>
      <c r="O108">
        <f t="shared" ca="1" si="17"/>
        <v>1.1528054647423112</v>
      </c>
      <c r="P108">
        <f t="shared" ca="1" si="18"/>
        <v>1.0672563672411179</v>
      </c>
      <c r="Q108">
        <f t="shared" ca="1" si="19"/>
        <v>1.1585645733361154</v>
      </c>
      <c r="R108">
        <f t="shared" ca="1" si="20"/>
        <v>1.2037494213855879</v>
      </c>
    </row>
    <row r="109" spans="1:18" x14ac:dyDescent="0.3">
      <c r="A109" s="2">
        <f ca="1">IFERROR(__xludf.DUMMYFUNCTION("""COMPUTED_VALUE"""),44383.6666666666)</f>
        <v>44383.666666666599</v>
      </c>
      <c r="B109" s="1">
        <f ca="1">IFERROR(__xludf.DUMMYFUNCTION("""COMPUTED_VALUE"""),432.93)</f>
        <v>432.93</v>
      </c>
      <c r="C109" s="1">
        <f ca="1">IFERROR(__xludf.DUMMYFUNCTION("""COMPUTED_VALUE"""),142.02)</f>
        <v>142.02000000000001</v>
      </c>
      <c r="D109" s="1">
        <f ca="1">IFERROR(__xludf.DUMMYFUNCTION("""COMPUTED_VALUE"""),277.66)</f>
        <v>277.66000000000003</v>
      </c>
      <c r="E109" s="1">
        <f ca="1">IFERROR(__xludf.DUMMYFUNCTION("""COMPUTED_VALUE"""),153.41)</f>
        <v>153.41</v>
      </c>
      <c r="F109">
        <f t="shared" ca="1" si="13"/>
        <v>-1.8214516277783371E-3</v>
      </c>
      <c r="G109">
        <f t="shared" ca="1" si="14"/>
        <v>1.4718490997427851E-2</v>
      </c>
      <c r="H109">
        <f t="shared" ca="1" si="15"/>
        <v>3.6016567621277687E-5</v>
      </c>
      <c r="I109">
        <f t="shared" ca="1" si="16"/>
        <v>-1.679164263282705E-2</v>
      </c>
      <c r="O109">
        <f t="shared" ca="1" si="17"/>
        <v>1.1507056853520445</v>
      </c>
      <c r="P109">
        <f t="shared" ca="1" si="18"/>
        <v>1.082964770474304</v>
      </c>
      <c r="Q109">
        <f t="shared" ca="1" si="19"/>
        <v>1.1586063008554144</v>
      </c>
      <c r="R109">
        <f t="shared" ca="1" si="20"/>
        <v>1.1835364912822088</v>
      </c>
    </row>
    <row r="110" spans="1:18" x14ac:dyDescent="0.3">
      <c r="A110" s="2">
        <f ca="1">IFERROR(__xludf.DUMMYFUNCTION("""COMPUTED_VALUE"""),44384.6666666666)</f>
        <v>44384.666666666599</v>
      </c>
      <c r="B110" s="1">
        <f ca="1">IFERROR(__xludf.DUMMYFUNCTION("""COMPUTED_VALUE"""),434.46)</f>
        <v>434.46</v>
      </c>
      <c r="C110" s="1">
        <f ca="1">IFERROR(__xludf.DUMMYFUNCTION("""COMPUTED_VALUE"""),144.57)</f>
        <v>144.57</v>
      </c>
      <c r="D110" s="1">
        <f ca="1">IFERROR(__xludf.DUMMYFUNCTION("""COMPUTED_VALUE"""),279.93)</f>
        <v>279.93</v>
      </c>
      <c r="E110" s="1">
        <f ca="1">IFERROR(__xludf.DUMMYFUNCTION("""COMPUTED_VALUE"""),153.59)</f>
        <v>153.59</v>
      </c>
      <c r="F110">
        <f t="shared" ca="1" si="13"/>
        <v>3.5340586237959317E-3</v>
      </c>
      <c r="G110">
        <f t="shared" ca="1" si="14"/>
        <v>1.7955217574989316E-2</v>
      </c>
      <c r="H110">
        <f t="shared" ca="1" si="15"/>
        <v>8.1754663977525802E-3</v>
      </c>
      <c r="I110">
        <f t="shared" ca="1" si="16"/>
        <v>1.1733263802881613E-3</v>
      </c>
      <c r="O110">
        <f t="shared" ca="1" si="17"/>
        <v>1.1547723467028139</v>
      </c>
      <c r="P110">
        <f t="shared" ca="1" si="18"/>
        <v>1.1024096385542184</v>
      </c>
      <c r="Q110">
        <f t="shared" ca="1" si="19"/>
        <v>1.1680784477362824</v>
      </c>
      <c r="R110">
        <f t="shared" ca="1" si="20"/>
        <v>1.1849251658694639</v>
      </c>
    </row>
    <row r="111" spans="1:18" x14ac:dyDescent="0.3">
      <c r="A111" s="2">
        <f ca="1">IFERROR(__xludf.DUMMYFUNCTION("""COMPUTED_VALUE"""),44385.6666666666)</f>
        <v>44385.666666666599</v>
      </c>
      <c r="B111" s="1">
        <f ca="1">IFERROR(__xludf.DUMMYFUNCTION("""COMPUTED_VALUE"""),430.92)</f>
        <v>430.92</v>
      </c>
      <c r="C111" s="1">
        <f ca="1">IFERROR(__xludf.DUMMYFUNCTION("""COMPUTED_VALUE"""),143.24)</f>
        <v>143.24</v>
      </c>
      <c r="D111" s="1">
        <f ca="1">IFERROR(__xludf.DUMMYFUNCTION("""COMPUTED_VALUE"""),277.42)</f>
        <v>277.42</v>
      </c>
      <c r="E111" s="1">
        <f ca="1">IFERROR(__xludf.DUMMYFUNCTION("""COMPUTED_VALUE"""),150.94)</f>
        <v>150.94</v>
      </c>
      <c r="F111">
        <f t="shared" ca="1" si="13"/>
        <v>-8.1480458500206316E-3</v>
      </c>
      <c r="G111">
        <f t="shared" ca="1" si="14"/>
        <v>-9.1996956491663846E-3</v>
      </c>
      <c r="H111">
        <f t="shared" ca="1" si="15"/>
        <v>-8.9665273461222127E-3</v>
      </c>
      <c r="I111">
        <f t="shared" ca="1" si="16"/>
        <v>-1.7253727456214635E-2</v>
      </c>
      <c r="O111">
        <f t="shared" ca="1" si="17"/>
        <v>1.1453632086755434</v>
      </c>
      <c r="P111">
        <f t="shared" ca="1" si="18"/>
        <v>1.0922678053988122</v>
      </c>
      <c r="Q111">
        <f t="shared" ca="1" si="19"/>
        <v>1.157604840392239</v>
      </c>
      <c r="R111">
        <f t="shared" ca="1" si="20"/>
        <v>1.1644807900015421</v>
      </c>
    </row>
    <row r="112" spans="1:18" x14ac:dyDescent="0.3">
      <c r="A112" s="2">
        <f ca="1">IFERROR(__xludf.DUMMYFUNCTION("""COMPUTED_VALUE"""),44386.6666666666)</f>
        <v>44386.666666666599</v>
      </c>
      <c r="B112" s="1">
        <f ca="1">IFERROR(__xludf.DUMMYFUNCTION("""COMPUTED_VALUE"""),435.52)</f>
        <v>435.52</v>
      </c>
      <c r="C112" s="1">
        <f ca="1">IFERROR(__xludf.DUMMYFUNCTION("""COMPUTED_VALUE"""),145.11)</f>
        <v>145.11000000000001</v>
      </c>
      <c r="D112" s="1">
        <f ca="1">IFERROR(__xludf.DUMMYFUNCTION("""COMPUTED_VALUE"""),277.94)</f>
        <v>277.94</v>
      </c>
      <c r="E112" s="1">
        <f ca="1">IFERROR(__xludf.DUMMYFUNCTION("""COMPUTED_VALUE"""),155.77)</f>
        <v>155.77000000000001</v>
      </c>
      <c r="F112">
        <f t="shared" ca="1" si="13"/>
        <v>1.0674835236238665E-2</v>
      </c>
      <c r="G112">
        <f t="shared" ca="1" si="14"/>
        <v>1.3055012566322287E-2</v>
      </c>
      <c r="H112">
        <f t="shared" ca="1" si="15"/>
        <v>1.8744142455482005E-3</v>
      </c>
      <c r="I112">
        <f t="shared" ca="1" si="16"/>
        <v>3.1999469988074812E-2</v>
      </c>
      <c r="O112">
        <f t="shared" ca="1" si="17"/>
        <v>1.1575897722138044</v>
      </c>
      <c r="P112">
        <f t="shared" ca="1" si="18"/>
        <v>1.106527375324083</v>
      </c>
      <c r="Q112">
        <f t="shared" ca="1" si="19"/>
        <v>1.1597746713957857</v>
      </c>
      <c r="R112">
        <f t="shared" ca="1" si="20"/>
        <v>1.2017435580928861</v>
      </c>
    </row>
    <row r="113" spans="1:18" x14ac:dyDescent="0.3">
      <c r="A113" s="2">
        <f ca="1">IFERROR(__xludf.DUMMYFUNCTION("""COMPUTED_VALUE"""),44389.6666666666)</f>
        <v>44389.666666666599</v>
      </c>
      <c r="B113" s="1">
        <f ca="1">IFERROR(__xludf.DUMMYFUNCTION("""COMPUTED_VALUE"""),437.08)</f>
        <v>437.08</v>
      </c>
      <c r="C113" s="1">
        <f ca="1">IFERROR(__xludf.DUMMYFUNCTION("""COMPUTED_VALUE"""),144.5)</f>
        <v>144.5</v>
      </c>
      <c r="D113" s="1">
        <f ca="1">IFERROR(__xludf.DUMMYFUNCTION("""COMPUTED_VALUE"""),277.32)</f>
        <v>277.32</v>
      </c>
      <c r="E113" s="1">
        <f ca="1">IFERROR(__xludf.DUMMYFUNCTION("""COMPUTED_VALUE"""),158)</f>
        <v>158</v>
      </c>
      <c r="F113">
        <f t="shared" ca="1" si="13"/>
        <v>3.5819250551065449E-3</v>
      </c>
      <c r="G113">
        <f t="shared" ca="1" si="14"/>
        <v>-4.2037075322170327E-3</v>
      </c>
      <c r="H113">
        <f t="shared" ca="1" si="15"/>
        <v>-2.2306972727927053E-3</v>
      </c>
      <c r="I113">
        <f t="shared" ca="1" si="16"/>
        <v>1.4315978686524938E-2</v>
      </c>
      <c r="O113">
        <f t="shared" ca="1" si="17"/>
        <v>1.1617361720224322</v>
      </c>
      <c r="P113">
        <f t="shared" ca="1" si="18"/>
        <v>1.1018758578618288</v>
      </c>
      <c r="Q113">
        <f t="shared" ca="1" si="19"/>
        <v>1.1571875651992491</v>
      </c>
      <c r="R113">
        <f t="shared" ca="1" si="20"/>
        <v>1.2189476932572125</v>
      </c>
    </row>
    <row r="114" spans="1:18" x14ac:dyDescent="0.3">
      <c r="A114" s="2">
        <f ca="1">IFERROR(__xludf.DUMMYFUNCTION("""COMPUTED_VALUE"""),44390.6666666666)</f>
        <v>44390.666666666599</v>
      </c>
      <c r="B114" s="1">
        <f ca="1">IFERROR(__xludf.DUMMYFUNCTION("""COMPUTED_VALUE"""),435.59)</f>
        <v>435.59</v>
      </c>
      <c r="C114" s="1">
        <f ca="1">IFERROR(__xludf.DUMMYFUNCTION("""COMPUTED_VALUE"""),145.64)</f>
        <v>145.63999999999999</v>
      </c>
      <c r="D114" s="1">
        <f ca="1">IFERROR(__xludf.DUMMYFUNCTION("""COMPUTED_VALUE"""),280.98)</f>
        <v>280.98</v>
      </c>
      <c r="E114" s="1">
        <f ca="1">IFERROR(__xludf.DUMMYFUNCTION("""COMPUTED_VALUE"""),155.65)</f>
        <v>155.65</v>
      </c>
      <c r="F114">
        <f t="shared" ca="1" si="13"/>
        <v>-3.4089869131509313E-3</v>
      </c>
      <c r="G114">
        <f t="shared" ca="1" si="14"/>
        <v>7.8892733564012892E-3</v>
      </c>
      <c r="H114">
        <f t="shared" ca="1" si="15"/>
        <v>1.3197749891821813E-2</v>
      </c>
      <c r="I114">
        <f t="shared" ca="1" si="16"/>
        <v>-1.4873417721518952E-2</v>
      </c>
      <c r="O114">
        <f t="shared" ca="1" si="17"/>
        <v>1.1577758286154736</v>
      </c>
      <c r="P114">
        <f t="shared" ca="1" si="18"/>
        <v>1.11056885770932</v>
      </c>
      <c r="Q114">
        <f t="shared" ca="1" si="19"/>
        <v>1.1724598372626751</v>
      </c>
      <c r="R114">
        <f t="shared" ca="1" si="20"/>
        <v>1.200817775034716</v>
      </c>
    </row>
    <row r="115" spans="1:18" x14ac:dyDescent="0.3">
      <c r="A115" s="2">
        <f ca="1">IFERROR(__xludf.DUMMYFUNCTION("""COMPUTED_VALUE"""),44391.6666666666)</f>
        <v>44391.666666666599</v>
      </c>
      <c r="B115" s="1">
        <f ca="1">IFERROR(__xludf.DUMMYFUNCTION("""COMPUTED_VALUE"""),436.24)</f>
        <v>436.24</v>
      </c>
      <c r="C115" s="1">
        <f ca="1">IFERROR(__xludf.DUMMYFUNCTION("""COMPUTED_VALUE"""),149.15)</f>
        <v>149.15</v>
      </c>
      <c r="D115" s="1">
        <f ca="1">IFERROR(__xludf.DUMMYFUNCTION("""COMPUTED_VALUE"""),282.51)</f>
        <v>282.51</v>
      </c>
      <c r="E115" s="1">
        <f ca="1">IFERROR(__xludf.DUMMYFUNCTION("""COMPUTED_VALUE"""),155.12)</f>
        <v>155.12</v>
      </c>
      <c r="F115">
        <f t="shared" ca="1" si="13"/>
        <v>1.4922289308754429E-3</v>
      </c>
      <c r="G115">
        <f t="shared" ca="1" si="14"/>
        <v>2.4100521834660941E-2</v>
      </c>
      <c r="H115">
        <f t="shared" ca="1" si="15"/>
        <v>5.4452274183214916E-3</v>
      </c>
      <c r="I115">
        <f t="shared" ca="1" si="16"/>
        <v>-3.4050754898811509E-3</v>
      </c>
      <c r="O115">
        <f t="shared" ca="1" si="17"/>
        <v>1.1595034952024019</v>
      </c>
      <c r="P115">
        <f t="shared" ca="1" si="18"/>
        <v>1.1373341467134381</v>
      </c>
      <c r="Q115">
        <f t="shared" ca="1" si="19"/>
        <v>1.1788441477154186</v>
      </c>
      <c r="R115">
        <f t="shared" ca="1" si="20"/>
        <v>1.1967288998611316</v>
      </c>
    </row>
    <row r="116" spans="1:18" x14ac:dyDescent="0.3">
      <c r="A116" s="2">
        <f ca="1">IFERROR(__xludf.DUMMYFUNCTION("""COMPUTED_VALUE"""),44392.6666666666)</f>
        <v>44392.666666666599</v>
      </c>
      <c r="B116" s="1">
        <f ca="1">IFERROR(__xludf.DUMMYFUNCTION("""COMPUTED_VALUE"""),434.75)</f>
        <v>434.75</v>
      </c>
      <c r="C116" s="1">
        <f ca="1">IFERROR(__xludf.DUMMYFUNCTION("""COMPUTED_VALUE"""),148.48)</f>
        <v>148.47999999999999</v>
      </c>
      <c r="D116" s="1">
        <f ca="1">IFERROR(__xludf.DUMMYFUNCTION("""COMPUTED_VALUE"""),281.03)</f>
        <v>281.02999999999997</v>
      </c>
      <c r="E116" s="1">
        <f ca="1">IFERROR(__xludf.DUMMYFUNCTION("""COMPUTED_VALUE"""),155.46)</f>
        <v>155.46</v>
      </c>
      <c r="F116">
        <f t="shared" ca="1" si="13"/>
        <v>-3.4155510728039818E-3</v>
      </c>
      <c r="G116">
        <f t="shared" ca="1" si="14"/>
        <v>-4.4921220248073475E-3</v>
      </c>
      <c r="H116">
        <f t="shared" ca="1" si="15"/>
        <v>-5.2387526105271255E-3</v>
      </c>
      <c r="I116">
        <f t="shared" ca="1" si="16"/>
        <v>2.1918514698298312E-3</v>
      </c>
      <c r="O116">
        <f t="shared" ca="1" si="17"/>
        <v>1.1555431517954433</v>
      </c>
      <c r="P116">
        <f t="shared" ca="1" si="18"/>
        <v>1.1322251029434212</v>
      </c>
      <c r="Q116">
        <f t="shared" ca="1" si="19"/>
        <v>1.1726684748591698</v>
      </c>
      <c r="R116">
        <f t="shared" ca="1" si="20"/>
        <v>1.1993519518592801</v>
      </c>
    </row>
    <row r="117" spans="1:18" x14ac:dyDescent="0.3">
      <c r="A117" s="2">
        <f ca="1">IFERROR(__xludf.DUMMYFUNCTION("""COMPUTED_VALUE"""),44393.6666666666)</f>
        <v>44393.666666666599</v>
      </c>
      <c r="B117" s="1">
        <f ca="1">IFERROR(__xludf.DUMMYFUNCTION("""COMPUTED_VALUE"""),431.34)</f>
        <v>431.34</v>
      </c>
      <c r="C117" s="1">
        <f ca="1">IFERROR(__xludf.DUMMYFUNCTION("""COMPUTED_VALUE"""),146.39)</f>
        <v>146.38999999999999</v>
      </c>
      <c r="D117" s="1">
        <f ca="1">IFERROR(__xludf.DUMMYFUNCTION("""COMPUTED_VALUE"""),280.75)</f>
        <v>280.75</v>
      </c>
      <c r="E117" s="1">
        <f ca="1">IFERROR(__xludf.DUMMYFUNCTION("""COMPUTED_VALUE"""),151.91)</f>
        <v>151.91</v>
      </c>
      <c r="F117">
        <f t="shared" ca="1" si="13"/>
        <v>-7.843588269120242E-3</v>
      </c>
      <c r="G117">
        <f t="shared" ca="1" si="14"/>
        <v>-1.4075969827586231E-2</v>
      </c>
      <c r="H117">
        <f t="shared" ca="1" si="15"/>
        <v>-9.9633491086351198E-4</v>
      </c>
      <c r="I117">
        <f t="shared" ca="1" si="16"/>
        <v>-2.2835456065869106E-2</v>
      </c>
      <c r="O117">
        <f t="shared" ca="1" si="17"/>
        <v>1.1464795470855584</v>
      </c>
      <c r="P117">
        <f t="shared" ca="1" si="18"/>
        <v>1.1162879365563538</v>
      </c>
      <c r="Q117">
        <f t="shared" ca="1" si="19"/>
        <v>1.1715001043187985</v>
      </c>
      <c r="R117">
        <f t="shared" ca="1" si="20"/>
        <v>1.1719642030550832</v>
      </c>
    </row>
    <row r="118" spans="1:18" x14ac:dyDescent="0.3">
      <c r="A118" s="2">
        <f ca="1">IFERROR(__xludf.DUMMYFUNCTION("""COMPUTED_VALUE"""),44396.6666666666)</f>
        <v>44396.666666666599</v>
      </c>
      <c r="B118" s="1">
        <f ca="1">IFERROR(__xludf.DUMMYFUNCTION("""COMPUTED_VALUE"""),424.97)</f>
        <v>424.97</v>
      </c>
      <c r="C118" s="1">
        <f ca="1">IFERROR(__xludf.DUMMYFUNCTION("""COMPUTED_VALUE"""),142.45)</f>
        <v>142.44999999999999</v>
      </c>
      <c r="D118" s="1">
        <f ca="1">IFERROR(__xludf.DUMMYFUNCTION("""COMPUTED_VALUE"""),277.01)</f>
        <v>277.01</v>
      </c>
      <c r="E118" s="1">
        <f ca="1">IFERROR(__xludf.DUMMYFUNCTION("""COMPUTED_VALUE"""),146.97)</f>
        <v>146.97</v>
      </c>
      <c r="F118">
        <f t="shared" ca="1" si="13"/>
        <v>-1.4767932489451357E-2</v>
      </c>
      <c r="G118">
        <f t="shared" ca="1" si="14"/>
        <v>-2.69144067217706E-2</v>
      </c>
      <c r="H118">
        <f t="shared" ca="1" si="15"/>
        <v>-1.3321460373998251E-2</v>
      </c>
      <c r="I118">
        <f t="shared" ca="1" si="16"/>
        <v>-3.2519254821934025E-2</v>
      </c>
      <c r="O118">
        <f t="shared" ca="1" si="17"/>
        <v>1.1295484145336621</v>
      </c>
      <c r="P118">
        <f t="shared" ca="1" si="18"/>
        <v>1.0862437090132702</v>
      </c>
      <c r="Q118">
        <f t="shared" ca="1" si="19"/>
        <v>1.1558940121009806</v>
      </c>
      <c r="R118">
        <f t="shared" ca="1" si="20"/>
        <v>1.13385280049375</v>
      </c>
    </row>
    <row r="119" spans="1:18" x14ac:dyDescent="0.3">
      <c r="A119" s="2">
        <f ca="1">IFERROR(__xludf.DUMMYFUNCTION("""COMPUTED_VALUE"""),44397.6666666666)</f>
        <v>44397.666666666599</v>
      </c>
      <c r="B119" s="1">
        <f ca="1">IFERROR(__xludf.DUMMYFUNCTION("""COMPUTED_VALUE"""),431.06)</f>
        <v>431.06</v>
      </c>
      <c r="C119" s="1">
        <f ca="1">IFERROR(__xludf.DUMMYFUNCTION("""COMPUTED_VALUE"""),146.15)</f>
        <v>146.15</v>
      </c>
      <c r="D119" s="1">
        <f ca="1">IFERROR(__xludf.DUMMYFUNCTION("""COMPUTED_VALUE"""),279.32)</f>
        <v>279.32</v>
      </c>
      <c r="E119" s="1">
        <f ca="1">IFERROR(__xludf.DUMMYFUNCTION("""COMPUTED_VALUE"""),149.71)</f>
        <v>149.71</v>
      </c>
      <c r="F119">
        <f t="shared" ca="1" si="13"/>
        <v>1.4330423323999281E-2</v>
      </c>
      <c r="G119">
        <f t="shared" ca="1" si="14"/>
        <v>2.5974025974026097E-2</v>
      </c>
      <c r="H119">
        <f t="shared" ca="1" si="15"/>
        <v>8.3390491318003045E-3</v>
      </c>
      <c r="I119">
        <f t="shared" ca="1" si="16"/>
        <v>1.8643260529359794E-2</v>
      </c>
      <c r="O119">
        <f t="shared" ca="1" si="17"/>
        <v>1.1457353214788817</v>
      </c>
      <c r="P119">
        <f t="shared" ca="1" si="18"/>
        <v>1.1144578313253035</v>
      </c>
      <c r="Q119">
        <f t="shared" ca="1" si="19"/>
        <v>1.1655330690590444</v>
      </c>
      <c r="R119">
        <f t="shared" ca="1" si="20"/>
        <v>1.1549915136552993</v>
      </c>
    </row>
    <row r="120" spans="1:18" x14ac:dyDescent="0.3">
      <c r="A120" s="2">
        <f ca="1">IFERROR(__xludf.DUMMYFUNCTION("""COMPUTED_VALUE"""),44398.6666666666)</f>
        <v>44398.666666666599</v>
      </c>
      <c r="B120" s="1">
        <f ca="1">IFERROR(__xludf.DUMMYFUNCTION("""COMPUTED_VALUE"""),434.55)</f>
        <v>434.55</v>
      </c>
      <c r="C120" s="1">
        <f ca="1">IFERROR(__xludf.DUMMYFUNCTION("""COMPUTED_VALUE"""),145.4)</f>
        <v>145.4</v>
      </c>
      <c r="D120" s="1">
        <f ca="1">IFERROR(__xludf.DUMMYFUNCTION("""COMPUTED_VALUE"""),281.4)</f>
        <v>281.39999999999998</v>
      </c>
      <c r="E120" s="1">
        <f ca="1">IFERROR(__xludf.DUMMYFUNCTION("""COMPUTED_VALUE"""),152.86)</f>
        <v>152.86000000000001</v>
      </c>
      <c r="F120">
        <f t="shared" ca="1" si="13"/>
        <v>8.0963206978147111E-3</v>
      </c>
      <c r="G120">
        <f t="shared" ca="1" si="14"/>
        <v>-5.1317139924734858E-3</v>
      </c>
      <c r="H120">
        <f t="shared" ca="1" si="15"/>
        <v>7.4466561649720181E-3</v>
      </c>
      <c r="I120">
        <f t="shared" ca="1" si="16"/>
        <v>2.1040678645381106E-2</v>
      </c>
      <c r="O120">
        <f t="shared" ca="1" si="17"/>
        <v>1.1550115620763886</v>
      </c>
      <c r="P120">
        <f t="shared" ca="1" si="18"/>
        <v>1.1087387524782699</v>
      </c>
      <c r="Q120">
        <f t="shared" ca="1" si="19"/>
        <v>1.1742123930732316</v>
      </c>
      <c r="R120">
        <f t="shared" ca="1" si="20"/>
        <v>1.1792933189322627</v>
      </c>
    </row>
    <row r="121" spans="1:18" x14ac:dyDescent="0.3">
      <c r="A121" s="2">
        <f ca="1">IFERROR(__xludf.DUMMYFUNCTION("""COMPUTED_VALUE"""),44399.6666666666)</f>
        <v>44399.666666666599</v>
      </c>
      <c r="B121" s="1">
        <f ca="1">IFERROR(__xludf.DUMMYFUNCTION("""COMPUTED_VALUE"""),435.46)</f>
        <v>435.46</v>
      </c>
      <c r="C121" s="1">
        <f ca="1">IFERROR(__xludf.DUMMYFUNCTION("""COMPUTED_VALUE"""),146.8)</f>
        <v>146.80000000000001</v>
      </c>
      <c r="D121" s="1">
        <f ca="1">IFERROR(__xludf.DUMMYFUNCTION("""COMPUTED_VALUE"""),286.14)</f>
        <v>286.14</v>
      </c>
      <c r="E121" s="1">
        <f ca="1">IFERROR(__xludf.DUMMYFUNCTION("""COMPUTED_VALUE"""),150.93)</f>
        <v>150.93</v>
      </c>
      <c r="F121">
        <f t="shared" ca="1" si="13"/>
        <v>2.0941203543895252E-3</v>
      </c>
      <c r="G121">
        <f t="shared" ca="1" si="14"/>
        <v>9.6286107290234225E-3</v>
      </c>
      <c r="H121">
        <f t="shared" ca="1" si="15"/>
        <v>1.6844349680170609E-2</v>
      </c>
      <c r="I121">
        <f t="shared" ca="1" si="16"/>
        <v>-1.2625932225565921E-2</v>
      </c>
      <c r="O121">
        <f t="shared" ca="1" si="17"/>
        <v>1.1574302952980882</v>
      </c>
      <c r="P121">
        <f t="shared" ca="1" si="18"/>
        <v>1.1194143663260661</v>
      </c>
      <c r="Q121">
        <f t="shared" ca="1" si="19"/>
        <v>1.1939912372209471</v>
      </c>
      <c r="R121">
        <f t="shared" ca="1" si="20"/>
        <v>1.1644036414133612</v>
      </c>
    </row>
    <row r="122" spans="1:18" x14ac:dyDescent="0.3">
      <c r="A122" s="2">
        <f ca="1">IFERROR(__xludf.DUMMYFUNCTION("""COMPUTED_VALUE"""),44400.6666666666)</f>
        <v>44400.666666666599</v>
      </c>
      <c r="B122" s="1">
        <f ca="1">IFERROR(__xludf.DUMMYFUNCTION("""COMPUTED_VALUE"""),439.94)</f>
        <v>439.94</v>
      </c>
      <c r="C122" s="1">
        <f ca="1">IFERROR(__xludf.DUMMYFUNCTION("""COMPUTED_VALUE"""),148.56)</f>
        <v>148.56</v>
      </c>
      <c r="D122" s="1">
        <f ca="1">IFERROR(__xludf.DUMMYFUNCTION("""COMPUTED_VALUE"""),289.67)</f>
        <v>289.67</v>
      </c>
      <c r="E122" s="1">
        <f ca="1">IFERROR(__xludf.DUMMYFUNCTION("""COMPUTED_VALUE"""),150.64)</f>
        <v>150.63999999999999</v>
      </c>
      <c r="F122">
        <f t="shared" ca="1" si="13"/>
        <v>1.0287971340651307E-2</v>
      </c>
      <c r="G122">
        <f t="shared" ca="1" si="14"/>
        <v>1.198910081743863E-2</v>
      </c>
      <c r="H122">
        <f t="shared" ca="1" si="15"/>
        <v>1.23366184385267E-2</v>
      </c>
      <c r="I122">
        <f t="shared" ca="1" si="16"/>
        <v>-1.9214205260718244E-3</v>
      </c>
      <c r="O122">
        <f t="shared" ca="1" si="17"/>
        <v>1.1693379050049166</v>
      </c>
      <c r="P122">
        <f t="shared" ca="1" si="18"/>
        <v>1.1328351380204384</v>
      </c>
      <c r="Q122">
        <f t="shared" ca="1" si="19"/>
        <v>1.2087210515334865</v>
      </c>
      <c r="R122">
        <f t="shared" ca="1" si="20"/>
        <v>1.1621663323561169</v>
      </c>
    </row>
    <row r="123" spans="1:18" x14ac:dyDescent="0.3">
      <c r="A123" s="2">
        <f ca="1">IFERROR(__xludf.DUMMYFUNCTION("""COMPUTED_VALUE"""),44403.6666666666)</f>
        <v>44403.666666666599</v>
      </c>
      <c r="B123" s="1">
        <f ca="1">IFERROR(__xludf.DUMMYFUNCTION("""COMPUTED_VALUE"""),441.02)</f>
        <v>441.02</v>
      </c>
      <c r="C123" s="1">
        <f ca="1">IFERROR(__xludf.DUMMYFUNCTION("""COMPUTED_VALUE"""),148.99)</f>
        <v>148.99</v>
      </c>
      <c r="D123" s="1">
        <f ca="1">IFERROR(__xludf.DUMMYFUNCTION("""COMPUTED_VALUE"""),289.05)</f>
        <v>289.05</v>
      </c>
      <c r="E123" s="1">
        <f ca="1">IFERROR(__xludf.DUMMYFUNCTION("""COMPUTED_VALUE"""),151.65)</f>
        <v>151.65</v>
      </c>
      <c r="F123">
        <f t="shared" ca="1" si="13"/>
        <v>2.4548802109378189E-3</v>
      </c>
      <c r="G123">
        <f t="shared" ca="1" si="14"/>
        <v>2.8944534194938532E-3</v>
      </c>
      <c r="H123">
        <f t="shared" ca="1" si="15"/>
        <v>-2.1403666240894965E-3</v>
      </c>
      <c r="I123">
        <f t="shared" ca="1" si="16"/>
        <v>6.7047265002656625E-3</v>
      </c>
      <c r="O123">
        <f t="shared" ca="1" si="17"/>
        <v>1.1722084894878126</v>
      </c>
      <c r="P123">
        <f t="shared" ca="1" si="18"/>
        <v>1.1361140765594047</v>
      </c>
      <c r="Q123">
        <f t="shared" ca="1" si="19"/>
        <v>1.20613394533695</v>
      </c>
      <c r="R123">
        <f t="shared" ca="1" si="20"/>
        <v>1.1699583397623816</v>
      </c>
    </row>
    <row r="124" spans="1:18" x14ac:dyDescent="0.3">
      <c r="A124" s="2">
        <f ca="1">IFERROR(__xludf.DUMMYFUNCTION("""COMPUTED_VALUE"""),44404.6666666666)</f>
        <v>44404.666666666599</v>
      </c>
      <c r="B124" s="1">
        <f ca="1">IFERROR(__xludf.DUMMYFUNCTION("""COMPUTED_VALUE"""),439.01)</f>
        <v>439.01</v>
      </c>
      <c r="C124" s="1">
        <f ca="1">IFERROR(__xludf.DUMMYFUNCTION("""COMPUTED_VALUE"""),146.77)</f>
        <v>146.77000000000001</v>
      </c>
      <c r="D124" s="1">
        <f ca="1">IFERROR(__xludf.DUMMYFUNCTION("""COMPUTED_VALUE"""),286.54)</f>
        <v>286.54000000000002</v>
      </c>
      <c r="E124" s="1">
        <f ca="1">IFERROR(__xludf.DUMMYFUNCTION("""COMPUTED_VALUE"""),151.45)</f>
        <v>151.44999999999999</v>
      </c>
      <c r="F124">
        <f t="shared" ca="1" si="13"/>
        <v>-4.5576164346287943E-3</v>
      </c>
      <c r="G124">
        <f t="shared" ca="1" si="14"/>
        <v>-1.4900328881132954E-2</v>
      </c>
      <c r="H124">
        <f t="shared" ca="1" si="15"/>
        <v>-8.6836187510810955E-3</v>
      </c>
      <c r="I124">
        <f t="shared" ca="1" si="16"/>
        <v>-1.3188262446423807E-3</v>
      </c>
      <c r="O124">
        <f t="shared" ca="1" si="17"/>
        <v>1.1668660128113115</v>
      </c>
      <c r="P124">
        <f t="shared" ca="1" si="18"/>
        <v>1.119185603172185</v>
      </c>
      <c r="Q124">
        <f t="shared" ca="1" si="19"/>
        <v>1.1956603379929065</v>
      </c>
      <c r="R124">
        <f t="shared" ca="1" si="20"/>
        <v>1.1684153679987648</v>
      </c>
    </row>
    <row r="125" spans="1:18" x14ac:dyDescent="0.3">
      <c r="A125" s="2">
        <f ca="1">IFERROR(__xludf.DUMMYFUNCTION("""COMPUTED_VALUE"""),44405.6666666666)</f>
        <v>44405.666666666599</v>
      </c>
      <c r="B125" s="1">
        <f ca="1">IFERROR(__xludf.DUMMYFUNCTION("""COMPUTED_VALUE"""),438.83)</f>
        <v>438.83</v>
      </c>
      <c r="C125" s="1">
        <f ca="1">IFERROR(__xludf.DUMMYFUNCTION("""COMPUTED_VALUE"""),144.98)</f>
        <v>144.97999999999999</v>
      </c>
      <c r="D125" s="1">
        <f ca="1">IFERROR(__xludf.DUMMYFUNCTION("""COMPUTED_VALUE"""),286.22)</f>
        <v>286.22000000000003</v>
      </c>
      <c r="E125" s="1">
        <f ca="1">IFERROR(__xludf.DUMMYFUNCTION("""COMPUTED_VALUE"""),151.7)</f>
        <v>151.69999999999999</v>
      </c>
      <c r="F125">
        <f t="shared" ca="1" si="13"/>
        <v>-4.1001343932941576E-4</v>
      </c>
      <c r="G125">
        <f t="shared" ca="1" si="14"/>
        <v>-1.2195952851400288E-2</v>
      </c>
      <c r="H125">
        <f t="shared" ca="1" si="15"/>
        <v>-1.1167725273958022E-3</v>
      </c>
      <c r="I125">
        <f t="shared" ca="1" si="16"/>
        <v>1.6507098052162431E-3</v>
      </c>
      <c r="O125">
        <f t="shared" ca="1" si="17"/>
        <v>1.166387582064162</v>
      </c>
      <c r="P125">
        <f t="shared" ca="1" si="18"/>
        <v>1.105536068323931</v>
      </c>
      <c r="Q125">
        <f t="shared" ca="1" si="19"/>
        <v>1.1943250573753392</v>
      </c>
      <c r="R125">
        <f t="shared" ca="1" si="20"/>
        <v>1.1703440827032858</v>
      </c>
    </row>
    <row r="126" spans="1:18" x14ac:dyDescent="0.3">
      <c r="A126" s="2">
        <f ca="1">IFERROR(__xludf.DUMMYFUNCTION("""COMPUTED_VALUE"""),44406.6666666666)</f>
        <v>44406.666666666599</v>
      </c>
      <c r="B126" s="1">
        <f ca="1">IFERROR(__xludf.DUMMYFUNCTION("""COMPUTED_VALUE"""),440.65)</f>
        <v>440.65</v>
      </c>
      <c r="C126" s="1">
        <f ca="1">IFERROR(__xludf.DUMMYFUNCTION("""COMPUTED_VALUE"""),145.64)</f>
        <v>145.63999999999999</v>
      </c>
      <c r="D126" s="1">
        <f ca="1">IFERROR(__xludf.DUMMYFUNCTION("""COMPUTED_VALUE"""),286.5)</f>
        <v>286.5</v>
      </c>
      <c r="E126" s="1">
        <f ca="1">IFERROR(__xludf.DUMMYFUNCTION("""COMPUTED_VALUE"""),153)</f>
        <v>153</v>
      </c>
      <c r="F126">
        <f t="shared" ca="1" si="13"/>
        <v>4.1473919285372318E-3</v>
      </c>
      <c r="G126">
        <f t="shared" ca="1" si="14"/>
        <v>4.5523520485583986E-3</v>
      </c>
      <c r="H126">
        <f t="shared" ca="1" si="15"/>
        <v>9.7826846481717804E-4</v>
      </c>
      <c r="I126">
        <f t="shared" ca="1" si="16"/>
        <v>8.5695451549110836E-3</v>
      </c>
      <c r="O126">
        <f t="shared" ca="1" si="17"/>
        <v>1.171225048507561</v>
      </c>
      <c r="P126">
        <f t="shared" ca="1" si="18"/>
        <v>1.1105688577093207</v>
      </c>
      <c r="Q126">
        <f t="shared" ca="1" si="19"/>
        <v>1.1954934279157106</v>
      </c>
      <c r="R126">
        <f t="shared" ca="1" si="20"/>
        <v>1.1803733991667946</v>
      </c>
    </row>
    <row r="127" spans="1:18" x14ac:dyDescent="0.3">
      <c r="A127" s="2">
        <f ca="1">IFERROR(__xludf.DUMMYFUNCTION("""COMPUTED_VALUE"""),44407.6666666666)</f>
        <v>44407.666666666599</v>
      </c>
      <c r="B127" s="1">
        <f ca="1">IFERROR(__xludf.DUMMYFUNCTION("""COMPUTED_VALUE"""),438.51)</f>
        <v>438.51</v>
      </c>
      <c r="C127" s="1">
        <f ca="1">IFERROR(__xludf.DUMMYFUNCTION("""COMPUTED_VALUE"""),145.86)</f>
        <v>145.86000000000001</v>
      </c>
      <c r="D127" s="1">
        <f ca="1">IFERROR(__xludf.DUMMYFUNCTION("""COMPUTED_VALUE"""),284.91)</f>
        <v>284.91000000000003</v>
      </c>
      <c r="E127" s="1">
        <f ca="1">IFERROR(__xludf.DUMMYFUNCTION("""COMPUTED_VALUE"""),151.78)</f>
        <v>151.78</v>
      </c>
      <c r="F127">
        <f t="shared" ca="1" si="13"/>
        <v>-4.8564620447066522E-3</v>
      </c>
      <c r="G127">
        <f t="shared" ca="1" si="14"/>
        <v>1.5105740181270758E-3</v>
      </c>
      <c r="H127">
        <f t="shared" ca="1" si="15"/>
        <v>-5.5497382198952004E-3</v>
      </c>
      <c r="I127">
        <f t="shared" ca="1" si="16"/>
        <v>-7.97385620915032E-3</v>
      </c>
      <c r="O127">
        <f t="shared" ca="1" si="17"/>
        <v>1.1655370385136743</v>
      </c>
      <c r="P127">
        <f t="shared" ca="1" si="18"/>
        <v>1.1122464541711174</v>
      </c>
      <c r="Q127">
        <f t="shared" ca="1" si="19"/>
        <v>1.1888587523471732</v>
      </c>
      <c r="R127">
        <f t="shared" ca="1" si="20"/>
        <v>1.1709612714087325</v>
      </c>
    </row>
    <row r="128" spans="1:18" x14ac:dyDescent="0.3">
      <c r="A128" s="2">
        <f ca="1">IFERROR(__xludf.DUMMYFUNCTION("""COMPUTED_VALUE"""),44410.6666666666)</f>
        <v>44410.666666666599</v>
      </c>
      <c r="B128" s="1">
        <f ca="1">IFERROR(__xludf.DUMMYFUNCTION("""COMPUTED_VALUE"""),437.59)</f>
        <v>437.59</v>
      </c>
      <c r="C128" s="1">
        <f ca="1">IFERROR(__xludf.DUMMYFUNCTION("""COMPUTED_VALUE"""),145.52)</f>
        <v>145.52000000000001</v>
      </c>
      <c r="D128" s="1">
        <f ca="1">IFERROR(__xludf.DUMMYFUNCTION("""COMPUTED_VALUE"""),284.82)</f>
        <v>284.82</v>
      </c>
      <c r="E128" s="1">
        <f ca="1">IFERROR(__xludf.DUMMYFUNCTION("""COMPUTED_VALUE"""),151.17)</f>
        <v>151.16999999999999</v>
      </c>
      <c r="F128">
        <f t="shared" ca="1" si="13"/>
        <v>-2.0980137283072584E-3</v>
      </c>
      <c r="G128">
        <f t="shared" ca="1" si="14"/>
        <v>-2.331002331002354E-3</v>
      </c>
      <c r="H128">
        <f t="shared" ca="1" si="15"/>
        <v>-3.1588922817743086E-4</v>
      </c>
      <c r="I128">
        <f t="shared" ca="1" si="16"/>
        <v>-4.0189748319937645E-3</v>
      </c>
      <c r="O128">
        <f t="shared" ca="1" si="17"/>
        <v>1.163091725806022</v>
      </c>
      <c r="P128">
        <f t="shared" ca="1" si="18"/>
        <v>1.1096538050937954</v>
      </c>
      <c r="Q128">
        <f t="shared" ca="1" si="19"/>
        <v>1.1884832046734823</v>
      </c>
      <c r="R128">
        <f t="shared" ca="1" si="20"/>
        <v>1.1662552075297015</v>
      </c>
    </row>
    <row r="129" spans="1:18" x14ac:dyDescent="0.3">
      <c r="A129" s="2">
        <f ca="1">IFERROR(__xludf.DUMMYFUNCTION("""COMPUTED_VALUE"""),44411.6666666666)</f>
        <v>44411.666666666599</v>
      </c>
      <c r="B129" s="1">
        <f ca="1">IFERROR(__xludf.DUMMYFUNCTION("""COMPUTED_VALUE"""),441.15)</f>
        <v>441.15</v>
      </c>
      <c r="C129" s="1">
        <f ca="1">IFERROR(__xludf.DUMMYFUNCTION("""COMPUTED_VALUE"""),147.36)</f>
        <v>147.36000000000001</v>
      </c>
      <c r="D129" s="1">
        <f ca="1">IFERROR(__xludf.DUMMYFUNCTION("""COMPUTED_VALUE"""),287.12)</f>
        <v>287.12</v>
      </c>
      <c r="E129" s="1">
        <f ca="1">IFERROR(__xludf.DUMMYFUNCTION("""COMPUTED_VALUE"""),152.89)</f>
        <v>152.88999999999999</v>
      </c>
      <c r="F129">
        <f t="shared" ca="1" si="13"/>
        <v>8.1354692748920286E-3</v>
      </c>
      <c r="G129">
        <f t="shared" ca="1" si="14"/>
        <v>1.264431006047281E-2</v>
      </c>
      <c r="H129">
        <f t="shared" ca="1" si="15"/>
        <v>8.0752756126676907E-3</v>
      </c>
      <c r="I129">
        <f t="shared" ca="1" si="16"/>
        <v>1.1377918899252491E-2</v>
      </c>
      <c r="O129">
        <f t="shared" ca="1" si="17"/>
        <v>1.172554022805198</v>
      </c>
      <c r="P129">
        <f t="shared" ca="1" si="18"/>
        <v>1.1236846118651846</v>
      </c>
      <c r="Q129">
        <f t="shared" ca="1" si="19"/>
        <v>1.1980805341122471</v>
      </c>
      <c r="R129">
        <f t="shared" ca="1" si="20"/>
        <v>1.1795247646968052</v>
      </c>
    </row>
    <row r="130" spans="1:18" x14ac:dyDescent="0.3">
      <c r="A130" s="2">
        <f ca="1">IFERROR(__xludf.DUMMYFUNCTION("""COMPUTED_VALUE"""),44412.6666666666)</f>
        <v>44412.666666666599</v>
      </c>
      <c r="B130" s="1">
        <f ca="1">IFERROR(__xludf.DUMMYFUNCTION("""COMPUTED_VALUE"""),438.98)</f>
        <v>438.98</v>
      </c>
      <c r="C130" s="1">
        <f ca="1">IFERROR(__xludf.DUMMYFUNCTION("""COMPUTED_VALUE"""),146.95)</f>
        <v>146.94999999999999</v>
      </c>
      <c r="D130" s="1">
        <f ca="1">IFERROR(__xludf.DUMMYFUNCTION("""COMPUTED_VALUE"""),286.51)</f>
        <v>286.51</v>
      </c>
      <c r="E130" s="1">
        <f ca="1">IFERROR(__xludf.DUMMYFUNCTION("""COMPUTED_VALUE"""),151.24)</f>
        <v>151.24</v>
      </c>
      <c r="F130">
        <f t="shared" ca="1" si="13"/>
        <v>-4.918961804374837E-3</v>
      </c>
      <c r="G130">
        <f t="shared" ca="1" si="14"/>
        <v>-2.7823018458199306E-3</v>
      </c>
      <c r="H130">
        <f t="shared" ca="1" si="15"/>
        <v>-2.1245472276400588E-3</v>
      </c>
      <c r="I130">
        <f t="shared" ca="1" si="16"/>
        <v>-1.0792072732029416E-2</v>
      </c>
      <c r="O130">
        <f t="shared" ca="1" si="17"/>
        <v>1.1667862743534532</v>
      </c>
      <c r="P130">
        <f t="shared" ca="1" si="18"/>
        <v>1.1205581820954726</v>
      </c>
      <c r="Q130">
        <f t="shared" ca="1" si="19"/>
        <v>1.1955351554350093</v>
      </c>
      <c r="R130">
        <f t="shared" ca="1" si="20"/>
        <v>1.1667952476469674</v>
      </c>
    </row>
    <row r="131" spans="1:18" x14ac:dyDescent="0.3">
      <c r="A131" s="2">
        <f ca="1">IFERROR(__xludf.DUMMYFUNCTION("""COMPUTED_VALUE"""),44413.6666666666)</f>
        <v>44413.666666666599</v>
      </c>
      <c r="B131" s="1">
        <f ca="1">IFERROR(__xludf.DUMMYFUNCTION("""COMPUTED_VALUE"""),441.76)</f>
        <v>441.76</v>
      </c>
      <c r="C131" s="1">
        <f ca="1">IFERROR(__xludf.DUMMYFUNCTION("""COMPUTED_VALUE"""),147.06)</f>
        <v>147.06</v>
      </c>
      <c r="D131" s="1">
        <f ca="1">IFERROR(__xludf.DUMMYFUNCTION("""COMPUTED_VALUE"""),289.52)</f>
        <v>289.52</v>
      </c>
      <c r="E131" s="1">
        <f ca="1">IFERROR(__xludf.DUMMYFUNCTION("""COMPUTED_VALUE"""),153.15)</f>
        <v>153.15</v>
      </c>
      <c r="F131">
        <f t="shared" ca="1" si="13"/>
        <v>6.3328625449905977E-3</v>
      </c>
      <c r="G131">
        <f t="shared" ca="1" si="14"/>
        <v>7.4855392990822486E-4</v>
      </c>
      <c r="H131">
        <f t="shared" ca="1" si="15"/>
        <v>1.0505741509894912E-2</v>
      </c>
      <c r="I131">
        <f t="shared" ca="1" si="16"/>
        <v>1.2628934144406219E-2</v>
      </c>
      <c r="O131">
        <f t="shared" ca="1" si="17"/>
        <v>1.1741753714483152</v>
      </c>
      <c r="P131">
        <f t="shared" ca="1" si="18"/>
        <v>1.121396980326371</v>
      </c>
      <c r="Q131">
        <f t="shared" ca="1" si="19"/>
        <v>1.2080951387440015</v>
      </c>
      <c r="R131">
        <f t="shared" ca="1" si="20"/>
        <v>1.181530627989507</v>
      </c>
    </row>
    <row r="132" spans="1:18" x14ac:dyDescent="0.3">
      <c r="A132" s="2">
        <f ca="1">IFERROR(__xludf.DUMMYFUNCTION("""COMPUTED_VALUE"""),44414.6666666666)</f>
        <v>44414.666666666599</v>
      </c>
      <c r="B132" s="1">
        <f ca="1">IFERROR(__xludf.DUMMYFUNCTION("""COMPUTED_VALUE"""),442.49)</f>
        <v>442.49</v>
      </c>
      <c r="C132" s="1">
        <f ca="1">IFERROR(__xludf.DUMMYFUNCTION("""COMPUTED_VALUE"""),146.14)</f>
        <v>146.13999999999999</v>
      </c>
      <c r="D132" s="1">
        <f ca="1">IFERROR(__xludf.DUMMYFUNCTION("""COMPUTED_VALUE"""),289.46)</f>
        <v>289.45999999999998</v>
      </c>
      <c r="E132" s="1">
        <f ca="1">IFERROR(__xludf.DUMMYFUNCTION("""COMPUTED_VALUE"""),157.5)</f>
        <v>157.5</v>
      </c>
      <c r="F132">
        <f t="shared" ref="F132:F195" ca="1" si="21">(B132-B131)/B131</f>
        <v>1.6524809851503491E-3</v>
      </c>
      <c r="G132">
        <f t="shared" ref="G132:G195" ca="1" si="22">(C132-C131)/C131</f>
        <v>-6.2559499524004886E-3</v>
      </c>
      <c r="H132">
        <f t="shared" ref="H132:H195" ca="1" si="23">(D132-D131)/D131</f>
        <v>-2.0723956894170447E-4</v>
      </c>
      <c r="I132">
        <f t="shared" ref="I132:I195" ca="1" si="24">(E132-E131)/E131</f>
        <v>2.8403525954946093E-2</v>
      </c>
      <c r="O132">
        <f t="shared" ref="O132:O195" ca="1" si="25">O131*(1+F132)</f>
        <v>1.1761156739228653</v>
      </c>
      <c r="P132">
        <f t="shared" ref="P132:P195" ca="1" si="26">P131*(1+G132)</f>
        <v>1.1143815769406762</v>
      </c>
      <c r="Q132">
        <f t="shared" ref="Q132:Q195" ca="1" si="27">Q131*(1+H132)</f>
        <v>1.2078447736282076</v>
      </c>
      <c r="R132">
        <f t="shared" ref="R132:R195" ca="1" si="28">R131*(1+I132)</f>
        <v>1.2150902638481706</v>
      </c>
    </row>
    <row r="133" spans="1:18" x14ac:dyDescent="0.3">
      <c r="A133" s="2">
        <f ca="1">IFERROR(__xludf.DUMMYFUNCTION("""COMPUTED_VALUE"""),44417.6666666666)</f>
        <v>44417.666666666599</v>
      </c>
      <c r="B133" s="1">
        <f ca="1">IFERROR(__xludf.DUMMYFUNCTION("""COMPUTED_VALUE"""),442.13)</f>
        <v>442.13</v>
      </c>
      <c r="C133" s="1">
        <f ca="1">IFERROR(__xludf.DUMMYFUNCTION("""COMPUTED_VALUE"""),146.09)</f>
        <v>146.09</v>
      </c>
      <c r="D133" s="1">
        <f ca="1">IFERROR(__xludf.DUMMYFUNCTION("""COMPUTED_VALUE"""),288.33)</f>
        <v>288.33</v>
      </c>
      <c r="E133" s="1">
        <f ca="1">IFERROR(__xludf.DUMMYFUNCTION("""COMPUTED_VALUE"""),157.33)</f>
        <v>157.33000000000001</v>
      </c>
      <c r="F133">
        <f t="shared" ca="1" si="21"/>
        <v>-8.1357770797083246E-4</v>
      </c>
      <c r="G133">
        <f t="shared" ca="1" si="22"/>
        <v>-3.4213767620078656E-4</v>
      </c>
      <c r="H133">
        <f t="shared" ca="1" si="23"/>
        <v>-3.9038209078974487E-3</v>
      </c>
      <c r="I133">
        <f t="shared" ca="1" si="24"/>
        <v>-1.0793650793649999E-3</v>
      </c>
      <c r="O133">
        <f t="shared" ca="1" si="25"/>
        <v>1.1751588124285666</v>
      </c>
      <c r="P133">
        <f t="shared" ca="1" si="26"/>
        <v>1.1140003050175407</v>
      </c>
      <c r="Q133">
        <f t="shared" ca="1" si="27"/>
        <v>1.2031295639474231</v>
      </c>
      <c r="R133">
        <f t="shared" ca="1" si="28"/>
        <v>1.2137787378490965</v>
      </c>
    </row>
    <row r="134" spans="1:18" x14ac:dyDescent="0.3">
      <c r="A134" s="2">
        <f ca="1">IFERROR(__xludf.DUMMYFUNCTION("""COMPUTED_VALUE"""),44418.6666666666)</f>
        <v>44418.666666666599</v>
      </c>
      <c r="B134" s="1">
        <f ca="1">IFERROR(__xludf.DUMMYFUNCTION("""COMPUTED_VALUE"""),442.68)</f>
        <v>442.68</v>
      </c>
      <c r="C134" s="1">
        <f ca="1">IFERROR(__xludf.DUMMYFUNCTION("""COMPUTED_VALUE"""),145.6)</f>
        <v>145.6</v>
      </c>
      <c r="D134" s="1">
        <f ca="1">IFERROR(__xludf.DUMMYFUNCTION("""COMPUTED_VALUE"""),286.44)</f>
        <v>286.44</v>
      </c>
      <c r="E134" s="1">
        <f ca="1">IFERROR(__xludf.DUMMYFUNCTION("""COMPUTED_VALUE"""),159.26)</f>
        <v>159.26</v>
      </c>
      <c r="F134">
        <f t="shared" ca="1" si="21"/>
        <v>1.2439780155158243E-3</v>
      </c>
      <c r="G134">
        <f t="shared" ca="1" si="22"/>
        <v>-3.3540967896502779E-3</v>
      </c>
      <c r="H134">
        <f t="shared" ca="1" si="23"/>
        <v>-6.5549890750181616E-3</v>
      </c>
      <c r="I134">
        <f t="shared" ca="1" si="24"/>
        <v>1.2267209051039079E-2</v>
      </c>
      <c r="O134">
        <f t="shared" ca="1" si="25"/>
        <v>1.1766206841559674</v>
      </c>
      <c r="P134">
        <f t="shared" ca="1" si="26"/>
        <v>1.1102638401708118</v>
      </c>
      <c r="Q134">
        <f t="shared" ca="1" si="27"/>
        <v>1.1952430627999164</v>
      </c>
      <c r="R134">
        <f t="shared" ca="1" si="28"/>
        <v>1.2286684153679979</v>
      </c>
    </row>
    <row r="135" spans="1:18" x14ac:dyDescent="0.3">
      <c r="A135" s="2">
        <f ca="1">IFERROR(__xludf.DUMMYFUNCTION("""COMPUTED_VALUE"""),44419.6666666666)</f>
        <v>44419.666666666599</v>
      </c>
      <c r="B135" s="1">
        <f ca="1">IFERROR(__xludf.DUMMYFUNCTION("""COMPUTED_VALUE"""),443.78)</f>
        <v>443.78</v>
      </c>
      <c r="C135" s="1">
        <f ca="1">IFERROR(__xludf.DUMMYFUNCTION("""COMPUTED_VALUE"""),145.86)</f>
        <v>145.86000000000001</v>
      </c>
      <c r="D135" s="1">
        <f ca="1">IFERROR(__xludf.DUMMYFUNCTION("""COMPUTED_VALUE"""),286.95)</f>
        <v>286.95</v>
      </c>
      <c r="E135" s="1">
        <f ca="1">IFERROR(__xludf.DUMMYFUNCTION("""COMPUTED_VALUE"""),161.16)</f>
        <v>161.16</v>
      </c>
      <c r="F135">
        <f t="shared" ca="1" si="21"/>
        <v>2.4848649137073414E-3</v>
      </c>
      <c r="G135">
        <f t="shared" ca="1" si="22"/>
        <v>1.7857142857144186E-3</v>
      </c>
      <c r="H135">
        <f t="shared" ca="1" si="23"/>
        <v>1.7804775869291682E-3</v>
      </c>
      <c r="I135">
        <f t="shared" ca="1" si="24"/>
        <v>1.1930177068943901E-2</v>
      </c>
      <c r="O135">
        <f t="shared" ca="1" si="25"/>
        <v>1.1795444276107687</v>
      </c>
      <c r="P135">
        <f t="shared" ca="1" si="26"/>
        <v>1.112246454171117</v>
      </c>
      <c r="Q135">
        <f t="shared" ca="1" si="27"/>
        <v>1.1973711662841644</v>
      </c>
      <c r="R135">
        <f t="shared" ca="1" si="28"/>
        <v>1.243326647122357</v>
      </c>
    </row>
    <row r="136" spans="1:18" x14ac:dyDescent="0.3">
      <c r="A136" s="2">
        <f ca="1">IFERROR(__xludf.DUMMYFUNCTION("""COMPUTED_VALUE"""),44420.6666666666)</f>
        <v>44420.666666666599</v>
      </c>
      <c r="B136" s="1">
        <f ca="1">IFERROR(__xludf.DUMMYFUNCTION("""COMPUTED_VALUE"""),445.11)</f>
        <v>445.11</v>
      </c>
      <c r="C136" s="1">
        <f ca="1">IFERROR(__xludf.DUMMYFUNCTION("""COMPUTED_VALUE"""),148.89)</f>
        <v>148.88999999999999</v>
      </c>
      <c r="D136" s="1">
        <f ca="1">IFERROR(__xludf.DUMMYFUNCTION("""COMPUTED_VALUE"""),289.81)</f>
        <v>289.81</v>
      </c>
      <c r="E136" s="1">
        <f ca="1">IFERROR(__xludf.DUMMYFUNCTION("""COMPUTED_VALUE"""),161.79)</f>
        <v>161.79</v>
      </c>
      <c r="F136">
        <f t="shared" ca="1" si="21"/>
        <v>2.9969804858264028E-3</v>
      </c>
      <c r="G136">
        <f t="shared" ca="1" si="22"/>
        <v>2.0773344302755879E-2</v>
      </c>
      <c r="H136">
        <f t="shared" ca="1" si="23"/>
        <v>9.966893186966419E-3</v>
      </c>
      <c r="I136">
        <f t="shared" ca="1" si="24"/>
        <v>3.9091586001488918E-3</v>
      </c>
      <c r="O136">
        <f t="shared" ca="1" si="25"/>
        <v>1.1830794992424833</v>
      </c>
      <c r="P136">
        <f t="shared" ca="1" si="26"/>
        <v>1.1353515327131329</v>
      </c>
      <c r="Q136">
        <f t="shared" ca="1" si="27"/>
        <v>1.2093052368036723</v>
      </c>
      <c r="R136">
        <f t="shared" ca="1" si="28"/>
        <v>1.2481870081777497</v>
      </c>
    </row>
    <row r="137" spans="1:18" x14ac:dyDescent="0.3">
      <c r="A137" s="2">
        <f ca="1">IFERROR(__xludf.DUMMYFUNCTION("""COMPUTED_VALUE"""),44421.6666666666)</f>
        <v>44421.666666666599</v>
      </c>
      <c r="B137" s="1">
        <f ca="1">IFERROR(__xludf.DUMMYFUNCTION("""COMPUTED_VALUE"""),445.92)</f>
        <v>445.92</v>
      </c>
      <c r="C137" s="1">
        <f ca="1">IFERROR(__xludf.DUMMYFUNCTION("""COMPUTED_VALUE"""),149.1)</f>
        <v>149.1</v>
      </c>
      <c r="D137" s="1">
        <f ca="1">IFERROR(__xludf.DUMMYFUNCTION("""COMPUTED_VALUE"""),292.85)</f>
        <v>292.85000000000002</v>
      </c>
      <c r="E137" s="1">
        <f ca="1">IFERROR(__xludf.DUMMYFUNCTION("""COMPUTED_VALUE"""),159.98)</f>
        <v>159.97999999999999</v>
      </c>
      <c r="F137">
        <f t="shared" ca="1" si="21"/>
        <v>1.819774887106563E-3</v>
      </c>
      <c r="G137">
        <f t="shared" ca="1" si="22"/>
        <v>1.4104372355430719E-3</v>
      </c>
      <c r="H137">
        <f t="shared" ca="1" si="23"/>
        <v>1.0489631137641973E-2</v>
      </c>
      <c r="I137">
        <f t="shared" ca="1" si="24"/>
        <v>-1.1187341615674655E-2</v>
      </c>
      <c r="O137">
        <f t="shared" ca="1" si="25"/>
        <v>1.1852324376046552</v>
      </c>
      <c r="P137">
        <f t="shared" ca="1" si="26"/>
        <v>1.1369528747903024</v>
      </c>
      <c r="Q137">
        <f t="shared" ca="1" si="27"/>
        <v>1.2219904026705615</v>
      </c>
      <c r="R137">
        <f t="shared" ca="1" si="28"/>
        <v>1.2342231137170183</v>
      </c>
    </row>
    <row r="138" spans="1:18" x14ac:dyDescent="0.3">
      <c r="A138" s="2">
        <f ca="1">IFERROR(__xludf.DUMMYFUNCTION("""COMPUTED_VALUE"""),44424.6666666666)</f>
        <v>44424.666666666599</v>
      </c>
      <c r="B138" s="1">
        <f ca="1">IFERROR(__xludf.DUMMYFUNCTION("""COMPUTED_VALUE"""),446.97)</f>
        <v>446.97</v>
      </c>
      <c r="C138" s="1">
        <f ca="1">IFERROR(__xludf.DUMMYFUNCTION("""COMPUTED_VALUE"""),151.12)</f>
        <v>151.12</v>
      </c>
      <c r="D138" s="1">
        <f ca="1">IFERROR(__xludf.DUMMYFUNCTION("""COMPUTED_VALUE"""),294.6)</f>
        <v>294.60000000000002</v>
      </c>
      <c r="E138" s="1">
        <f ca="1">IFERROR(__xludf.DUMMYFUNCTION("""COMPUTED_VALUE"""),158.93)</f>
        <v>158.93</v>
      </c>
      <c r="F138">
        <f t="shared" ca="1" si="21"/>
        <v>2.354682454251909E-3</v>
      </c>
      <c r="G138">
        <f t="shared" ca="1" si="22"/>
        <v>1.3547954393024884E-2</v>
      </c>
      <c r="H138">
        <f t="shared" ca="1" si="23"/>
        <v>5.9757555062318586E-3</v>
      </c>
      <c r="I138">
        <f t="shared" ca="1" si="24"/>
        <v>-6.5633204150517752E-3</v>
      </c>
      <c r="O138">
        <f t="shared" ca="1" si="25"/>
        <v>1.1880232836296931</v>
      </c>
      <c r="P138">
        <f t="shared" ca="1" si="26"/>
        <v>1.1523562604849797</v>
      </c>
      <c r="Q138">
        <f t="shared" ca="1" si="27"/>
        <v>1.2292927185478826</v>
      </c>
      <c r="R138">
        <f t="shared" ca="1" si="28"/>
        <v>1.2261225119580306</v>
      </c>
    </row>
    <row r="139" spans="1:18" x14ac:dyDescent="0.3">
      <c r="A139" s="2">
        <f ca="1">IFERROR(__xludf.DUMMYFUNCTION("""COMPUTED_VALUE"""),44425.6666666666)</f>
        <v>44425.666666666599</v>
      </c>
      <c r="B139" s="1">
        <f ca="1">IFERROR(__xludf.DUMMYFUNCTION("""COMPUTED_VALUE"""),444.04)</f>
        <v>444.04</v>
      </c>
      <c r="C139" s="1">
        <f ca="1">IFERROR(__xludf.DUMMYFUNCTION("""COMPUTED_VALUE"""),150.19)</f>
        <v>150.19</v>
      </c>
      <c r="D139" s="1">
        <f ca="1">IFERROR(__xludf.DUMMYFUNCTION("""COMPUTED_VALUE"""),293.08)</f>
        <v>293.08</v>
      </c>
      <c r="E139" s="1">
        <f ca="1">IFERROR(__xludf.DUMMYFUNCTION("""COMPUTED_VALUE"""),157.01)</f>
        <v>157.01</v>
      </c>
      <c r="F139">
        <f t="shared" ca="1" si="21"/>
        <v>-6.5552497930510024E-3</v>
      </c>
      <c r="G139">
        <f t="shared" ca="1" si="22"/>
        <v>-6.1540497617787642E-3</v>
      </c>
      <c r="H139">
        <f t="shared" ca="1" si="23"/>
        <v>-5.1595383570944963E-3</v>
      </c>
      <c r="I139">
        <f t="shared" ca="1" si="24"/>
        <v>-1.2080790285031246E-2</v>
      </c>
      <c r="O139">
        <f t="shared" ca="1" si="25"/>
        <v>1.1802354942455398</v>
      </c>
      <c r="P139">
        <f t="shared" ca="1" si="26"/>
        <v>1.1452646027146578</v>
      </c>
      <c r="Q139">
        <f t="shared" ca="1" si="27"/>
        <v>1.2229501356144379</v>
      </c>
      <c r="R139">
        <f t="shared" ca="1" si="28"/>
        <v>1.2113099830273097</v>
      </c>
    </row>
    <row r="140" spans="1:18" x14ac:dyDescent="0.3">
      <c r="A140" s="2">
        <f ca="1">IFERROR(__xludf.DUMMYFUNCTION("""COMPUTED_VALUE"""),44426.6666666666)</f>
        <v>44426.666666666599</v>
      </c>
      <c r="B140" s="1">
        <f ca="1">IFERROR(__xludf.DUMMYFUNCTION("""COMPUTED_VALUE"""),439.18)</f>
        <v>439.18</v>
      </c>
      <c r="C140" s="1">
        <f ca="1">IFERROR(__xludf.DUMMYFUNCTION("""COMPUTED_VALUE"""),146.36)</f>
        <v>146.36000000000001</v>
      </c>
      <c r="D140" s="1">
        <f ca="1">IFERROR(__xludf.DUMMYFUNCTION("""COMPUTED_VALUE"""),290.73)</f>
        <v>290.73</v>
      </c>
      <c r="E140" s="1">
        <f ca="1">IFERROR(__xludf.DUMMYFUNCTION("""COMPUTED_VALUE"""),155.58)</f>
        <v>155.58000000000001</v>
      </c>
      <c r="F140">
        <f t="shared" ca="1" si="21"/>
        <v>-1.0944959913521334E-2</v>
      </c>
      <c r="G140">
        <f t="shared" ca="1" si="22"/>
        <v>-2.5501032026100167E-2</v>
      </c>
      <c r="H140">
        <f t="shared" ca="1" si="23"/>
        <v>-8.0182885219051651E-3</v>
      </c>
      <c r="I140">
        <f t="shared" ca="1" si="24"/>
        <v>-9.1077001464873481E-3</v>
      </c>
      <c r="O140">
        <f t="shared" ca="1" si="25"/>
        <v>1.1673178640725073</v>
      </c>
      <c r="P140">
        <f t="shared" ca="1" si="26"/>
        <v>1.1160591734024723</v>
      </c>
      <c r="Q140">
        <f t="shared" ca="1" si="27"/>
        <v>1.2131441685791784</v>
      </c>
      <c r="R140">
        <f t="shared" ca="1" si="28"/>
        <v>1.2002777349174503</v>
      </c>
    </row>
    <row r="141" spans="1:18" x14ac:dyDescent="0.3">
      <c r="A141" s="2">
        <f ca="1">IFERROR(__xludf.DUMMYFUNCTION("""COMPUTED_VALUE"""),44427.6666666666)</f>
        <v>44427.666666666599</v>
      </c>
      <c r="B141" s="1">
        <f ca="1">IFERROR(__xludf.DUMMYFUNCTION("""COMPUTED_VALUE"""),439.86)</f>
        <v>439.86</v>
      </c>
      <c r="C141" s="1">
        <f ca="1">IFERROR(__xludf.DUMMYFUNCTION("""COMPUTED_VALUE"""),146.7)</f>
        <v>146.69999999999999</v>
      </c>
      <c r="D141" s="1">
        <f ca="1">IFERROR(__xludf.DUMMYFUNCTION("""COMPUTED_VALUE"""),296.77)</f>
        <v>296.77</v>
      </c>
      <c r="E141" s="1">
        <f ca="1">IFERROR(__xludf.DUMMYFUNCTION("""COMPUTED_VALUE"""),154.28)</f>
        <v>154.28</v>
      </c>
      <c r="F141">
        <f t="shared" ca="1" si="21"/>
        <v>1.5483400883464793E-3</v>
      </c>
      <c r="G141">
        <f t="shared" ca="1" si="22"/>
        <v>2.323039081716145E-3</v>
      </c>
      <c r="H141">
        <f t="shared" ca="1" si="23"/>
        <v>2.0775289787775472E-2</v>
      </c>
      <c r="I141">
        <f t="shared" ca="1" si="24"/>
        <v>-8.3558297981746448E-3</v>
      </c>
      <c r="O141">
        <f t="shared" ca="1" si="25"/>
        <v>1.1691252691172938</v>
      </c>
      <c r="P141">
        <f t="shared" ca="1" si="26"/>
        <v>1.1186518224797941</v>
      </c>
      <c r="Q141">
        <f t="shared" ca="1" si="27"/>
        <v>1.2383475902357608</v>
      </c>
      <c r="R141">
        <f t="shared" ca="1" si="28"/>
        <v>1.1902484184539415</v>
      </c>
    </row>
    <row r="142" spans="1:18" x14ac:dyDescent="0.3">
      <c r="A142" s="2">
        <f ca="1">IFERROR(__xludf.DUMMYFUNCTION("""COMPUTED_VALUE"""),44428.6666666666)</f>
        <v>44428.666666666599</v>
      </c>
      <c r="B142" s="1">
        <f ca="1">IFERROR(__xludf.DUMMYFUNCTION("""COMPUTED_VALUE"""),443.36)</f>
        <v>443.36</v>
      </c>
      <c r="C142" s="1">
        <f ca="1">IFERROR(__xludf.DUMMYFUNCTION("""COMPUTED_VALUE"""),148.19)</f>
        <v>148.19</v>
      </c>
      <c r="D142" s="1">
        <f ca="1">IFERROR(__xludf.DUMMYFUNCTION("""COMPUTED_VALUE"""),304.36)</f>
        <v>304.36</v>
      </c>
      <c r="E142" s="1">
        <f ca="1">IFERROR(__xludf.DUMMYFUNCTION("""COMPUTED_VALUE"""),154.72)</f>
        <v>154.72</v>
      </c>
      <c r="F142">
        <f t="shared" ca="1" si="21"/>
        <v>7.9570772518528614E-3</v>
      </c>
      <c r="G142">
        <f t="shared" ca="1" si="22"/>
        <v>1.0156782549420649E-2</v>
      </c>
      <c r="H142">
        <f t="shared" ca="1" si="23"/>
        <v>2.5575361390976287E-2</v>
      </c>
      <c r="I142">
        <f t="shared" ca="1" si="24"/>
        <v>2.8519574799066483E-3</v>
      </c>
      <c r="O142">
        <f t="shared" ca="1" si="25"/>
        <v>1.1784280892007535</v>
      </c>
      <c r="P142">
        <f t="shared" ca="1" si="26"/>
        <v>1.1300137257892344</v>
      </c>
      <c r="Q142">
        <f t="shared" ca="1" si="27"/>
        <v>1.2700187773836851</v>
      </c>
      <c r="R142">
        <f t="shared" ca="1" si="28"/>
        <v>1.1936429563338982</v>
      </c>
    </row>
    <row r="143" spans="1:18" x14ac:dyDescent="0.3">
      <c r="A143" s="2">
        <f ca="1">IFERROR(__xludf.DUMMYFUNCTION("""COMPUTED_VALUE"""),44431.6666666666)</f>
        <v>44431.666666666599</v>
      </c>
      <c r="B143" s="1">
        <f ca="1">IFERROR(__xludf.DUMMYFUNCTION("""COMPUTED_VALUE"""),447.26)</f>
        <v>447.26</v>
      </c>
      <c r="C143" s="1">
        <f ca="1">IFERROR(__xludf.DUMMYFUNCTION("""COMPUTED_VALUE"""),149.71)</f>
        <v>149.71</v>
      </c>
      <c r="D143" s="1">
        <f ca="1">IFERROR(__xludf.DUMMYFUNCTION("""COMPUTED_VALUE"""),304.65)</f>
        <v>304.64999999999998</v>
      </c>
      <c r="E143" s="1">
        <f ca="1">IFERROR(__xludf.DUMMYFUNCTION("""COMPUTED_VALUE"""),156.7)</f>
        <v>156.69999999999999</v>
      </c>
      <c r="F143">
        <f t="shared" ca="1" si="21"/>
        <v>8.7964633706242717E-3</v>
      </c>
      <c r="G143">
        <f t="shared" ca="1" si="22"/>
        <v>1.0257102368580946E-2</v>
      </c>
      <c r="H143">
        <f t="shared" ca="1" si="23"/>
        <v>9.5281903009581943E-4</v>
      </c>
      <c r="I143">
        <f t="shared" ca="1" si="24"/>
        <v>1.2797311271975115E-2</v>
      </c>
      <c r="O143">
        <f t="shared" ca="1" si="25"/>
        <v>1.1887940887223227</v>
      </c>
      <c r="P143">
        <f t="shared" ca="1" si="26"/>
        <v>1.1416043922525561</v>
      </c>
      <c r="Q143">
        <f t="shared" ca="1" si="27"/>
        <v>1.2712288754433552</v>
      </c>
      <c r="R143">
        <f t="shared" ca="1" si="28"/>
        <v>1.2089183767937035</v>
      </c>
    </row>
    <row r="144" spans="1:18" x14ac:dyDescent="0.3">
      <c r="A144" s="2">
        <f ca="1">IFERROR(__xludf.DUMMYFUNCTION("""COMPUTED_VALUE"""),44432.6666666666)</f>
        <v>44432.666666666599</v>
      </c>
      <c r="B144" s="1">
        <f ca="1">IFERROR(__xludf.DUMMYFUNCTION("""COMPUTED_VALUE"""),447.97)</f>
        <v>447.97</v>
      </c>
      <c r="C144" s="1">
        <f ca="1">IFERROR(__xludf.DUMMYFUNCTION("""COMPUTED_VALUE"""),149.62)</f>
        <v>149.62</v>
      </c>
      <c r="D144" s="1">
        <f ca="1">IFERROR(__xludf.DUMMYFUNCTION("""COMPUTED_VALUE"""),302.62)</f>
        <v>302.62</v>
      </c>
      <c r="E144" s="1">
        <f ca="1">IFERROR(__xludf.DUMMYFUNCTION("""COMPUTED_VALUE"""),157.67)</f>
        <v>157.66999999999999</v>
      </c>
      <c r="F144">
        <f t="shared" ca="1" si="21"/>
        <v>1.5874435451416098E-3</v>
      </c>
      <c r="G144">
        <f t="shared" ca="1" si="22"/>
        <v>-6.0116224701091045E-4</v>
      </c>
      <c r="H144">
        <f t="shared" ca="1" si="23"/>
        <v>-6.663384211390031E-3</v>
      </c>
      <c r="I144">
        <f t="shared" ca="1" si="24"/>
        <v>6.1901723037651492E-3</v>
      </c>
      <c r="O144">
        <f t="shared" ca="1" si="25"/>
        <v>1.1906812322249674</v>
      </c>
      <c r="P144">
        <f t="shared" ca="1" si="26"/>
        <v>1.1409181027909121</v>
      </c>
      <c r="Q144">
        <f t="shared" ca="1" si="27"/>
        <v>1.2627581890256627</v>
      </c>
      <c r="R144">
        <f t="shared" ca="1" si="28"/>
        <v>1.2164017898472446</v>
      </c>
    </row>
    <row r="145" spans="1:18" x14ac:dyDescent="0.3">
      <c r="A145" s="2">
        <f ca="1">IFERROR(__xludf.DUMMYFUNCTION("""COMPUTED_VALUE"""),44433.6666666666)</f>
        <v>44433.666666666599</v>
      </c>
      <c r="B145" s="1">
        <f ca="1">IFERROR(__xludf.DUMMYFUNCTION("""COMPUTED_VALUE"""),448.91)</f>
        <v>448.91</v>
      </c>
      <c r="C145" s="1">
        <f ca="1">IFERROR(__xludf.DUMMYFUNCTION("""COMPUTED_VALUE"""),148.36)</f>
        <v>148.36000000000001</v>
      </c>
      <c r="D145" s="1">
        <f ca="1">IFERROR(__xludf.DUMMYFUNCTION("""COMPUTED_VALUE"""),302.01)</f>
        <v>302.01</v>
      </c>
      <c r="E145" s="1">
        <f ca="1">IFERROR(__xludf.DUMMYFUNCTION("""COMPUTED_VALUE"""),160.92)</f>
        <v>160.91999999999999</v>
      </c>
      <c r="F145">
        <f t="shared" ca="1" si="21"/>
        <v>2.0983548005446741E-3</v>
      </c>
      <c r="G145">
        <f t="shared" ca="1" si="22"/>
        <v>-8.42133404625044E-3</v>
      </c>
      <c r="H145">
        <f t="shared" ca="1" si="23"/>
        <v>-2.0157292974688178E-3</v>
      </c>
      <c r="I145">
        <f t="shared" ca="1" si="24"/>
        <v>2.0612672036531998E-2</v>
      </c>
      <c r="O145">
        <f t="shared" ca="1" si="25"/>
        <v>1.1931797039045251</v>
      </c>
      <c r="P145">
        <f t="shared" ca="1" si="26"/>
        <v>1.1313100503278954</v>
      </c>
      <c r="Q145">
        <f t="shared" ca="1" si="27"/>
        <v>1.2602128103484249</v>
      </c>
      <c r="R145">
        <f t="shared" ca="1" si="28"/>
        <v>1.2414750810060164</v>
      </c>
    </row>
    <row r="146" spans="1:18" x14ac:dyDescent="0.3">
      <c r="A146" s="2">
        <f ca="1">IFERROR(__xludf.DUMMYFUNCTION("""COMPUTED_VALUE"""),44434.6666666666)</f>
        <v>44434.666666666599</v>
      </c>
      <c r="B146" s="1">
        <f ca="1">IFERROR(__xludf.DUMMYFUNCTION("""COMPUTED_VALUE"""),446.26)</f>
        <v>446.26</v>
      </c>
      <c r="C146" s="1">
        <f ca="1">IFERROR(__xludf.DUMMYFUNCTION("""COMPUTED_VALUE"""),147.54)</f>
        <v>147.54</v>
      </c>
      <c r="D146" s="1">
        <f ca="1">IFERROR(__xludf.DUMMYFUNCTION("""COMPUTED_VALUE"""),299.09)</f>
        <v>299.08999999999997</v>
      </c>
      <c r="E146" s="1">
        <f ca="1">IFERROR(__xludf.DUMMYFUNCTION("""COMPUTED_VALUE"""),161.75)</f>
        <v>161.75</v>
      </c>
      <c r="F146">
        <f t="shared" ca="1" si="21"/>
        <v>-5.9031877213696149E-3</v>
      </c>
      <c r="G146">
        <f t="shared" ca="1" si="22"/>
        <v>-5.5270962523592719E-3</v>
      </c>
      <c r="H146">
        <f t="shared" ca="1" si="23"/>
        <v>-9.6685540213900731E-3</v>
      </c>
      <c r="I146">
        <f t="shared" ca="1" si="24"/>
        <v>5.1578424061646316E-3</v>
      </c>
      <c r="O146">
        <f t="shared" ca="1" si="25"/>
        <v>1.1861361401270485</v>
      </c>
      <c r="P146">
        <f t="shared" ca="1" si="26"/>
        <v>1.1250571907884719</v>
      </c>
      <c r="Q146">
        <f t="shared" ca="1" si="27"/>
        <v>1.2480283747131233</v>
      </c>
      <c r="R146">
        <f t="shared" ca="1" si="28"/>
        <v>1.2478784138250261</v>
      </c>
    </row>
    <row r="147" spans="1:18" x14ac:dyDescent="0.3">
      <c r="A147" s="2">
        <f ca="1">IFERROR(__xludf.DUMMYFUNCTION("""COMPUTED_VALUE"""),44435.6666666666)</f>
        <v>44435.666666666599</v>
      </c>
      <c r="B147" s="1">
        <f ca="1">IFERROR(__xludf.DUMMYFUNCTION("""COMPUTED_VALUE"""),450.25)</f>
        <v>450.25</v>
      </c>
      <c r="C147" s="1">
        <f ca="1">IFERROR(__xludf.DUMMYFUNCTION("""COMPUTED_VALUE"""),148.6)</f>
        <v>148.6</v>
      </c>
      <c r="D147" s="1">
        <f ca="1">IFERROR(__xludf.DUMMYFUNCTION("""COMPUTED_VALUE"""),299.72)</f>
        <v>299.72000000000003</v>
      </c>
      <c r="E147" s="1">
        <f ca="1">IFERROR(__xludf.DUMMYFUNCTION("""COMPUTED_VALUE"""),163.05)</f>
        <v>163.05000000000001</v>
      </c>
      <c r="F147">
        <f t="shared" ca="1" si="21"/>
        <v>8.9409761125801308E-3</v>
      </c>
      <c r="G147">
        <f t="shared" ca="1" si="22"/>
        <v>7.1844923410600671E-3</v>
      </c>
      <c r="H147">
        <f t="shared" ca="1" si="23"/>
        <v>2.1063893811229138E-3</v>
      </c>
      <c r="I147">
        <f t="shared" ca="1" si="24"/>
        <v>8.0370942812983698E-3</v>
      </c>
      <c r="O147">
        <f t="shared" ca="1" si="25"/>
        <v>1.1967413550221924</v>
      </c>
      <c r="P147">
        <f t="shared" ca="1" si="26"/>
        <v>1.1331401555589462</v>
      </c>
      <c r="Q147">
        <f t="shared" ca="1" si="27"/>
        <v>1.2506572084289591</v>
      </c>
      <c r="R147">
        <f t="shared" ca="1" si="28"/>
        <v>1.2579077302885349</v>
      </c>
    </row>
    <row r="148" spans="1:18" x14ac:dyDescent="0.3">
      <c r="A148" s="2">
        <f ca="1">IFERROR(__xludf.DUMMYFUNCTION("""COMPUTED_VALUE"""),44438.6666666666)</f>
        <v>44438.666666666599</v>
      </c>
      <c r="B148" s="1">
        <f ca="1">IFERROR(__xludf.DUMMYFUNCTION("""COMPUTED_VALUE"""),452.23)</f>
        <v>452.23</v>
      </c>
      <c r="C148" s="1">
        <f ca="1">IFERROR(__xludf.DUMMYFUNCTION("""COMPUTED_VALUE"""),153.12)</f>
        <v>153.12</v>
      </c>
      <c r="D148" s="1">
        <f ca="1">IFERROR(__xludf.DUMMYFUNCTION("""COMPUTED_VALUE"""),303.59)</f>
        <v>303.58999999999997</v>
      </c>
      <c r="E148" s="1">
        <f ca="1">IFERROR(__xludf.DUMMYFUNCTION("""COMPUTED_VALUE"""),160.44)</f>
        <v>160.44</v>
      </c>
      <c r="F148">
        <f t="shared" ca="1" si="21"/>
        <v>4.3975569128262481E-3</v>
      </c>
      <c r="G148">
        <f t="shared" ca="1" si="22"/>
        <v>3.041722745625848E-2</v>
      </c>
      <c r="H148">
        <f t="shared" ca="1" si="23"/>
        <v>1.2912051247831133E-2</v>
      </c>
      <c r="I148">
        <f t="shared" ca="1" si="24"/>
        <v>-1.6007359705611859E-2</v>
      </c>
      <c r="O148">
        <f t="shared" ca="1" si="25"/>
        <v>1.2020040932408353</v>
      </c>
      <c r="P148">
        <f t="shared" ca="1" si="26"/>
        <v>1.1676071374104027</v>
      </c>
      <c r="Q148">
        <f t="shared" ca="1" si="27"/>
        <v>1.2668057583976633</v>
      </c>
      <c r="R148">
        <f t="shared" ca="1" si="28"/>
        <v>1.2377719487733365</v>
      </c>
    </row>
    <row r="149" spans="1:18" x14ac:dyDescent="0.3">
      <c r="A149" s="2">
        <f ca="1">IFERROR(__xludf.DUMMYFUNCTION("""COMPUTED_VALUE"""),44439.6666666666)</f>
        <v>44439.666666666599</v>
      </c>
      <c r="B149" s="1">
        <f ca="1">IFERROR(__xludf.DUMMYFUNCTION("""COMPUTED_VALUE"""),451.56)</f>
        <v>451.56</v>
      </c>
      <c r="C149" s="1">
        <f ca="1">IFERROR(__xludf.DUMMYFUNCTION("""COMPUTED_VALUE"""),151.83)</f>
        <v>151.83000000000001</v>
      </c>
      <c r="D149" s="1">
        <f ca="1">IFERROR(__xludf.DUMMYFUNCTION("""COMPUTED_VALUE"""),301.88)</f>
        <v>301.88</v>
      </c>
      <c r="E149" s="1">
        <f ca="1">IFERROR(__xludf.DUMMYFUNCTION("""COMPUTED_VALUE"""),159.95)</f>
        <v>159.94999999999999</v>
      </c>
      <c r="F149">
        <f t="shared" ca="1" si="21"/>
        <v>-1.4815470004201753E-3</v>
      </c>
      <c r="G149">
        <f t="shared" ca="1" si="22"/>
        <v>-8.4247648902820802E-3</v>
      </c>
      <c r="H149">
        <f t="shared" ca="1" si="23"/>
        <v>-5.6325965940906475E-3</v>
      </c>
      <c r="I149">
        <f t="shared" ca="1" si="24"/>
        <v>-3.0541012216405454E-3</v>
      </c>
      <c r="O149">
        <f t="shared" ca="1" si="25"/>
        <v>1.2002232676820017</v>
      </c>
      <c r="P149">
        <f t="shared" ca="1" si="26"/>
        <v>1.1577703217935047</v>
      </c>
      <c r="Q149">
        <f t="shared" ca="1" si="27"/>
        <v>1.2596703525975381</v>
      </c>
      <c r="R149">
        <f t="shared" ca="1" si="28"/>
        <v>1.2339916679524756</v>
      </c>
    </row>
    <row r="150" spans="1:18" x14ac:dyDescent="0.3">
      <c r="A150" s="2">
        <f ca="1">IFERROR(__xludf.DUMMYFUNCTION("""COMPUTED_VALUE"""),44440.6666666666)</f>
        <v>44440.666666666599</v>
      </c>
      <c r="B150" s="1">
        <f ca="1">IFERROR(__xludf.DUMMYFUNCTION("""COMPUTED_VALUE"""),451.8)</f>
        <v>451.8</v>
      </c>
      <c r="C150" s="1">
        <f ca="1">IFERROR(__xludf.DUMMYFUNCTION("""COMPUTED_VALUE"""),152.51)</f>
        <v>152.51</v>
      </c>
      <c r="D150" s="1">
        <f ca="1">IFERROR(__xludf.DUMMYFUNCTION("""COMPUTED_VALUE"""),301.83)</f>
        <v>301.83</v>
      </c>
      <c r="E150" s="1">
        <f ca="1">IFERROR(__xludf.DUMMYFUNCTION("""COMPUTED_VALUE"""),159.72)</f>
        <v>159.72</v>
      </c>
      <c r="F150">
        <f t="shared" ca="1" si="21"/>
        <v>5.3149083178317188E-4</v>
      </c>
      <c r="G150">
        <f t="shared" ca="1" si="22"/>
        <v>4.4786932753736308E-3</v>
      </c>
      <c r="H150">
        <f t="shared" ca="1" si="23"/>
        <v>-1.6562872664638721E-4</v>
      </c>
      <c r="I150">
        <f t="shared" ca="1" si="24"/>
        <v>-1.4379493591746783E-3</v>
      </c>
      <c r="O150">
        <f t="shared" ca="1" si="25"/>
        <v>1.2008611753448677</v>
      </c>
      <c r="P150">
        <f t="shared" ca="1" si="26"/>
        <v>1.1629556199481483</v>
      </c>
      <c r="Q150">
        <f t="shared" ca="1" si="27"/>
        <v>1.2594617150010432</v>
      </c>
      <c r="R150">
        <f t="shared" ca="1" si="28"/>
        <v>1.2322172504243165</v>
      </c>
    </row>
    <row r="151" spans="1:18" x14ac:dyDescent="0.3">
      <c r="A151" s="2">
        <f ca="1">IFERROR(__xludf.DUMMYFUNCTION("""COMPUTED_VALUE"""),44441.6666666666)</f>
        <v>44441.666666666599</v>
      </c>
      <c r="B151" s="1">
        <f ca="1">IFERROR(__xludf.DUMMYFUNCTION("""COMPUTED_VALUE"""),453.19)</f>
        <v>453.19</v>
      </c>
      <c r="C151" s="1">
        <f ca="1">IFERROR(__xludf.DUMMYFUNCTION("""COMPUTED_VALUE"""),153.65)</f>
        <v>153.65</v>
      </c>
      <c r="D151" s="1">
        <f ca="1">IFERROR(__xludf.DUMMYFUNCTION("""COMPUTED_VALUE"""),301.15)</f>
        <v>301.14999999999998</v>
      </c>
      <c r="E151" s="1">
        <f ca="1">IFERROR(__xludf.DUMMYFUNCTION("""COMPUTED_VALUE"""),160.46)</f>
        <v>160.46</v>
      </c>
      <c r="F151">
        <f t="shared" ca="1" si="21"/>
        <v>3.0765825586542414E-3</v>
      </c>
      <c r="G151">
        <f t="shared" ca="1" si="22"/>
        <v>7.4749196773983007E-3</v>
      </c>
      <c r="H151">
        <f t="shared" ca="1" si="23"/>
        <v>-2.2529238312957852E-3</v>
      </c>
      <c r="I151">
        <f t="shared" ca="1" si="24"/>
        <v>4.6331079388931195E-3</v>
      </c>
      <c r="O151">
        <f t="shared" ca="1" si="25"/>
        <v>1.2045557238922988</v>
      </c>
      <c r="P151">
        <f t="shared" ca="1" si="26"/>
        <v>1.1716486197956395</v>
      </c>
      <c r="Q151">
        <f t="shared" ca="1" si="27"/>
        <v>1.2566242436887127</v>
      </c>
      <c r="R151">
        <f t="shared" ca="1" si="28"/>
        <v>1.2379262459496985</v>
      </c>
    </row>
    <row r="152" spans="1:18" x14ac:dyDescent="0.3">
      <c r="A152" s="2">
        <f ca="1">IFERROR(__xludf.DUMMYFUNCTION("""COMPUTED_VALUE"""),44442.6666666666)</f>
        <v>44442.666666666599</v>
      </c>
      <c r="B152" s="1">
        <f ca="1">IFERROR(__xludf.DUMMYFUNCTION("""COMPUTED_VALUE"""),453.08)</f>
        <v>453.08</v>
      </c>
      <c r="C152" s="1">
        <f ca="1">IFERROR(__xludf.DUMMYFUNCTION("""COMPUTED_VALUE"""),154.3)</f>
        <v>154.30000000000001</v>
      </c>
      <c r="D152" s="1">
        <f ca="1">IFERROR(__xludf.DUMMYFUNCTION("""COMPUTED_VALUE"""),301.14)</f>
        <v>301.14</v>
      </c>
      <c r="E152" s="1">
        <f ca="1">IFERROR(__xludf.DUMMYFUNCTION("""COMPUTED_VALUE"""),159.49)</f>
        <v>159.49</v>
      </c>
      <c r="F152">
        <f t="shared" ca="1" si="21"/>
        <v>-2.4272380237872336E-4</v>
      </c>
      <c r="G152">
        <f t="shared" ca="1" si="22"/>
        <v>4.2303937520338803E-3</v>
      </c>
      <c r="H152">
        <f t="shared" ca="1" si="23"/>
        <v>-3.3206043499886785E-5</v>
      </c>
      <c r="I152">
        <f t="shared" ca="1" si="24"/>
        <v>-6.0451202791973E-3</v>
      </c>
      <c r="O152">
        <f t="shared" ca="1" si="25"/>
        <v>1.2042633495468185</v>
      </c>
      <c r="P152">
        <f t="shared" ca="1" si="26"/>
        <v>1.176605154796402</v>
      </c>
      <c r="Q152">
        <f t="shared" ca="1" si="27"/>
        <v>1.2565825161694137</v>
      </c>
      <c r="R152">
        <f t="shared" ca="1" si="28"/>
        <v>1.2304428328961574</v>
      </c>
    </row>
    <row r="153" spans="1:18" x14ac:dyDescent="0.3">
      <c r="A153" s="2">
        <f ca="1">IFERROR(__xludf.DUMMYFUNCTION("""COMPUTED_VALUE"""),44446.6666666666)</f>
        <v>44446.666666666599</v>
      </c>
      <c r="B153" s="1">
        <f ca="1">IFERROR(__xludf.DUMMYFUNCTION("""COMPUTED_VALUE"""),451.46)</f>
        <v>451.46</v>
      </c>
      <c r="C153" s="1">
        <f ca="1">IFERROR(__xludf.DUMMYFUNCTION("""COMPUTED_VALUE"""),156.69)</f>
        <v>156.69</v>
      </c>
      <c r="D153" s="1">
        <f ca="1">IFERROR(__xludf.DUMMYFUNCTION("""COMPUTED_VALUE"""),300.18)</f>
        <v>300.18</v>
      </c>
      <c r="E153" s="1">
        <f ca="1">IFERROR(__xludf.DUMMYFUNCTION("""COMPUTED_VALUE"""),159.21)</f>
        <v>159.21</v>
      </c>
      <c r="F153">
        <f t="shared" ca="1" si="21"/>
        <v>-3.5755275006621448E-3</v>
      </c>
      <c r="G153">
        <f t="shared" ca="1" si="22"/>
        <v>1.5489306545690125E-2</v>
      </c>
      <c r="H153">
        <f t="shared" ca="1" si="23"/>
        <v>-3.18788603307425E-3</v>
      </c>
      <c r="I153">
        <f t="shared" ca="1" si="24"/>
        <v>-1.7555959621292942E-3</v>
      </c>
      <c r="O153">
        <f t="shared" ca="1" si="25"/>
        <v>1.1999574728224742</v>
      </c>
      <c r="P153">
        <f t="shared" ca="1" si="26"/>
        <v>1.1948299527222825</v>
      </c>
      <c r="Q153">
        <f t="shared" ca="1" si="27"/>
        <v>1.2525766743167119</v>
      </c>
      <c r="R153">
        <f t="shared" ca="1" si="28"/>
        <v>1.2282826724270941</v>
      </c>
    </row>
    <row r="154" spans="1:18" x14ac:dyDescent="0.3">
      <c r="A154" s="2">
        <f ca="1">IFERROR(__xludf.DUMMYFUNCTION("""COMPUTED_VALUE"""),44447.6666666666)</f>
        <v>44447.666666666599</v>
      </c>
      <c r="B154" s="1">
        <f ca="1">IFERROR(__xludf.DUMMYFUNCTION("""COMPUTED_VALUE"""),450.91)</f>
        <v>450.91</v>
      </c>
      <c r="C154" s="1">
        <f ca="1">IFERROR(__xludf.DUMMYFUNCTION("""COMPUTED_VALUE"""),155.11)</f>
        <v>155.11000000000001</v>
      </c>
      <c r="D154" s="1">
        <f ca="1">IFERROR(__xludf.DUMMYFUNCTION("""COMPUTED_VALUE"""),300.21)</f>
        <v>300.20999999999998</v>
      </c>
      <c r="E154" s="1">
        <f ca="1">IFERROR(__xludf.DUMMYFUNCTION("""COMPUTED_VALUE"""),158.5)</f>
        <v>158.5</v>
      </c>
      <c r="F154">
        <f t="shared" ca="1" si="21"/>
        <v>-1.218269614140687E-3</v>
      </c>
      <c r="G154">
        <f t="shared" ca="1" si="22"/>
        <v>-1.0083604569532096E-2</v>
      </c>
      <c r="H154">
        <f t="shared" ca="1" si="23"/>
        <v>9.9940035978322056E-5</v>
      </c>
      <c r="I154">
        <f t="shared" ca="1" si="24"/>
        <v>-4.4595188744426103E-3</v>
      </c>
      <c r="O154">
        <f t="shared" ca="1" si="25"/>
        <v>1.1984956010950736</v>
      </c>
      <c r="P154">
        <f t="shared" ca="1" si="26"/>
        <v>1.1827817599511983</v>
      </c>
      <c r="Q154">
        <f t="shared" ca="1" si="27"/>
        <v>1.2527018568746087</v>
      </c>
      <c r="R154">
        <f t="shared" ca="1" si="28"/>
        <v>1.2228051226662546</v>
      </c>
    </row>
    <row r="155" spans="1:18" x14ac:dyDescent="0.3">
      <c r="A155" s="2">
        <f ca="1">IFERROR(__xludf.DUMMYFUNCTION("""COMPUTED_VALUE"""),44448.6666666666)</f>
        <v>44448.666666666599</v>
      </c>
      <c r="B155" s="1">
        <f ca="1">IFERROR(__xludf.DUMMYFUNCTION("""COMPUTED_VALUE"""),448.98)</f>
        <v>448.98</v>
      </c>
      <c r="C155" s="1">
        <f ca="1">IFERROR(__xludf.DUMMYFUNCTION("""COMPUTED_VALUE"""),154.07)</f>
        <v>154.07</v>
      </c>
      <c r="D155" s="1">
        <f ca="1">IFERROR(__xludf.DUMMYFUNCTION("""COMPUTED_VALUE"""),297.25)</f>
        <v>297.25</v>
      </c>
      <c r="E155" s="1">
        <f ca="1">IFERROR(__xludf.DUMMYFUNCTION("""COMPUTED_VALUE"""),159.19)</f>
        <v>159.19</v>
      </c>
      <c r="F155">
        <f t="shared" ca="1" si="21"/>
        <v>-4.280233305981253E-3</v>
      </c>
      <c r="G155">
        <f t="shared" ca="1" si="22"/>
        <v>-6.7049190896784246E-3</v>
      </c>
      <c r="H155">
        <f t="shared" ca="1" si="23"/>
        <v>-9.8597648312846991E-3</v>
      </c>
      <c r="I155">
        <f t="shared" ca="1" si="24"/>
        <v>4.3533123028391026E-3</v>
      </c>
      <c r="O155">
        <f t="shared" ca="1" si="25"/>
        <v>1.1933657603061945</v>
      </c>
      <c r="P155">
        <f t="shared" ca="1" si="26"/>
        <v>1.1748513039499782</v>
      </c>
      <c r="Q155">
        <f t="shared" ca="1" si="27"/>
        <v>1.2403505111621114</v>
      </c>
      <c r="R155">
        <f t="shared" ca="1" si="28"/>
        <v>1.2281283752507324</v>
      </c>
    </row>
    <row r="156" spans="1:18" x14ac:dyDescent="0.3">
      <c r="A156" s="2">
        <f ca="1">IFERROR(__xludf.DUMMYFUNCTION("""COMPUTED_VALUE"""),44449.6666666666)</f>
        <v>44449.666666666599</v>
      </c>
      <c r="B156" s="1">
        <f ca="1">IFERROR(__xludf.DUMMYFUNCTION("""COMPUTED_VALUE"""),445.44)</f>
        <v>445.44</v>
      </c>
      <c r="C156" s="1">
        <f ca="1">IFERROR(__xludf.DUMMYFUNCTION("""COMPUTED_VALUE"""),148.97)</f>
        <v>148.97</v>
      </c>
      <c r="D156" s="1">
        <f ca="1">IFERROR(__xludf.DUMMYFUNCTION("""COMPUTED_VALUE"""),295.71)</f>
        <v>295.70999999999998</v>
      </c>
      <c r="E156" s="1">
        <f ca="1">IFERROR(__xludf.DUMMYFUNCTION("""COMPUTED_VALUE"""),157.36)</f>
        <v>157.36000000000001</v>
      </c>
      <c r="F156">
        <f t="shared" ca="1" si="21"/>
        <v>-7.8845382867834216E-3</v>
      </c>
      <c r="G156">
        <f t="shared" ca="1" si="22"/>
        <v>-3.3101836827416076E-2</v>
      </c>
      <c r="H156">
        <f t="shared" ca="1" si="23"/>
        <v>-5.1808242220353923E-3</v>
      </c>
      <c r="I156">
        <f t="shared" ca="1" si="24"/>
        <v>-1.1495696965889717E-2</v>
      </c>
      <c r="O156">
        <f t="shared" ca="1" si="25"/>
        <v>1.183956622278924</v>
      </c>
      <c r="P156">
        <f t="shared" ca="1" si="26"/>
        <v>1.1359615677901489</v>
      </c>
      <c r="Q156">
        <f t="shared" ca="1" si="27"/>
        <v>1.2339244731900687</v>
      </c>
      <c r="R156">
        <f t="shared" ca="1" si="28"/>
        <v>1.2140101836136394</v>
      </c>
    </row>
    <row r="157" spans="1:18" x14ac:dyDescent="0.3">
      <c r="A157" s="2">
        <f ca="1">IFERROR(__xludf.DUMMYFUNCTION("""COMPUTED_VALUE"""),44452.6666666666)</f>
        <v>44452.666666666599</v>
      </c>
      <c r="B157" s="1">
        <f ca="1">IFERROR(__xludf.DUMMYFUNCTION("""COMPUTED_VALUE"""),446.58)</f>
        <v>446.58</v>
      </c>
      <c r="C157" s="1">
        <f ca="1">IFERROR(__xludf.DUMMYFUNCTION("""COMPUTED_VALUE"""),149.55)</f>
        <v>149.55000000000001</v>
      </c>
      <c r="D157" s="1">
        <f ca="1">IFERROR(__xludf.DUMMYFUNCTION("""COMPUTED_VALUE"""),296.99)</f>
        <v>296.99</v>
      </c>
      <c r="E157" s="1">
        <f ca="1">IFERROR(__xludf.DUMMYFUNCTION("""COMPUTED_VALUE"""),159.86)</f>
        <v>159.86000000000001</v>
      </c>
      <c r="F157">
        <f t="shared" ca="1" si="21"/>
        <v>2.5592672413792799E-3</v>
      </c>
      <c r="G157">
        <f t="shared" ca="1" si="22"/>
        <v>3.8934013559777975E-3</v>
      </c>
      <c r="H157">
        <f t="shared" ca="1" si="23"/>
        <v>4.3285651482872734E-3</v>
      </c>
      <c r="I157">
        <f t="shared" ca="1" si="24"/>
        <v>1.5887137773258769E-2</v>
      </c>
      <c r="O157">
        <f t="shared" ca="1" si="25"/>
        <v>1.1869866836775365</v>
      </c>
      <c r="P157">
        <f t="shared" ca="1" si="26"/>
        <v>1.1403843220985217</v>
      </c>
      <c r="Q157">
        <f t="shared" ca="1" si="27"/>
        <v>1.2392655956603378</v>
      </c>
      <c r="R157">
        <f t="shared" ca="1" si="28"/>
        <v>1.2332973306588486</v>
      </c>
    </row>
    <row r="158" spans="1:18" x14ac:dyDescent="0.3">
      <c r="A158" s="2">
        <f ca="1">IFERROR(__xludf.DUMMYFUNCTION("""COMPUTED_VALUE"""),44453.6666666666)</f>
        <v>44453.666666666599</v>
      </c>
      <c r="B158" s="1">
        <f ca="1">IFERROR(__xludf.DUMMYFUNCTION("""COMPUTED_VALUE"""),444.17)</f>
        <v>444.17</v>
      </c>
      <c r="C158" s="1">
        <f ca="1">IFERROR(__xludf.DUMMYFUNCTION("""COMPUTED_VALUE"""),148.12)</f>
        <v>148.12</v>
      </c>
      <c r="D158" s="1">
        <f ca="1">IFERROR(__xludf.DUMMYFUNCTION("""COMPUTED_VALUE"""),299.79)</f>
        <v>299.79000000000002</v>
      </c>
      <c r="E158" s="1">
        <f ca="1">IFERROR(__xludf.DUMMYFUNCTION("""COMPUTED_VALUE"""),157.07)</f>
        <v>157.07</v>
      </c>
      <c r="F158">
        <f t="shared" ca="1" si="21"/>
        <v>-5.3965694836310809E-3</v>
      </c>
      <c r="G158">
        <f t="shared" ca="1" si="22"/>
        <v>-9.5620193915079022E-3</v>
      </c>
      <c r="H158">
        <f t="shared" ca="1" si="23"/>
        <v>9.4279268662244894E-3</v>
      </c>
      <c r="I158">
        <f t="shared" ca="1" si="24"/>
        <v>-1.7452771174778055E-2</v>
      </c>
      <c r="O158">
        <f t="shared" ca="1" si="25"/>
        <v>1.1805810275629258</v>
      </c>
      <c r="P158">
        <f t="shared" ca="1" si="26"/>
        <v>1.129479945096844</v>
      </c>
      <c r="Q158">
        <f t="shared" ca="1" si="27"/>
        <v>1.2509493010640516</v>
      </c>
      <c r="R158">
        <f t="shared" ca="1" si="28"/>
        <v>1.2117728745563952</v>
      </c>
    </row>
    <row r="159" spans="1:18" x14ac:dyDescent="0.3">
      <c r="A159" s="2">
        <f ca="1">IFERROR(__xludf.DUMMYFUNCTION("""COMPUTED_VALUE"""),44454.6666666666)</f>
        <v>44454.666666666599</v>
      </c>
      <c r="B159" s="1">
        <f ca="1">IFERROR(__xludf.DUMMYFUNCTION("""COMPUTED_VALUE"""),447.88)</f>
        <v>447.88</v>
      </c>
      <c r="C159" s="1">
        <f ca="1">IFERROR(__xludf.DUMMYFUNCTION("""COMPUTED_VALUE"""),149.03)</f>
        <v>149.03</v>
      </c>
      <c r="D159" s="1">
        <f ca="1">IFERROR(__xludf.DUMMYFUNCTION("""COMPUTED_VALUE"""),304.82)</f>
        <v>304.82</v>
      </c>
      <c r="E159" s="1">
        <f ca="1">IFERROR(__xludf.DUMMYFUNCTION("""COMPUTED_VALUE"""),158.16)</f>
        <v>158.16</v>
      </c>
      <c r="F159">
        <f t="shared" ca="1" si="21"/>
        <v>8.3526577661705639E-3</v>
      </c>
      <c r="G159">
        <f t="shared" ca="1" si="22"/>
        <v>6.1436672967863665E-3</v>
      </c>
      <c r="H159">
        <f t="shared" ca="1" si="23"/>
        <v>1.6778411554754902E-2</v>
      </c>
      <c r="I159">
        <f t="shared" ca="1" si="24"/>
        <v>6.9395810785000539E-3</v>
      </c>
      <c r="O159">
        <f t="shared" ca="1" si="25"/>
        <v>1.1904420168513929</v>
      </c>
      <c r="P159">
        <f t="shared" ca="1" si="26"/>
        <v>1.1364190940979115</v>
      </c>
      <c r="Q159">
        <f t="shared" ca="1" si="27"/>
        <v>1.2719382432714372</v>
      </c>
      <c r="R159">
        <f t="shared" ca="1" si="28"/>
        <v>1.2201820706681064</v>
      </c>
    </row>
    <row r="160" spans="1:18" x14ac:dyDescent="0.3">
      <c r="A160" s="2">
        <f ca="1">IFERROR(__xludf.DUMMYFUNCTION("""COMPUTED_VALUE"""),44455.6666666666)</f>
        <v>44455.666666666599</v>
      </c>
      <c r="B160" s="1">
        <f ca="1">IFERROR(__xludf.DUMMYFUNCTION("""COMPUTED_VALUE"""),447.17)</f>
        <v>447.17</v>
      </c>
      <c r="C160" s="1">
        <f ca="1">IFERROR(__xludf.DUMMYFUNCTION("""COMPUTED_VALUE"""),148.79)</f>
        <v>148.79</v>
      </c>
      <c r="D160" s="1">
        <f ca="1">IFERROR(__xludf.DUMMYFUNCTION("""COMPUTED_VALUE"""),305.22)</f>
        <v>305.22000000000003</v>
      </c>
      <c r="E160" s="1">
        <f ca="1">IFERROR(__xludf.DUMMYFUNCTION("""COMPUTED_VALUE"""),158.09)</f>
        <v>158.09</v>
      </c>
      <c r="F160">
        <f t="shared" ca="1" si="21"/>
        <v>-1.5852460480485387E-3</v>
      </c>
      <c r="G160">
        <f t="shared" ca="1" si="22"/>
        <v>-1.6104140106019532E-3</v>
      </c>
      <c r="H160">
        <f t="shared" ca="1" si="23"/>
        <v>1.3122498523720036E-3</v>
      </c>
      <c r="I160">
        <f t="shared" ca="1" si="24"/>
        <v>-4.4258978249869232E-4</v>
      </c>
      <c r="O160">
        <f t="shared" ca="1" si="25"/>
        <v>1.1885548733487483</v>
      </c>
      <c r="P160">
        <f t="shared" ca="1" si="26"/>
        <v>1.1345889888668608</v>
      </c>
      <c r="Q160">
        <f t="shared" ca="1" si="27"/>
        <v>1.2736073440433966</v>
      </c>
      <c r="R160">
        <f t="shared" ca="1" si="28"/>
        <v>1.2196420305508406</v>
      </c>
    </row>
    <row r="161" spans="1:18" x14ac:dyDescent="0.3">
      <c r="A161" s="2">
        <f ca="1">IFERROR(__xludf.DUMMYFUNCTION("""COMPUTED_VALUE"""),44456.6666666666)</f>
        <v>44456.666666666599</v>
      </c>
      <c r="B161" s="1">
        <f ca="1">IFERROR(__xludf.DUMMYFUNCTION("""COMPUTED_VALUE"""),441.4)</f>
        <v>441.4</v>
      </c>
      <c r="C161" s="1">
        <f ca="1">IFERROR(__xludf.DUMMYFUNCTION("""COMPUTED_VALUE"""),146.06)</f>
        <v>146.06</v>
      </c>
      <c r="D161" s="1">
        <f ca="1">IFERROR(__xludf.DUMMYFUNCTION("""COMPUTED_VALUE"""),299.87)</f>
        <v>299.87</v>
      </c>
      <c r="E161" s="1">
        <f ca="1">IFERROR(__xludf.DUMMYFUNCTION("""COMPUTED_VALUE"""),157.68)</f>
        <v>157.68</v>
      </c>
      <c r="F161">
        <f t="shared" ca="1" si="21"/>
        <v>-1.2903370082966296E-2</v>
      </c>
      <c r="G161">
        <f t="shared" ca="1" si="22"/>
        <v>-1.8348007258552256E-2</v>
      </c>
      <c r="H161">
        <f t="shared" ca="1" si="23"/>
        <v>-1.7528340213616482E-2</v>
      </c>
      <c r="I161">
        <f t="shared" ca="1" si="24"/>
        <v>-2.5934594218482926E-3</v>
      </c>
      <c r="O161">
        <f t="shared" ca="1" si="25"/>
        <v>1.1732185099540162</v>
      </c>
      <c r="P161">
        <f t="shared" ca="1" si="26"/>
        <v>1.1137715418636582</v>
      </c>
      <c r="Q161">
        <f t="shared" ca="1" si="27"/>
        <v>1.2512831212184434</v>
      </c>
      <c r="R161">
        <f t="shared" ca="1" si="28"/>
        <v>1.2164789384354264</v>
      </c>
    </row>
    <row r="162" spans="1:18" x14ac:dyDescent="0.3">
      <c r="A162" s="2">
        <f ca="1">IFERROR(__xludf.DUMMYFUNCTION("""COMPUTED_VALUE"""),44459.6666666666)</f>
        <v>44459.666666666599</v>
      </c>
      <c r="B162" s="1">
        <f ca="1">IFERROR(__xludf.DUMMYFUNCTION("""COMPUTED_VALUE"""),434.04)</f>
        <v>434.04</v>
      </c>
      <c r="C162" s="1">
        <f ca="1">IFERROR(__xludf.DUMMYFUNCTION("""COMPUTED_VALUE"""),142.94)</f>
        <v>142.94</v>
      </c>
      <c r="D162" s="1">
        <f ca="1">IFERROR(__xludf.DUMMYFUNCTION("""COMPUTED_VALUE"""),294.3)</f>
        <v>294.3</v>
      </c>
      <c r="E162" s="1">
        <f ca="1">IFERROR(__xludf.DUMMYFUNCTION("""COMPUTED_VALUE"""),152.96)</f>
        <v>152.96</v>
      </c>
      <c r="F162">
        <f t="shared" ca="1" si="21"/>
        <v>-1.6674218396012588E-2</v>
      </c>
      <c r="G162">
        <f t="shared" ca="1" si="22"/>
        <v>-2.1361084485827773E-2</v>
      </c>
      <c r="H162">
        <f t="shared" ca="1" si="23"/>
        <v>-1.8574715710141038E-2</v>
      </c>
      <c r="I162">
        <f t="shared" ca="1" si="24"/>
        <v>-2.9934043632673761E-2</v>
      </c>
      <c r="O162">
        <f t="shared" ca="1" si="25"/>
        <v>1.1536560082927985</v>
      </c>
      <c r="P162">
        <f t="shared" ca="1" si="26"/>
        <v>1.0899801738599979</v>
      </c>
      <c r="Q162">
        <f t="shared" ca="1" si="27"/>
        <v>1.2280408929689128</v>
      </c>
      <c r="R162">
        <f t="shared" ca="1" si="28"/>
        <v>1.1800648048140718</v>
      </c>
    </row>
    <row r="163" spans="1:18" x14ac:dyDescent="0.3">
      <c r="A163" s="2">
        <f ca="1">IFERROR(__xludf.DUMMYFUNCTION("""COMPUTED_VALUE"""),44460.6666666666)</f>
        <v>44460.666666666599</v>
      </c>
      <c r="B163" s="1">
        <f ca="1">IFERROR(__xludf.DUMMYFUNCTION("""COMPUTED_VALUE"""),433.63)</f>
        <v>433.63</v>
      </c>
      <c r="C163" s="1">
        <f ca="1">IFERROR(__xludf.DUMMYFUNCTION("""COMPUTED_VALUE"""),143.43)</f>
        <v>143.43</v>
      </c>
      <c r="D163" s="1">
        <f ca="1">IFERROR(__xludf.DUMMYFUNCTION("""COMPUTED_VALUE"""),294.8)</f>
        <v>294.8</v>
      </c>
      <c r="E163" s="1">
        <f ca="1">IFERROR(__xludf.DUMMYFUNCTION("""COMPUTED_VALUE"""),152.98)</f>
        <v>152.97999999999999</v>
      </c>
      <c r="F163">
        <f t="shared" ca="1" si="21"/>
        <v>-9.4461339968672238E-4</v>
      </c>
      <c r="G163">
        <f t="shared" ca="1" si="22"/>
        <v>3.4280117531832175E-3</v>
      </c>
      <c r="H163">
        <f t="shared" ca="1" si="23"/>
        <v>1.6989466530750934E-3</v>
      </c>
      <c r="I163">
        <f t="shared" ca="1" si="24"/>
        <v>1.3075313807519489E-4</v>
      </c>
      <c r="O163">
        <f t="shared" ca="1" si="25"/>
        <v>1.1525662493687359</v>
      </c>
      <c r="P163">
        <f t="shared" ca="1" si="26"/>
        <v>1.0937166387067268</v>
      </c>
      <c r="Q163">
        <f t="shared" ca="1" si="27"/>
        <v>1.2301272689338616</v>
      </c>
      <c r="R163">
        <f t="shared" ca="1" si="28"/>
        <v>1.1802191019904333</v>
      </c>
    </row>
    <row r="164" spans="1:18" x14ac:dyDescent="0.3">
      <c r="A164" s="2">
        <f ca="1">IFERROR(__xludf.DUMMYFUNCTION("""COMPUTED_VALUE"""),44461.6666666666)</f>
        <v>44461.666666666599</v>
      </c>
      <c r="B164" s="1">
        <f ca="1">IFERROR(__xludf.DUMMYFUNCTION("""COMPUTED_VALUE"""),437.86)</f>
        <v>437.86</v>
      </c>
      <c r="C164" s="1">
        <f ca="1">IFERROR(__xludf.DUMMYFUNCTION("""COMPUTED_VALUE"""),145.85)</f>
        <v>145.85</v>
      </c>
      <c r="D164" s="1">
        <f ca="1">IFERROR(__xludf.DUMMYFUNCTION("""COMPUTED_VALUE"""),298.58)</f>
        <v>298.58</v>
      </c>
      <c r="E164" s="1">
        <f ca="1">IFERROR(__xludf.DUMMYFUNCTION("""COMPUTED_VALUE"""),155.91)</f>
        <v>155.91</v>
      </c>
      <c r="F164">
        <f t="shared" ca="1" si="21"/>
        <v>9.7548601342158474E-3</v>
      </c>
      <c r="G164">
        <f t="shared" ca="1" si="22"/>
        <v>1.6872341908945043E-2</v>
      </c>
      <c r="H164">
        <f t="shared" ca="1" si="23"/>
        <v>1.2822252374491087E-2</v>
      </c>
      <c r="I164">
        <f t="shared" ca="1" si="24"/>
        <v>1.9152830435351074E-2</v>
      </c>
      <c r="O164">
        <f t="shared" ca="1" si="25"/>
        <v>1.1638093719267457</v>
      </c>
      <c r="P164">
        <f t="shared" ca="1" si="26"/>
        <v>1.1121701997864886</v>
      </c>
      <c r="Q164">
        <f t="shared" ca="1" si="27"/>
        <v>1.2459002712288751</v>
      </c>
      <c r="R164">
        <f t="shared" ca="1" si="28"/>
        <v>1.2028236383274182</v>
      </c>
    </row>
    <row r="165" spans="1:18" x14ac:dyDescent="0.3">
      <c r="A165" s="2">
        <f ca="1">IFERROR(__xludf.DUMMYFUNCTION("""COMPUTED_VALUE"""),44462.6666666666)</f>
        <v>44462.666666666599</v>
      </c>
      <c r="B165" s="1">
        <f ca="1">IFERROR(__xludf.DUMMYFUNCTION("""COMPUTED_VALUE"""),443.18)</f>
        <v>443.18</v>
      </c>
      <c r="C165" s="1">
        <f ca="1">IFERROR(__xludf.DUMMYFUNCTION("""COMPUTED_VALUE"""),146.83)</f>
        <v>146.83000000000001</v>
      </c>
      <c r="D165" s="1">
        <f ca="1">IFERROR(__xludf.DUMMYFUNCTION("""COMPUTED_VALUE"""),299.56)</f>
        <v>299.56</v>
      </c>
      <c r="E165" s="1">
        <f ca="1">IFERROR(__xludf.DUMMYFUNCTION("""COMPUTED_VALUE"""),161.18)</f>
        <v>161.18</v>
      </c>
      <c r="F165">
        <f t="shared" ca="1" si="21"/>
        <v>1.2150002283835001E-2</v>
      </c>
      <c r="G165">
        <f t="shared" ca="1" si="22"/>
        <v>6.7192320877615241E-3</v>
      </c>
      <c r="H165">
        <f t="shared" ca="1" si="23"/>
        <v>3.282202424810832E-3</v>
      </c>
      <c r="I165">
        <f t="shared" ca="1" si="24"/>
        <v>3.3801552177538392E-2</v>
      </c>
      <c r="O165">
        <f t="shared" ca="1" si="25"/>
        <v>1.1779496584536042</v>
      </c>
      <c r="P165">
        <f t="shared" ca="1" si="26"/>
        <v>1.1196431294799463</v>
      </c>
      <c r="Q165">
        <f t="shared" ca="1" si="27"/>
        <v>1.2499895681201751</v>
      </c>
      <c r="R165">
        <f t="shared" ca="1" si="28"/>
        <v>1.2434809442987189</v>
      </c>
    </row>
    <row r="166" spans="1:18" x14ac:dyDescent="0.3">
      <c r="A166" s="2">
        <f ca="1">IFERROR(__xludf.DUMMYFUNCTION("""COMPUTED_VALUE"""),44463.6666666666)</f>
        <v>44463.666666666599</v>
      </c>
      <c r="B166" s="1">
        <f ca="1">IFERROR(__xludf.DUMMYFUNCTION("""COMPUTED_VALUE"""),443.91)</f>
        <v>443.91</v>
      </c>
      <c r="C166" s="1">
        <f ca="1">IFERROR(__xludf.DUMMYFUNCTION("""COMPUTED_VALUE"""),146.92)</f>
        <v>146.91999999999999</v>
      </c>
      <c r="D166" s="1">
        <f ca="1">IFERROR(__xludf.DUMMYFUNCTION("""COMPUTED_VALUE"""),299.35)</f>
        <v>299.35000000000002</v>
      </c>
      <c r="E166" s="1">
        <f ca="1">IFERROR(__xludf.DUMMYFUNCTION("""COMPUTED_VALUE"""),163.04)</f>
        <v>163.04</v>
      </c>
      <c r="F166">
        <f t="shared" ca="1" si="21"/>
        <v>1.6471862448666865E-3</v>
      </c>
      <c r="G166">
        <f t="shared" ca="1" si="22"/>
        <v>6.1295375604423466E-4</v>
      </c>
      <c r="H166">
        <f t="shared" ca="1" si="23"/>
        <v>-7.0102817465609408E-4</v>
      </c>
      <c r="I166">
        <f t="shared" ca="1" si="24"/>
        <v>1.1539893287008222E-2</v>
      </c>
      <c r="O166">
        <f t="shared" ca="1" si="25"/>
        <v>1.1798899609281543</v>
      </c>
      <c r="P166">
        <f t="shared" ca="1" si="26"/>
        <v>1.12032941894159</v>
      </c>
      <c r="Q166">
        <f t="shared" ca="1" si="27"/>
        <v>1.2491132902148967</v>
      </c>
      <c r="R166">
        <f t="shared" ca="1" si="28"/>
        <v>1.2578305817003546</v>
      </c>
    </row>
    <row r="167" spans="1:18" x14ac:dyDescent="0.3">
      <c r="A167" s="2">
        <f ca="1">IFERROR(__xludf.DUMMYFUNCTION("""COMPUTED_VALUE"""),44466.6666666666)</f>
        <v>44466.666666666599</v>
      </c>
      <c r="B167" s="1">
        <f ca="1">IFERROR(__xludf.DUMMYFUNCTION("""COMPUTED_VALUE"""),442.64)</f>
        <v>442.64</v>
      </c>
      <c r="C167" s="1">
        <f ca="1">IFERROR(__xludf.DUMMYFUNCTION("""COMPUTED_VALUE"""),145.37)</f>
        <v>145.37</v>
      </c>
      <c r="D167" s="1">
        <f ca="1">IFERROR(__xludf.DUMMYFUNCTION("""COMPUTED_VALUE"""),294.17)</f>
        <v>294.17</v>
      </c>
      <c r="E167" s="1">
        <f ca="1">IFERROR(__xludf.DUMMYFUNCTION("""COMPUTED_VALUE"""),166.98)</f>
        <v>166.98</v>
      </c>
      <c r="F167">
        <f t="shared" ca="1" si="21"/>
        <v>-2.8609402806876135E-3</v>
      </c>
      <c r="G167">
        <f t="shared" ca="1" si="22"/>
        <v>-1.0549959161448292E-2</v>
      </c>
      <c r="H167">
        <f t="shared" ca="1" si="23"/>
        <v>-1.7304159011190937E-2</v>
      </c>
      <c r="I167">
        <f t="shared" ca="1" si="24"/>
        <v>2.4165848871442578E-2</v>
      </c>
      <c r="O167">
        <f t="shared" ca="1" si="25"/>
        <v>1.176514366212156</v>
      </c>
      <c r="P167">
        <f t="shared" ca="1" si="26"/>
        <v>1.108509989324387</v>
      </c>
      <c r="Q167">
        <f t="shared" ca="1" si="27"/>
        <v>1.2274984352180263</v>
      </c>
      <c r="R167">
        <f t="shared" ca="1" si="28"/>
        <v>1.2882271254436042</v>
      </c>
    </row>
    <row r="168" spans="1:18" x14ac:dyDescent="0.3">
      <c r="A168" s="2">
        <f ca="1">IFERROR(__xludf.DUMMYFUNCTION("""COMPUTED_VALUE"""),44467.6666666666)</f>
        <v>44467.666666666599</v>
      </c>
      <c r="B168" s="1">
        <f ca="1">IFERROR(__xludf.DUMMYFUNCTION("""COMPUTED_VALUE"""),433.72)</f>
        <v>433.72</v>
      </c>
      <c r="C168" s="1">
        <f ca="1">IFERROR(__xludf.DUMMYFUNCTION("""COMPUTED_VALUE"""),141.91)</f>
        <v>141.91</v>
      </c>
      <c r="D168" s="1">
        <f ca="1">IFERROR(__xludf.DUMMYFUNCTION("""COMPUTED_VALUE"""),283.52)</f>
        <v>283.52</v>
      </c>
      <c r="E168" s="1">
        <f ca="1">IFERROR(__xludf.DUMMYFUNCTION("""COMPUTED_VALUE"""),166.08)</f>
        <v>166.08</v>
      </c>
      <c r="F168">
        <f t="shared" ca="1" si="21"/>
        <v>-2.0151816374480297E-2</v>
      </c>
      <c r="G168">
        <f t="shared" ca="1" si="22"/>
        <v>-2.3801334525693114E-2</v>
      </c>
      <c r="H168">
        <f t="shared" ca="1" si="23"/>
        <v>-3.6203555767073577E-2</v>
      </c>
      <c r="I168">
        <f t="shared" ca="1" si="24"/>
        <v>-5.3898670499459653E-3</v>
      </c>
      <c r="O168">
        <f t="shared" ca="1" si="25"/>
        <v>1.1528054647423105</v>
      </c>
      <c r="P168">
        <f t="shared" ca="1" si="26"/>
        <v>1.0821259722434049</v>
      </c>
      <c r="Q168">
        <f t="shared" ca="1" si="27"/>
        <v>1.1830586271646149</v>
      </c>
      <c r="R168">
        <f t="shared" ca="1" si="28"/>
        <v>1.2812837525073291</v>
      </c>
    </row>
    <row r="169" spans="1:18" x14ac:dyDescent="0.3">
      <c r="A169" s="2">
        <f ca="1">IFERROR(__xludf.DUMMYFUNCTION("""COMPUTED_VALUE"""),44468.6666666666)</f>
        <v>44468.666666666599</v>
      </c>
      <c r="B169" s="1">
        <f ca="1">IFERROR(__xludf.DUMMYFUNCTION("""COMPUTED_VALUE"""),434.45)</f>
        <v>434.45</v>
      </c>
      <c r="C169" s="1">
        <f ca="1">IFERROR(__xludf.DUMMYFUNCTION("""COMPUTED_VALUE"""),142.83)</f>
        <v>142.83000000000001</v>
      </c>
      <c r="D169" s="1">
        <f ca="1">IFERROR(__xludf.DUMMYFUNCTION("""COMPUTED_VALUE"""),284)</f>
        <v>284</v>
      </c>
      <c r="E169" s="1">
        <f ca="1">IFERROR(__xludf.DUMMYFUNCTION("""COMPUTED_VALUE"""),165.95)</f>
        <v>165.95</v>
      </c>
      <c r="F169">
        <f t="shared" ca="1" si="21"/>
        <v>1.6831135294659257E-3</v>
      </c>
      <c r="G169">
        <f t="shared" ca="1" si="22"/>
        <v>6.48298217179914E-3</v>
      </c>
      <c r="H169">
        <f t="shared" ca="1" si="23"/>
        <v>1.6930022573364075E-3</v>
      </c>
      <c r="I169">
        <f t="shared" ca="1" si="24"/>
        <v>-7.8275529865139614E-4</v>
      </c>
      <c r="O169">
        <f t="shared" ca="1" si="25"/>
        <v>1.1547457672168606</v>
      </c>
      <c r="P169">
        <f t="shared" ca="1" si="26"/>
        <v>1.0891413756290997</v>
      </c>
      <c r="Q169">
        <f t="shared" ca="1" si="27"/>
        <v>1.1850615480909659</v>
      </c>
      <c r="R169">
        <f t="shared" ca="1" si="28"/>
        <v>1.2802808208609782</v>
      </c>
    </row>
    <row r="170" spans="1:18" x14ac:dyDescent="0.3">
      <c r="A170" s="2">
        <f ca="1">IFERROR(__xludf.DUMMYFUNCTION("""COMPUTED_VALUE"""),44469.6666666666)</f>
        <v>44469.666666666599</v>
      </c>
      <c r="B170" s="1">
        <f ca="1">IFERROR(__xludf.DUMMYFUNCTION("""COMPUTED_VALUE"""),429.14)</f>
        <v>429.14</v>
      </c>
      <c r="C170" s="1">
        <f ca="1">IFERROR(__xludf.DUMMYFUNCTION("""COMPUTED_VALUE"""),141.5)</f>
        <v>141.5</v>
      </c>
      <c r="D170" s="1">
        <f ca="1">IFERROR(__xludf.DUMMYFUNCTION("""COMPUTED_VALUE"""),281.92)</f>
        <v>281.92</v>
      </c>
      <c r="E170" s="1">
        <f ca="1">IFERROR(__xludf.DUMMYFUNCTION("""COMPUTED_VALUE"""),163.69)</f>
        <v>163.69</v>
      </c>
      <c r="F170">
        <f t="shared" ca="1" si="21"/>
        <v>-1.2222350097824842E-2</v>
      </c>
      <c r="G170">
        <f t="shared" ca="1" si="22"/>
        <v>-9.311769236154956E-3</v>
      </c>
      <c r="H170">
        <f t="shared" ca="1" si="23"/>
        <v>-7.3239436619717746E-3</v>
      </c>
      <c r="I170">
        <f t="shared" ca="1" si="24"/>
        <v>-1.361855980717078E-2</v>
      </c>
      <c r="O170">
        <f t="shared" ca="1" si="25"/>
        <v>1.1406320601759548</v>
      </c>
      <c r="P170">
        <f t="shared" ca="1" si="26"/>
        <v>1.0789995424736931</v>
      </c>
      <c r="Q170">
        <f t="shared" ca="1" si="27"/>
        <v>1.1763822240767785</v>
      </c>
      <c r="R170">
        <f t="shared" ca="1" si="28"/>
        <v>1.2628452399321093</v>
      </c>
    </row>
    <row r="171" spans="1:18" x14ac:dyDescent="0.3">
      <c r="A171" s="2">
        <f ca="1">IFERROR(__xludf.DUMMYFUNCTION("""COMPUTED_VALUE"""),44470.6666666666)</f>
        <v>44470.666666666599</v>
      </c>
      <c r="B171" s="1">
        <f ca="1">IFERROR(__xludf.DUMMYFUNCTION("""COMPUTED_VALUE"""),434.24)</f>
        <v>434.24</v>
      </c>
      <c r="C171" s="1">
        <f ca="1">IFERROR(__xludf.DUMMYFUNCTION("""COMPUTED_VALUE"""),142.65)</f>
        <v>142.65</v>
      </c>
      <c r="D171" s="1">
        <f ca="1">IFERROR(__xludf.DUMMYFUNCTION("""COMPUTED_VALUE"""),289.1)</f>
        <v>289.10000000000002</v>
      </c>
      <c r="E171" s="1">
        <f ca="1">IFERROR(__xludf.DUMMYFUNCTION("""COMPUTED_VALUE"""),167.13)</f>
        <v>167.13</v>
      </c>
      <c r="F171">
        <f t="shared" ca="1" si="21"/>
        <v>1.1884233583446015E-2</v>
      </c>
      <c r="G171">
        <f t="shared" ca="1" si="22"/>
        <v>8.1272084805654107E-3</v>
      </c>
      <c r="H171">
        <f t="shared" ca="1" si="23"/>
        <v>2.5468217934165743E-2</v>
      </c>
      <c r="I171">
        <f t="shared" ca="1" si="24"/>
        <v>2.1015333862789407E-2</v>
      </c>
      <c r="O171">
        <f t="shared" ca="1" si="25"/>
        <v>1.154187598011853</v>
      </c>
      <c r="P171">
        <f t="shared" ca="1" si="26"/>
        <v>1.0877687967058116</v>
      </c>
      <c r="Q171">
        <f t="shared" ca="1" si="27"/>
        <v>1.2063425829334444</v>
      </c>
      <c r="R171">
        <f t="shared" ca="1" si="28"/>
        <v>1.289384354266317</v>
      </c>
    </row>
    <row r="172" spans="1:18" x14ac:dyDescent="0.3">
      <c r="A172" s="2">
        <f ca="1">IFERROR(__xludf.DUMMYFUNCTION("""COMPUTED_VALUE"""),44473.6666666666)</f>
        <v>44473.666666666599</v>
      </c>
      <c r="B172" s="1">
        <f ca="1">IFERROR(__xludf.DUMMYFUNCTION("""COMPUTED_VALUE"""),428.64)</f>
        <v>428.64</v>
      </c>
      <c r="C172" s="1">
        <f ca="1">IFERROR(__xludf.DUMMYFUNCTION("""COMPUTED_VALUE"""),139.14)</f>
        <v>139.13999999999999</v>
      </c>
      <c r="D172" s="1">
        <f ca="1">IFERROR(__xludf.DUMMYFUNCTION("""COMPUTED_VALUE"""),283.11)</f>
        <v>283.11</v>
      </c>
      <c r="E172" s="1">
        <f ca="1">IFERROR(__xludf.DUMMYFUNCTION("""COMPUTED_VALUE"""),166.95)</f>
        <v>166.95</v>
      </c>
      <c r="F172">
        <f t="shared" ca="1" si="21"/>
        <v>-1.2896094325718548E-2</v>
      </c>
      <c r="G172">
        <f t="shared" ca="1" si="22"/>
        <v>-2.4605678233438621E-2</v>
      </c>
      <c r="H172">
        <f t="shared" ca="1" si="23"/>
        <v>-2.0719474230370145E-2</v>
      </c>
      <c r="I172">
        <f t="shared" ca="1" si="24"/>
        <v>-1.0770059235326202E-3</v>
      </c>
      <c r="O172">
        <f t="shared" ca="1" si="25"/>
        <v>1.1393030858783175</v>
      </c>
      <c r="P172">
        <f t="shared" ca="1" si="26"/>
        <v>1.0610035077016937</v>
      </c>
      <c r="Q172">
        <f t="shared" ca="1" si="27"/>
        <v>1.1813477988733567</v>
      </c>
      <c r="R172">
        <f t="shared" ca="1" si="28"/>
        <v>1.2879956796790619</v>
      </c>
    </row>
    <row r="173" spans="1:18" x14ac:dyDescent="0.3">
      <c r="A173" s="2">
        <f ca="1">IFERROR(__xludf.DUMMYFUNCTION("""COMPUTED_VALUE"""),44474.6666666666)</f>
        <v>44474.666666666599</v>
      </c>
      <c r="B173" s="1">
        <f ca="1">IFERROR(__xludf.DUMMYFUNCTION("""COMPUTED_VALUE"""),433.1)</f>
        <v>433.1</v>
      </c>
      <c r="C173" s="1">
        <f ca="1">IFERROR(__xludf.DUMMYFUNCTION("""COMPUTED_VALUE"""),141.11)</f>
        <v>141.11000000000001</v>
      </c>
      <c r="D173" s="1">
        <f ca="1">IFERROR(__xludf.DUMMYFUNCTION("""COMPUTED_VALUE"""),288.76)</f>
        <v>288.76</v>
      </c>
      <c r="E173" s="1">
        <f ca="1">IFERROR(__xludf.DUMMYFUNCTION("""COMPUTED_VALUE"""),168.66)</f>
        <v>168.66</v>
      </c>
      <c r="F173">
        <f t="shared" ca="1" si="21"/>
        <v>1.0405001866368132E-2</v>
      </c>
      <c r="G173">
        <f t="shared" ca="1" si="22"/>
        <v>1.4158401609889518E-2</v>
      </c>
      <c r="H173">
        <f t="shared" ca="1" si="23"/>
        <v>1.9956907209211887E-2</v>
      </c>
      <c r="I173">
        <f t="shared" ca="1" si="24"/>
        <v>1.0242587601078216E-2</v>
      </c>
      <c r="O173">
        <f t="shared" ca="1" si="25"/>
        <v>1.1511575366132405</v>
      </c>
      <c r="P173">
        <f t="shared" ca="1" si="26"/>
        <v>1.0760256214732358</v>
      </c>
      <c r="Q173">
        <f t="shared" ca="1" si="27"/>
        <v>1.204923847277279</v>
      </c>
      <c r="R173">
        <f t="shared" ca="1" si="28"/>
        <v>1.3011880882579852</v>
      </c>
    </row>
    <row r="174" spans="1:18" x14ac:dyDescent="0.3">
      <c r="A174" s="2">
        <f ca="1">IFERROR(__xludf.DUMMYFUNCTION("""COMPUTED_VALUE"""),44475.6666666666)</f>
        <v>44475.666666666599</v>
      </c>
      <c r="B174" s="1">
        <f ca="1">IFERROR(__xludf.DUMMYFUNCTION("""COMPUTED_VALUE"""),434.9)</f>
        <v>434.9</v>
      </c>
      <c r="C174" s="1">
        <f ca="1">IFERROR(__xludf.DUMMYFUNCTION("""COMPUTED_VALUE"""),142)</f>
        <v>142</v>
      </c>
      <c r="D174" s="1">
        <f ca="1">IFERROR(__xludf.DUMMYFUNCTION("""COMPUTED_VALUE"""),293.11)</f>
        <v>293.11</v>
      </c>
      <c r="E174" s="1">
        <f ca="1">IFERROR(__xludf.DUMMYFUNCTION("""COMPUTED_VALUE"""),169.02)</f>
        <v>169.02</v>
      </c>
      <c r="F174">
        <f t="shared" ca="1" si="21"/>
        <v>4.1560840452550324E-3</v>
      </c>
      <c r="G174">
        <f t="shared" ca="1" si="22"/>
        <v>6.3071362766634982E-3</v>
      </c>
      <c r="H174">
        <f t="shared" ca="1" si="23"/>
        <v>1.5064413353650169E-2</v>
      </c>
      <c r="I174">
        <f t="shared" ca="1" si="24"/>
        <v>2.134471718249814E-3</v>
      </c>
      <c r="O174">
        <f t="shared" ca="1" si="25"/>
        <v>1.1559418440847338</v>
      </c>
      <c r="P174">
        <f t="shared" ca="1" si="26"/>
        <v>1.0828122617050491</v>
      </c>
      <c r="Q174">
        <f t="shared" ca="1" si="27"/>
        <v>1.2230753181723344</v>
      </c>
      <c r="R174">
        <f t="shared" ca="1" si="28"/>
        <v>1.3039654374324954</v>
      </c>
    </row>
    <row r="175" spans="1:18" x14ac:dyDescent="0.3">
      <c r="A175" s="2">
        <f ca="1">IFERROR(__xludf.DUMMYFUNCTION("""COMPUTED_VALUE"""),44476.6666666666)</f>
        <v>44476.666666666599</v>
      </c>
      <c r="B175" s="1">
        <f ca="1">IFERROR(__xludf.DUMMYFUNCTION("""COMPUTED_VALUE"""),438.66)</f>
        <v>438.66</v>
      </c>
      <c r="C175" s="1">
        <f ca="1">IFERROR(__xludf.DUMMYFUNCTION("""COMPUTED_VALUE"""),143.29)</f>
        <v>143.29</v>
      </c>
      <c r="D175" s="1">
        <f ca="1">IFERROR(__xludf.DUMMYFUNCTION("""COMPUTED_VALUE"""),294.85)</f>
        <v>294.85000000000002</v>
      </c>
      <c r="E175" s="1">
        <f ca="1">IFERROR(__xludf.DUMMYFUNCTION("""COMPUTED_VALUE"""),170.09)</f>
        <v>170.09</v>
      </c>
      <c r="F175">
        <f t="shared" ca="1" si="21"/>
        <v>8.6456656702691374E-3</v>
      </c>
      <c r="G175">
        <f t="shared" ca="1" si="22"/>
        <v>9.084507042253465E-3</v>
      </c>
      <c r="H175">
        <f t="shared" ca="1" si="23"/>
        <v>5.9363378936235847E-3</v>
      </c>
      <c r="I175">
        <f t="shared" ca="1" si="24"/>
        <v>6.3306117619216255E-3</v>
      </c>
      <c r="O175">
        <f t="shared" ca="1" si="25"/>
        <v>1.1659357308029648</v>
      </c>
      <c r="P175">
        <f t="shared" ca="1" si="26"/>
        <v>1.0926490773219468</v>
      </c>
      <c r="Q175">
        <f t="shared" ca="1" si="27"/>
        <v>1.2303359065303567</v>
      </c>
      <c r="R175">
        <f t="shared" ca="1" si="28"/>
        <v>1.3122203363678449</v>
      </c>
    </row>
    <row r="176" spans="1:18" x14ac:dyDescent="0.3">
      <c r="A176" s="2">
        <f ca="1">IFERROR(__xludf.DUMMYFUNCTION("""COMPUTED_VALUE"""),44477.6666666666)</f>
        <v>44477.666666666599</v>
      </c>
      <c r="B176" s="1">
        <f ca="1">IFERROR(__xludf.DUMMYFUNCTION("""COMPUTED_VALUE"""),437.86)</f>
        <v>437.86</v>
      </c>
      <c r="C176" s="1">
        <f ca="1">IFERROR(__xludf.DUMMYFUNCTION("""COMPUTED_VALUE"""),142.9)</f>
        <v>142.9</v>
      </c>
      <c r="D176" s="1">
        <f ca="1">IFERROR(__xludf.DUMMYFUNCTION("""COMPUTED_VALUE"""),294.85)</f>
        <v>294.85000000000002</v>
      </c>
      <c r="E176" s="1">
        <f ca="1">IFERROR(__xludf.DUMMYFUNCTION("""COMPUTED_VALUE"""),170.22)</f>
        <v>170.22</v>
      </c>
      <c r="F176">
        <f t="shared" ca="1" si="21"/>
        <v>-1.8237359230383699E-3</v>
      </c>
      <c r="G176">
        <f t="shared" ca="1" si="22"/>
        <v>-2.7217530881428319E-3</v>
      </c>
      <c r="H176">
        <f t="shared" ca="1" si="23"/>
        <v>0</v>
      </c>
      <c r="I176">
        <f t="shared" ca="1" si="24"/>
        <v>7.6430125227817892E-4</v>
      </c>
      <c r="O176">
        <f t="shared" ca="1" si="25"/>
        <v>1.1638093719267453</v>
      </c>
      <c r="P176">
        <f t="shared" ca="1" si="26"/>
        <v>1.0896751563214895</v>
      </c>
      <c r="Q176">
        <f t="shared" ca="1" si="27"/>
        <v>1.2303359065303567</v>
      </c>
      <c r="R176">
        <f t="shared" ca="1" si="28"/>
        <v>1.3132232680141958</v>
      </c>
    </row>
    <row r="177" spans="1:18" x14ac:dyDescent="0.3">
      <c r="A177" s="2">
        <f ca="1">IFERROR(__xludf.DUMMYFUNCTION("""COMPUTED_VALUE"""),44480.6666666666)</f>
        <v>44480.666666666599</v>
      </c>
      <c r="B177" s="1">
        <f ca="1">IFERROR(__xludf.DUMMYFUNCTION("""COMPUTED_VALUE"""),434.69)</f>
        <v>434.69</v>
      </c>
      <c r="C177" s="1">
        <f ca="1">IFERROR(__xludf.DUMMYFUNCTION("""COMPUTED_VALUE"""),142.81)</f>
        <v>142.81</v>
      </c>
      <c r="D177" s="1">
        <f ca="1">IFERROR(__xludf.DUMMYFUNCTION("""COMPUTED_VALUE"""),294.23)</f>
        <v>294.23</v>
      </c>
      <c r="E177" s="1">
        <f ca="1">IFERROR(__xludf.DUMMYFUNCTION("""COMPUTED_VALUE"""),166.64)</f>
        <v>166.64</v>
      </c>
      <c r="F177">
        <f t="shared" ca="1" si="21"/>
        <v>-7.2397569999543597E-3</v>
      </c>
      <c r="G177">
        <f t="shared" ca="1" si="22"/>
        <v>-6.2981105668301893E-4</v>
      </c>
      <c r="H177">
        <f t="shared" ca="1" si="23"/>
        <v>-2.1027641173478194E-3</v>
      </c>
      <c r="I177">
        <f t="shared" ca="1" si="24"/>
        <v>-2.1031606156738412E-2</v>
      </c>
      <c r="O177">
        <f t="shared" ca="1" si="25"/>
        <v>1.1553836748797262</v>
      </c>
      <c r="P177">
        <f t="shared" ca="1" si="26"/>
        <v>1.0889888668598453</v>
      </c>
      <c r="Q177">
        <f t="shared" ca="1" si="27"/>
        <v>1.2277488003338202</v>
      </c>
      <c r="R177">
        <f t="shared" ca="1" si="28"/>
        <v>1.2856040734454564</v>
      </c>
    </row>
    <row r="178" spans="1:18" x14ac:dyDescent="0.3">
      <c r="A178" s="2">
        <f ca="1">IFERROR(__xludf.DUMMYFUNCTION("""COMPUTED_VALUE"""),44481.6666666666)</f>
        <v>44481.666666666599</v>
      </c>
      <c r="B178" s="1">
        <f ca="1">IFERROR(__xludf.DUMMYFUNCTION("""COMPUTED_VALUE"""),433.62)</f>
        <v>433.62</v>
      </c>
      <c r="C178" s="1">
        <f ca="1">IFERROR(__xludf.DUMMYFUNCTION("""COMPUTED_VALUE"""),141.51)</f>
        <v>141.51</v>
      </c>
      <c r="D178" s="1">
        <f ca="1">IFERROR(__xludf.DUMMYFUNCTION("""COMPUTED_VALUE"""),292.88)</f>
        <v>292.88</v>
      </c>
      <c r="E178" s="1">
        <f ca="1">IFERROR(__xludf.DUMMYFUNCTION("""COMPUTED_VALUE"""),165.36)</f>
        <v>165.36</v>
      </c>
      <c r="F178">
        <f t="shared" ca="1" si="21"/>
        <v>-2.4615243046768806E-3</v>
      </c>
      <c r="G178">
        <f t="shared" ca="1" si="22"/>
        <v>-9.1030039913172142E-3</v>
      </c>
      <c r="H178">
        <f t="shared" ca="1" si="23"/>
        <v>-4.5882472895354747E-3</v>
      </c>
      <c r="I178">
        <f t="shared" ca="1" si="24"/>
        <v>-7.6812289966392989E-3</v>
      </c>
      <c r="O178">
        <f t="shared" ca="1" si="25"/>
        <v>1.1525396698827828</v>
      </c>
      <c r="P178">
        <f t="shared" ca="1" si="26"/>
        <v>1.07907579685832</v>
      </c>
      <c r="Q178">
        <f t="shared" ca="1" si="27"/>
        <v>1.2221155852284582</v>
      </c>
      <c r="R178">
        <f t="shared" ca="1" si="28"/>
        <v>1.2757290541583095</v>
      </c>
    </row>
    <row r="179" spans="1:18" x14ac:dyDescent="0.3">
      <c r="A179" s="2">
        <f ca="1">IFERROR(__xludf.DUMMYFUNCTION("""COMPUTED_VALUE"""),44482.6666666666)</f>
        <v>44482.666666666599</v>
      </c>
      <c r="B179" s="1">
        <f ca="1">IFERROR(__xludf.DUMMYFUNCTION("""COMPUTED_VALUE"""),435.18)</f>
        <v>435.18</v>
      </c>
      <c r="C179" s="1">
        <f ca="1">IFERROR(__xludf.DUMMYFUNCTION("""COMPUTED_VALUE"""),140.91)</f>
        <v>140.91</v>
      </c>
      <c r="D179" s="1">
        <f ca="1">IFERROR(__xludf.DUMMYFUNCTION("""COMPUTED_VALUE"""),296.31)</f>
        <v>296.31</v>
      </c>
      <c r="E179" s="1">
        <f ca="1">IFERROR(__xludf.DUMMYFUNCTION("""COMPUTED_VALUE"""),161)</f>
        <v>161</v>
      </c>
      <c r="F179">
        <f t="shared" ca="1" si="21"/>
        <v>3.5976200359762057E-3</v>
      </c>
      <c r="G179">
        <f t="shared" ca="1" si="22"/>
        <v>-4.2399830400677999E-3</v>
      </c>
      <c r="H179">
        <f t="shared" ca="1" si="23"/>
        <v>1.1711281070745721E-2</v>
      </c>
      <c r="I179">
        <f t="shared" ca="1" si="24"/>
        <v>-2.6366715045960408E-2</v>
      </c>
      <c r="O179">
        <f t="shared" ca="1" si="25"/>
        <v>1.1566860696914105</v>
      </c>
      <c r="P179">
        <f t="shared" ca="1" si="26"/>
        <v>1.074500533780693</v>
      </c>
      <c r="Q179">
        <f t="shared" ca="1" si="27"/>
        <v>1.2364281243480078</v>
      </c>
      <c r="R179">
        <f t="shared" ca="1" si="28"/>
        <v>1.2420922697114647</v>
      </c>
    </row>
    <row r="180" spans="1:18" x14ac:dyDescent="0.3">
      <c r="A180" s="2">
        <f ca="1">IFERROR(__xludf.DUMMYFUNCTION("""COMPUTED_VALUE"""),44483.6666666666)</f>
        <v>44483.666666666599</v>
      </c>
      <c r="B180" s="1">
        <f ca="1">IFERROR(__xludf.DUMMYFUNCTION("""COMPUTED_VALUE"""),442.5)</f>
        <v>442.5</v>
      </c>
      <c r="C180" s="1">
        <f ca="1">IFERROR(__xludf.DUMMYFUNCTION("""COMPUTED_VALUE"""),143.76)</f>
        <v>143.76</v>
      </c>
      <c r="D180" s="1">
        <f ca="1">IFERROR(__xludf.DUMMYFUNCTION("""COMPUTED_VALUE"""),302.75)</f>
        <v>302.75</v>
      </c>
      <c r="E180" s="1">
        <f ca="1">IFERROR(__xludf.DUMMYFUNCTION("""COMPUTED_VALUE"""),163.47)</f>
        <v>163.47</v>
      </c>
      <c r="F180">
        <f t="shared" ca="1" si="21"/>
        <v>1.6820625947883618E-2</v>
      </c>
      <c r="G180">
        <f t="shared" ca="1" si="22"/>
        <v>2.0225675963380842E-2</v>
      </c>
      <c r="H180">
        <f t="shared" ca="1" si="23"/>
        <v>2.1733994802740367E-2</v>
      </c>
      <c r="I180">
        <f t="shared" ca="1" si="24"/>
        <v>1.5341614906832291E-2</v>
      </c>
      <c r="O180">
        <f t="shared" ca="1" si="25"/>
        <v>1.1761422534088173</v>
      </c>
      <c r="P180">
        <f t="shared" ca="1" si="26"/>
        <v>1.096233033399421</v>
      </c>
      <c r="Q180">
        <f t="shared" ca="1" si="27"/>
        <v>1.2633006467765495</v>
      </c>
      <c r="R180">
        <f t="shared" ca="1" si="28"/>
        <v>1.2611479709921314</v>
      </c>
    </row>
    <row r="181" spans="1:18" x14ac:dyDescent="0.3">
      <c r="A181" s="2">
        <f ca="1">IFERROR(__xludf.DUMMYFUNCTION("""COMPUTED_VALUE"""),44484.6666666666)</f>
        <v>44484.666666666599</v>
      </c>
      <c r="B181" s="1">
        <f ca="1">IFERROR(__xludf.DUMMYFUNCTION("""COMPUTED_VALUE"""),445.87)</f>
        <v>445.87</v>
      </c>
      <c r="C181" s="1">
        <f ca="1">IFERROR(__xludf.DUMMYFUNCTION("""COMPUTED_VALUE"""),144.84)</f>
        <v>144.84</v>
      </c>
      <c r="D181" s="1">
        <f ca="1">IFERROR(__xludf.DUMMYFUNCTION("""COMPUTED_VALUE"""),304.21)</f>
        <v>304.20999999999998</v>
      </c>
      <c r="E181" s="1">
        <f ca="1">IFERROR(__xludf.DUMMYFUNCTION("""COMPUTED_VALUE"""),166.61)</f>
        <v>166.61</v>
      </c>
      <c r="F181">
        <f t="shared" ca="1" si="21"/>
        <v>7.6158192090395585E-3</v>
      </c>
      <c r="G181">
        <f t="shared" ca="1" si="22"/>
        <v>7.5125208681136096E-3</v>
      </c>
      <c r="H181">
        <f t="shared" ca="1" si="23"/>
        <v>4.8224607762179343E-3</v>
      </c>
      <c r="I181">
        <f t="shared" ca="1" si="24"/>
        <v>1.9208417446626384E-2</v>
      </c>
      <c r="O181">
        <f t="shared" ca="1" si="25"/>
        <v>1.1850995401748914</v>
      </c>
      <c r="P181">
        <f t="shared" ca="1" si="26"/>
        <v>1.1044685069391498</v>
      </c>
      <c r="Q181">
        <f t="shared" ca="1" si="27"/>
        <v>1.2693928645942001</v>
      </c>
      <c r="R181">
        <f t="shared" ca="1" si="28"/>
        <v>1.2853726276809143</v>
      </c>
    </row>
    <row r="182" spans="1:18" x14ac:dyDescent="0.3">
      <c r="A182" s="2">
        <f ca="1">IFERROR(__xludf.DUMMYFUNCTION("""COMPUTED_VALUE"""),44487.6666666666)</f>
        <v>44487.666666666599</v>
      </c>
      <c r="B182" s="1">
        <f ca="1">IFERROR(__xludf.DUMMYFUNCTION("""COMPUTED_VALUE"""),447.19)</f>
        <v>447.19</v>
      </c>
      <c r="C182" s="1">
        <f ca="1">IFERROR(__xludf.DUMMYFUNCTION("""COMPUTED_VALUE"""),146.55)</f>
        <v>146.55000000000001</v>
      </c>
      <c r="D182" s="1">
        <f ca="1">IFERROR(__xludf.DUMMYFUNCTION("""COMPUTED_VALUE"""),307.29)</f>
        <v>307.29000000000002</v>
      </c>
      <c r="E182" s="1">
        <f ca="1">IFERROR(__xludf.DUMMYFUNCTION("""COMPUTED_VALUE"""),166.55)</f>
        <v>166.55</v>
      </c>
      <c r="F182">
        <f t="shared" ca="1" si="21"/>
        <v>2.9605041828335461E-3</v>
      </c>
      <c r="G182">
        <f t="shared" ca="1" si="22"/>
        <v>1.1806130903065506E-2</v>
      </c>
      <c r="H182">
        <f t="shared" ca="1" si="23"/>
        <v>1.0124584990631607E-2</v>
      </c>
      <c r="I182">
        <f t="shared" ca="1" si="24"/>
        <v>-3.6012244163016787E-4</v>
      </c>
      <c r="O182">
        <f t="shared" ca="1" si="25"/>
        <v>1.1886080323206534</v>
      </c>
      <c r="P182">
        <f t="shared" ca="1" si="26"/>
        <v>1.1175080067103866</v>
      </c>
      <c r="Q182">
        <f t="shared" ca="1" si="27"/>
        <v>1.2822449405382852</v>
      </c>
      <c r="R182">
        <f t="shared" ca="1" si="28"/>
        <v>1.2849097361518294</v>
      </c>
    </row>
    <row r="183" spans="1:18" x14ac:dyDescent="0.3">
      <c r="A183" s="2">
        <f ca="1">IFERROR(__xludf.DUMMYFUNCTION("""COMPUTED_VALUE"""),44488.6666666666)</f>
        <v>44488.666666666599</v>
      </c>
      <c r="B183" s="1">
        <f ca="1">IFERROR(__xludf.DUMMYFUNCTION("""COMPUTED_VALUE"""),450.64)</f>
        <v>450.64</v>
      </c>
      <c r="C183" s="1">
        <f ca="1">IFERROR(__xludf.DUMMYFUNCTION("""COMPUTED_VALUE"""),148.76)</f>
        <v>148.76</v>
      </c>
      <c r="D183" s="1">
        <f ca="1">IFERROR(__xludf.DUMMYFUNCTION("""COMPUTED_VALUE"""),308.23)</f>
        <v>308.23</v>
      </c>
      <c r="E183" s="1">
        <f ca="1">IFERROR(__xludf.DUMMYFUNCTION("""COMPUTED_VALUE"""),168.57)</f>
        <v>168.57</v>
      </c>
      <c r="F183">
        <f t="shared" ca="1" si="21"/>
        <v>7.7148415662246219E-3</v>
      </c>
      <c r="G183">
        <f t="shared" ca="1" si="22"/>
        <v>1.5080177413851786E-2</v>
      </c>
      <c r="H183">
        <f t="shared" ca="1" si="23"/>
        <v>3.0589996420319491E-3</v>
      </c>
      <c r="I183">
        <f t="shared" ca="1" si="24"/>
        <v>1.2128489942959963E-2</v>
      </c>
      <c r="O183">
        <f t="shared" ca="1" si="25"/>
        <v>1.1977779549743492</v>
      </c>
      <c r="P183">
        <f t="shared" ca="1" si="26"/>
        <v>1.1343602257129792</v>
      </c>
      <c r="Q183">
        <f t="shared" ca="1" si="27"/>
        <v>1.2861673273523893</v>
      </c>
      <c r="R183">
        <f t="shared" ca="1" si="28"/>
        <v>1.3004937509643582</v>
      </c>
    </row>
    <row r="184" spans="1:18" x14ac:dyDescent="0.3">
      <c r="A184" s="2">
        <f ca="1">IFERROR(__xludf.DUMMYFUNCTION("""COMPUTED_VALUE"""),44489.6666666666)</f>
        <v>44489.666666666599</v>
      </c>
      <c r="B184" s="1">
        <f ca="1">IFERROR(__xludf.DUMMYFUNCTION("""COMPUTED_VALUE"""),452.41)</f>
        <v>452.41</v>
      </c>
      <c r="C184" s="1">
        <f ca="1">IFERROR(__xludf.DUMMYFUNCTION("""COMPUTED_VALUE"""),149.26)</f>
        <v>149.26</v>
      </c>
      <c r="D184" s="1">
        <f ca="1">IFERROR(__xludf.DUMMYFUNCTION("""COMPUTED_VALUE"""),307.41)</f>
        <v>307.41000000000003</v>
      </c>
      <c r="E184" s="1">
        <f ca="1">IFERROR(__xludf.DUMMYFUNCTION("""COMPUTED_VALUE"""),170.84)</f>
        <v>170.84</v>
      </c>
      <c r="F184">
        <f t="shared" ca="1" si="21"/>
        <v>3.9277472039766529E-3</v>
      </c>
      <c r="G184">
        <f t="shared" ca="1" si="22"/>
        <v>3.3611185802635119E-3</v>
      </c>
      <c r="H184">
        <f t="shared" ca="1" si="23"/>
        <v>-2.6603510365635829E-3</v>
      </c>
      <c r="I184">
        <f t="shared" ca="1" si="24"/>
        <v>1.3466215815388326E-2</v>
      </c>
      <c r="O184">
        <f t="shared" ca="1" si="25"/>
        <v>1.2024825239879846</v>
      </c>
      <c r="P184">
        <f t="shared" ca="1" si="26"/>
        <v>1.1381729449443352</v>
      </c>
      <c r="Q184">
        <f t="shared" ca="1" si="27"/>
        <v>1.282745670769873</v>
      </c>
      <c r="R184">
        <f t="shared" ca="1" si="28"/>
        <v>1.3180064804814082</v>
      </c>
    </row>
    <row r="185" spans="1:18" x14ac:dyDescent="0.3">
      <c r="A185" s="2">
        <f ca="1">IFERROR(__xludf.DUMMYFUNCTION("""COMPUTED_VALUE"""),44490.6666666666)</f>
        <v>44490.666666666599</v>
      </c>
      <c r="B185" s="1">
        <f ca="1">IFERROR(__xludf.DUMMYFUNCTION("""COMPUTED_VALUE"""),453.59)</f>
        <v>453.59</v>
      </c>
      <c r="C185" s="1">
        <f ca="1">IFERROR(__xludf.DUMMYFUNCTION("""COMPUTED_VALUE"""),149.48)</f>
        <v>149.47999999999999</v>
      </c>
      <c r="D185" s="1">
        <f ca="1">IFERROR(__xludf.DUMMYFUNCTION("""COMPUTED_VALUE"""),310.76)</f>
        <v>310.76</v>
      </c>
      <c r="E185" s="1">
        <f ca="1">IFERROR(__xludf.DUMMYFUNCTION("""COMPUTED_VALUE"""),169.5)</f>
        <v>169.5</v>
      </c>
      <c r="F185">
        <f t="shared" ca="1" si="21"/>
        <v>2.6082535752966333E-3</v>
      </c>
      <c r="G185">
        <f t="shared" ca="1" si="22"/>
        <v>1.4739380946000192E-3</v>
      </c>
      <c r="H185">
        <f t="shared" ca="1" si="23"/>
        <v>1.0897498454832196E-2</v>
      </c>
      <c r="I185">
        <f t="shared" ca="1" si="24"/>
        <v>-7.8435963474596318E-3</v>
      </c>
      <c r="O185">
        <f t="shared" ca="1" si="25"/>
        <v>1.2056189033304081</v>
      </c>
      <c r="P185">
        <f t="shared" ca="1" si="26"/>
        <v>1.1398505414061317</v>
      </c>
      <c r="Q185">
        <f t="shared" ca="1" si="27"/>
        <v>1.2967243897350305</v>
      </c>
      <c r="R185">
        <f t="shared" ca="1" si="28"/>
        <v>1.307668569665176</v>
      </c>
    </row>
    <row r="186" spans="1:18" x14ac:dyDescent="0.3">
      <c r="A186" s="2">
        <f ca="1">IFERROR(__xludf.DUMMYFUNCTION("""COMPUTED_VALUE"""),44491.6666666666)</f>
        <v>44491.666666666599</v>
      </c>
      <c r="B186" s="1">
        <f ca="1">IFERROR(__xludf.DUMMYFUNCTION("""COMPUTED_VALUE"""),453.12)</f>
        <v>453.12</v>
      </c>
      <c r="C186" s="1">
        <f ca="1">IFERROR(__xludf.DUMMYFUNCTION("""COMPUTED_VALUE"""),148.69)</f>
        <v>148.69</v>
      </c>
      <c r="D186" s="1">
        <f ca="1">IFERROR(__xludf.DUMMYFUNCTION("""COMPUTED_VALUE"""),309.16)</f>
        <v>309.16000000000003</v>
      </c>
      <c r="E186" s="1">
        <f ca="1">IFERROR(__xludf.DUMMYFUNCTION("""COMPUTED_VALUE"""),171.78)</f>
        <v>171.78</v>
      </c>
      <c r="F186">
        <f t="shared" ca="1" si="21"/>
        <v>-1.0361780462531591E-3</v>
      </c>
      <c r="G186">
        <f t="shared" ca="1" si="22"/>
        <v>-5.2849879582552318E-3</v>
      </c>
      <c r="H186">
        <f t="shared" ca="1" si="23"/>
        <v>-5.1486677822112428E-3</v>
      </c>
      <c r="I186">
        <f t="shared" ca="1" si="24"/>
        <v>1.3451327433628325E-2</v>
      </c>
      <c r="O186">
        <f t="shared" ca="1" si="25"/>
        <v>1.2043696674906295</v>
      </c>
      <c r="P186">
        <f t="shared" ca="1" si="26"/>
        <v>1.1338264450205895</v>
      </c>
      <c r="Q186">
        <f t="shared" ca="1" si="27"/>
        <v>1.2900479866471941</v>
      </c>
      <c r="R186">
        <f t="shared" ca="1" si="28"/>
        <v>1.3252584477704066</v>
      </c>
    </row>
    <row r="187" spans="1:18" x14ac:dyDescent="0.3">
      <c r="A187" s="2">
        <f ca="1">IFERROR(__xludf.DUMMYFUNCTION("""COMPUTED_VALUE"""),44494.6666666666)</f>
        <v>44494.666666666599</v>
      </c>
      <c r="B187" s="1">
        <f ca="1">IFERROR(__xludf.DUMMYFUNCTION("""COMPUTED_VALUE"""),455.55)</f>
        <v>455.55</v>
      </c>
      <c r="C187" s="1">
        <f ca="1">IFERROR(__xludf.DUMMYFUNCTION("""COMPUTED_VALUE"""),148.64)</f>
        <v>148.63999999999999</v>
      </c>
      <c r="D187" s="1">
        <f ca="1">IFERROR(__xludf.DUMMYFUNCTION("""COMPUTED_VALUE"""),308.13)</f>
        <v>308.13</v>
      </c>
      <c r="E187" s="1">
        <f ca="1">IFERROR(__xludf.DUMMYFUNCTION("""COMPUTED_VALUE"""),170.94)</f>
        <v>170.94</v>
      </c>
      <c r="F187">
        <f t="shared" ca="1" si="21"/>
        <v>5.3628177966101847E-3</v>
      </c>
      <c r="G187">
        <f t="shared" ca="1" si="22"/>
        <v>-3.3627009213808173E-4</v>
      </c>
      <c r="H187">
        <f t="shared" ca="1" si="23"/>
        <v>-3.3316082287489631E-3</v>
      </c>
      <c r="I187">
        <f t="shared" ca="1" si="24"/>
        <v>-4.8899755501222693E-3</v>
      </c>
      <c r="O187">
        <f t="shared" ca="1" si="25"/>
        <v>1.2108284825771456</v>
      </c>
      <c r="P187">
        <f t="shared" ca="1" si="26"/>
        <v>1.1334451730974537</v>
      </c>
      <c r="Q187">
        <f t="shared" ca="1" si="27"/>
        <v>1.2857500521593992</v>
      </c>
      <c r="R187">
        <f t="shared" ca="1" si="28"/>
        <v>1.3187779663632162</v>
      </c>
    </row>
    <row r="188" spans="1:18" x14ac:dyDescent="0.3">
      <c r="A188" s="2">
        <f ca="1">IFERROR(__xludf.DUMMYFUNCTION("""COMPUTED_VALUE"""),44495.6666666666)</f>
        <v>44495.666666666599</v>
      </c>
      <c r="B188" s="1">
        <f ca="1">IFERROR(__xludf.DUMMYFUNCTION("""COMPUTED_VALUE"""),455.96)</f>
        <v>455.96</v>
      </c>
      <c r="C188" s="1">
        <f ca="1">IFERROR(__xludf.DUMMYFUNCTION("""COMPUTED_VALUE"""),149.32)</f>
        <v>149.32</v>
      </c>
      <c r="D188" s="1">
        <f ca="1">IFERROR(__xludf.DUMMYFUNCTION("""COMPUTED_VALUE"""),310.11)</f>
        <v>310.11</v>
      </c>
      <c r="E188" s="1">
        <f ca="1">IFERROR(__xludf.DUMMYFUNCTION("""COMPUTED_VALUE"""),171.4)</f>
        <v>171.4</v>
      </c>
      <c r="F188">
        <f t="shared" ca="1" si="21"/>
        <v>9.0001097574353677E-4</v>
      </c>
      <c r="G188">
        <f t="shared" ca="1" si="22"/>
        <v>4.5748116254037061E-3</v>
      </c>
      <c r="H188">
        <f t="shared" ca="1" si="23"/>
        <v>6.4258592152663429E-3</v>
      </c>
      <c r="I188">
        <f t="shared" ca="1" si="24"/>
        <v>2.6910026910027377E-3</v>
      </c>
      <c r="O188">
        <f t="shared" ca="1" si="25"/>
        <v>1.211918241501208</v>
      </c>
      <c r="P188">
        <f t="shared" ca="1" si="26"/>
        <v>1.1386304712520976</v>
      </c>
      <c r="Q188">
        <f t="shared" ca="1" si="27"/>
        <v>1.2940121009805969</v>
      </c>
      <c r="R188">
        <f t="shared" ca="1" si="28"/>
        <v>1.3223268014195348</v>
      </c>
    </row>
    <row r="189" spans="1:18" x14ac:dyDescent="0.3">
      <c r="A189" s="2">
        <f ca="1">IFERROR(__xludf.DUMMYFUNCTION("""COMPUTED_VALUE"""),44496.6666666666)</f>
        <v>44496.666666666599</v>
      </c>
      <c r="B189" s="1">
        <f ca="1">IFERROR(__xludf.DUMMYFUNCTION("""COMPUTED_VALUE"""),453.94)</f>
        <v>453.94</v>
      </c>
      <c r="C189" s="1">
        <f ca="1">IFERROR(__xludf.DUMMYFUNCTION("""COMPUTED_VALUE"""),148.85)</f>
        <v>148.85</v>
      </c>
      <c r="D189" s="1">
        <f ca="1">IFERROR(__xludf.DUMMYFUNCTION("""COMPUTED_VALUE"""),323.17)</f>
        <v>323.17</v>
      </c>
      <c r="E189" s="1">
        <f ca="1">IFERROR(__xludf.DUMMYFUNCTION("""COMPUTED_VALUE"""),167.83)</f>
        <v>167.83</v>
      </c>
      <c r="F189">
        <f t="shared" ca="1" si="21"/>
        <v>-4.4302131765943985E-3</v>
      </c>
      <c r="G189">
        <f t="shared" ca="1" si="22"/>
        <v>-3.1476024645057518E-3</v>
      </c>
      <c r="H189">
        <f t="shared" ca="1" si="23"/>
        <v>4.2114088549224472E-2</v>
      </c>
      <c r="I189">
        <f t="shared" ca="1" si="24"/>
        <v>-2.0828471411901944E-2</v>
      </c>
      <c r="O189">
        <f t="shared" ca="1" si="25"/>
        <v>1.2065491853387542</v>
      </c>
      <c r="P189">
        <f t="shared" ca="1" si="26"/>
        <v>1.1350465151746232</v>
      </c>
      <c r="Q189">
        <f t="shared" ca="1" si="27"/>
        <v>1.3485082411850617</v>
      </c>
      <c r="R189">
        <f t="shared" ca="1" si="28"/>
        <v>1.2947847554389764</v>
      </c>
    </row>
    <row r="190" spans="1:18" x14ac:dyDescent="0.3">
      <c r="A190" s="2">
        <f ca="1">IFERROR(__xludf.DUMMYFUNCTION("""COMPUTED_VALUE"""),44497.6666666666)</f>
        <v>44497.666666666599</v>
      </c>
      <c r="B190" s="1">
        <f ca="1">IFERROR(__xludf.DUMMYFUNCTION("""COMPUTED_VALUE"""),458.32)</f>
        <v>458.32</v>
      </c>
      <c r="C190" s="1">
        <f ca="1">IFERROR(__xludf.DUMMYFUNCTION("""COMPUTED_VALUE"""),152.57)</f>
        <v>152.57</v>
      </c>
      <c r="D190" s="1">
        <f ca="1">IFERROR(__xludf.DUMMYFUNCTION("""COMPUTED_VALUE"""),324.35)</f>
        <v>324.35000000000002</v>
      </c>
      <c r="E190" s="1">
        <f ca="1">IFERROR(__xludf.DUMMYFUNCTION("""COMPUTED_VALUE"""),170.36)</f>
        <v>170.36</v>
      </c>
      <c r="F190">
        <f t="shared" ca="1" si="21"/>
        <v>9.6488522712252622E-3</v>
      </c>
      <c r="G190">
        <f t="shared" ca="1" si="22"/>
        <v>2.4991602284178696E-2</v>
      </c>
      <c r="H190">
        <f t="shared" ca="1" si="23"/>
        <v>3.6513290218770514E-3</v>
      </c>
      <c r="I190">
        <f t="shared" ca="1" si="24"/>
        <v>1.5074778049216475E-2</v>
      </c>
      <c r="O190">
        <f t="shared" ca="1" si="25"/>
        <v>1.218191000186055</v>
      </c>
      <c r="P190">
        <f t="shared" ca="1" si="26"/>
        <v>1.1634131462559103</v>
      </c>
      <c r="Q190">
        <f t="shared" ca="1" si="27"/>
        <v>1.3534320884623412</v>
      </c>
      <c r="R190">
        <f t="shared" ca="1" si="28"/>
        <v>1.3143033482487279</v>
      </c>
    </row>
    <row r="191" spans="1:18" x14ac:dyDescent="0.3">
      <c r="A191" s="2">
        <f ca="1">IFERROR(__xludf.DUMMYFUNCTION("""COMPUTED_VALUE"""),44498.6666666666)</f>
        <v>44498.666666666599</v>
      </c>
      <c r="B191" s="1">
        <f ca="1">IFERROR(__xludf.DUMMYFUNCTION("""COMPUTED_VALUE"""),459.25)</f>
        <v>459.25</v>
      </c>
      <c r="C191" s="1">
        <f ca="1">IFERROR(__xludf.DUMMYFUNCTION("""COMPUTED_VALUE"""),149.8)</f>
        <v>149.80000000000001</v>
      </c>
      <c r="D191" s="1">
        <f ca="1">IFERROR(__xludf.DUMMYFUNCTION("""COMPUTED_VALUE"""),331.62)</f>
        <v>331.62</v>
      </c>
      <c r="E191" s="1">
        <f ca="1">IFERROR(__xludf.DUMMYFUNCTION("""COMPUTED_VALUE"""),169.89)</f>
        <v>169.89</v>
      </c>
      <c r="F191">
        <f t="shared" ca="1" si="21"/>
        <v>2.0291499389073287E-3</v>
      </c>
      <c r="G191">
        <f t="shared" ca="1" si="22"/>
        <v>-1.8155600707871679E-2</v>
      </c>
      <c r="H191">
        <f t="shared" ca="1" si="23"/>
        <v>2.241405888700472E-2</v>
      </c>
      <c r="I191">
        <f t="shared" ca="1" si="24"/>
        <v>-2.7588635830008645E-3</v>
      </c>
      <c r="O191">
        <f t="shared" ca="1" si="25"/>
        <v>1.2206628923796601</v>
      </c>
      <c r="P191">
        <f t="shared" ca="1" si="26"/>
        <v>1.1422906817141993</v>
      </c>
      <c r="Q191">
        <f t="shared" ca="1" si="27"/>
        <v>1.383767994992698</v>
      </c>
      <c r="R191">
        <f t="shared" ca="1" si="28"/>
        <v>1.3106773646042285</v>
      </c>
    </row>
    <row r="192" spans="1:18" x14ac:dyDescent="0.3">
      <c r="A192" s="2">
        <f ca="1">IFERROR(__xludf.DUMMYFUNCTION("""COMPUTED_VALUE"""),44501.6666666666)</f>
        <v>44501.666666666599</v>
      </c>
      <c r="B192" s="1">
        <f ca="1">IFERROR(__xludf.DUMMYFUNCTION("""COMPUTED_VALUE"""),460.04)</f>
        <v>460.04</v>
      </c>
      <c r="C192" s="1">
        <f ca="1">IFERROR(__xludf.DUMMYFUNCTION("""COMPUTED_VALUE"""),148.96)</f>
        <v>148.96</v>
      </c>
      <c r="D192" s="1">
        <f ca="1">IFERROR(__xludf.DUMMYFUNCTION("""COMPUTED_VALUE"""),329.37)</f>
        <v>329.37</v>
      </c>
      <c r="E192" s="1">
        <f ca="1">IFERROR(__xludf.DUMMYFUNCTION("""COMPUTED_VALUE"""),169.8)</f>
        <v>169.8</v>
      </c>
      <c r="F192">
        <f t="shared" ca="1" si="21"/>
        <v>1.7201959716930222E-3</v>
      </c>
      <c r="G192">
        <f t="shared" ca="1" si="22"/>
        <v>-5.6074766355140408E-3</v>
      </c>
      <c r="H192">
        <f t="shared" ca="1" si="23"/>
        <v>-6.7848742536638319E-3</v>
      </c>
      <c r="I192">
        <f t="shared" ca="1" si="24"/>
        <v>-5.2975454705971514E-4</v>
      </c>
      <c r="O192">
        <f t="shared" ca="1" si="25"/>
        <v>1.2227626717699267</v>
      </c>
      <c r="P192">
        <f t="shared" ca="1" si="26"/>
        <v>1.1358853134055216</v>
      </c>
      <c r="Q192">
        <f t="shared" ca="1" si="27"/>
        <v>1.3743793031504281</v>
      </c>
      <c r="R192">
        <f t="shared" ca="1" si="28"/>
        <v>1.309983027310601</v>
      </c>
    </row>
    <row r="193" spans="1:18" x14ac:dyDescent="0.3">
      <c r="A193" s="2">
        <f ca="1">IFERROR(__xludf.DUMMYFUNCTION("""COMPUTED_VALUE"""),44502.6666666666)</f>
        <v>44502.666666666599</v>
      </c>
      <c r="B193" s="1">
        <f ca="1">IFERROR(__xludf.DUMMYFUNCTION("""COMPUTED_VALUE"""),461.9)</f>
        <v>461.9</v>
      </c>
      <c r="C193" s="1">
        <f ca="1">IFERROR(__xludf.DUMMYFUNCTION("""COMPUTED_VALUE"""),150.02)</f>
        <v>150.02000000000001</v>
      </c>
      <c r="D193" s="1">
        <f ca="1">IFERROR(__xludf.DUMMYFUNCTION("""COMPUTED_VALUE"""),333.13)</f>
        <v>333.13</v>
      </c>
      <c r="E193" s="1">
        <f ca="1">IFERROR(__xludf.DUMMYFUNCTION("""COMPUTED_VALUE"""),170.47)</f>
        <v>170.47</v>
      </c>
      <c r="F193">
        <f t="shared" ca="1" si="21"/>
        <v>4.0431266846360243E-3</v>
      </c>
      <c r="G193">
        <f t="shared" ca="1" si="22"/>
        <v>7.1160042964554387E-3</v>
      </c>
      <c r="H193">
        <f t="shared" ca="1" si="23"/>
        <v>1.1415733066156574E-2</v>
      </c>
      <c r="I193">
        <f t="shared" ca="1" si="24"/>
        <v>3.9458186101294906E-3</v>
      </c>
      <c r="O193">
        <f t="shared" ca="1" si="25"/>
        <v>1.2277064561571367</v>
      </c>
      <c r="P193">
        <f t="shared" ca="1" si="26"/>
        <v>1.1439682781759961</v>
      </c>
      <c r="Q193">
        <f t="shared" ca="1" si="27"/>
        <v>1.3900688504068437</v>
      </c>
      <c r="R193">
        <f t="shared" ca="1" si="28"/>
        <v>1.315151982718717</v>
      </c>
    </row>
    <row r="194" spans="1:18" x14ac:dyDescent="0.3">
      <c r="A194" s="2">
        <f ca="1">IFERROR(__xludf.DUMMYFUNCTION("""COMPUTED_VALUE"""),44503.6666666666)</f>
        <v>44503.666666666599</v>
      </c>
      <c r="B194" s="1">
        <f ca="1">IFERROR(__xludf.DUMMYFUNCTION("""COMPUTED_VALUE"""),464.72)</f>
        <v>464.72</v>
      </c>
      <c r="C194" s="1">
        <f ca="1">IFERROR(__xludf.DUMMYFUNCTION("""COMPUTED_VALUE"""),151.49)</f>
        <v>151.49</v>
      </c>
      <c r="D194" s="1">
        <f ca="1">IFERROR(__xludf.DUMMYFUNCTION("""COMPUTED_VALUE"""),334)</f>
        <v>334</v>
      </c>
      <c r="E194" s="1">
        <f ca="1">IFERROR(__xludf.DUMMYFUNCTION("""COMPUTED_VALUE"""),170.53)</f>
        <v>170.53</v>
      </c>
      <c r="F194">
        <f t="shared" ca="1" si="21"/>
        <v>6.1052175795627845E-3</v>
      </c>
      <c r="G194">
        <f t="shared" ca="1" si="22"/>
        <v>9.7986935075323207E-3</v>
      </c>
      <c r="H194">
        <f t="shared" ca="1" si="23"/>
        <v>2.6115930717737958E-3</v>
      </c>
      <c r="I194">
        <f t="shared" ca="1" si="24"/>
        <v>3.5196808822668076E-4</v>
      </c>
      <c r="O194">
        <f t="shared" ca="1" si="25"/>
        <v>1.2352018711958099</v>
      </c>
      <c r="P194">
        <f t="shared" ca="1" si="26"/>
        <v>1.1551776727161822</v>
      </c>
      <c r="Q194">
        <f t="shared" ca="1" si="27"/>
        <v>1.3936991445858549</v>
      </c>
      <c r="R194">
        <f t="shared" ca="1" si="28"/>
        <v>1.315614874247802</v>
      </c>
    </row>
    <row r="195" spans="1:18" x14ac:dyDescent="0.3">
      <c r="A195" s="2">
        <f ca="1">IFERROR(__xludf.DUMMYFUNCTION("""COMPUTED_VALUE"""),44504.6666666666)</f>
        <v>44504.666666666599</v>
      </c>
      <c r="B195" s="1">
        <f ca="1">IFERROR(__xludf.DUMMYFUNCTION("""COMPUTED_VALUE"""),466.91)</f>
        <v>466.91</v>
      </c>
      <c r="C195" s="1">
        <f ca="1">IFERROR(__xludf.DUMMYFUNCTION("""COMPUTED_VALUE"""),150.96)</f>
        <v>150.96</v>
      </c>
      <c r="D195" s="1">
        <f ca="1">IFERROR(__xludf.DUMMYFUNCTION("""COMPUTED_VALUE"""),336.44)</f>
        <v>336.44</v>
      </c>
      <c r="E195" s="1">
        <f ca="1">IFERROR(__xludf.DUMMYFUNCTION("""COMPUTED_VALUE"""),168.29)</f>
        <v>168.29</v>
      </c>
      <c r="F195">
        <f t="shared" ca="1" si="21"/>
        <v>4.7125150628335288E-3</v>
      </c>
      <c r="G195">
        <f t="shared" ca="1" si="22"/>
        <v>-3.4985807644068987E-3</v>
      </c>
      <c r="H195">
        <f t="shared" ca="1" si="23"/>
        <v>7.3053892215568794E-3</v>
      </c>
      <c r="I195">
        <f t="shared" ca="1" si="24"/>
        <v>-1.3135518677065671E-2</v>
      </c>
      <c r="O195">
        <f t="shared" ca="1" si="25"/>
        <v>1.2410227786194603</v>
      </c>
      <c r="P195">
        <f t="shared" ca="1" si="26"/>
        <v>1.1511361903309449</v>
      </c>
      <c r="Q195">
        <f t="shared" ca="1" si="27"/>
        <v>1.4038806592948054</v>
      </c>
      <c r="R195">
        <f t="shared" ca="1" si="28"/>
        <v>1.2983335904952946</v>
      </c>
    </row>
    <row r="196" spans="1:18" x14ac:dyDescent="0.3">
      <c r="A196" s="2">
        <f ca="1">IFERROR(__xludf.DUMMYFUNCTION("""COMPUTED_VALUE"""),44505.6666666666)</f>
        <v>44505.666666666599</v>
      </c>
      <c r="B196" s="1">
        <f ca="1">IFERROR(__xludf.DUMMYFUNCTION("""COMPUTED_VALUE"""),468.53)</f>
        <v>468.53</v>
      </c>
      <c r="C196" s="1">
        <f ca="1">IFERROR(__xludf.DUMMYFUNCTION("""COMPUTED_VALUE"""),151.28)</f>
        <v>151.28</v>
      </c>
      <c r="D196" s="1">
        <f ca="1">IFERROR(__xludf.DUMMYFUNCTION("""COMPUTED_VALUE"""),336.06)</f>
        <v>336.06</v>
      </c>
      <c r="E196" s="1">
        <f ca="1">IFERROR(__xludf.DUMMYFUNCTION("""COMPUTED_VALUE"""),168.05)</f>
        <v>168.05</v>
      </c>
      <c r="F196">
        <f t="shared" ref="F196:F259" ca="1" si="29">(B196-B195)/B195</f>
        <v>3.469619412734676E-3</v>
      </c>
      <c r="G196">
        <f t="shared" ref="G196:G259" ca="1" si="30">(C196-C195)/C195</f>
        <v>2.1197668256491332E-3</v>
      </c>
      <c r="H196">
        <f t="shared" ref="H196:H259" ca="1" si="31">(D196-D195)/D195</f>
        <v>-1.1294733087623215E-3</v>
      </c>
      <c r="I196">
        <f t="shared" ref="I196:I259" ca="1" si="32">(E196-E195)/E195</f>
        <v>-1.4261096916036644E-3</v>
      </c>
      <c r="O196">
        <f t="shared" ref="O196:O259" ca="1" si="33">O195*(1+F196)</f>
        <v>1.2453286553438043</v>
      </c>
      <c r="P196">
        <f t="shared" ref="P196:P259" ca="1" si="34">P195*(1+G196)</f>
        <v>1.1535763306390128</v>
      </c>
      <c r="Q196">
        <f t="shared" ref="Q196:Q259" ca="1" si="35">Q195*(1+H196)</f>
        <v>1.4022950135614443</v>
      </c>
      <c r="R196">
        <f t="shared" ref="R196:R259" ca="1" si="36">R195*(1+I196)</f>
        <v>1.2964820243789548</v>
      </c>
    </row>
    <row r="197" spans="1:18" x14ac:dyDescent="0.3">
      <c r="A197" s="2">
        <f ca="1">IFERROR(__xludf.DUMMYFUNCTION("""COMPUTED_VALUE"""),44508.6666666666)</f>
        <v>44508.666666666599</v>
      </c>
      <c r="B197" s="1">
        <f ca="1">IFERROR(__xludf.DUMMYFUNCTION("""COMPUTED_VALUE"""),468.93)</f>
        <v>468.93</v>
      </c>
      <c r="C197" s="1">
        <f ca="1">IFERROR(__xludf.DUMMYFUNCTION("""COMPUTED_VALUE"""),150.44)</f>
        <v>150.44</v>
      </c>
      <c r="D197" s="1">
        <f ca="1">IFERROR(__xludf.DUMMYFUNCTION("""COMPUTED_VALUE"""),336.99)</f>
        <v>336.99</v>
      </c>
      <c r="E197" s="1">
        <f ca="1">IFERROR(__xludf.DUMMYFUNCTION("""COMPUTED_VALUE"""),169.06)</f>
        <v>169.06</v>
      </c>
      <c r="F197">
        <f t="shared" ca="1" si="29"/>
        <v>8.5373401916640152E-4</v>
      </c>
      <c r="G197">
        <f t="shared" ca="1" si="30"/>
        <v>-5.5526176626123965E-3</v>
      </c>
      <c r="H197">
        <f t="shared" ca="1" si="31"/>
        <v>2.7673629708980744E-3</v>
      </c>
      <c r="I197">
        <f t="shared" ca="1" si="32"/>
        <v>6.010116036893727E-3</v>
      </c>
      <c r="O197">
        <f t="shared" ca="1" si="33"/>
        <v>1.2463918347819141</v>
      </c>
      <c r="P197">
        <f t="shared" ca="1" si="34"/>
        <v>1.147170962330335</v>
      </c>
      <c r="Q197">
        <f t="shared" ca="1" si="35"/>
        <v>1.4061756728562491</v>
      </c>
      <c r="R197">
        <f t="shared" ca="1" si="36"/>
        <v>1.3042740317852191</v>
      </c>
    </row>
    <row r="198" spans="1:18" x14ac:dyDescent="0.3">
      <c r="A198" s="2">
        <f ca="1">IFERROR(__xludf.DUMMYFUNCTION("""COMPUTED_VALUE"""),44509.6666666666)</f>
        <v>44509.666666666599</v>
      </c>
      <c r="B198" s="1">
        <f ca="1">IFERROR(__xludf.DUMMYFUNCTION("""COMPUTED_VALUE"""),467.38)</f>
        <v>467.38</v>
      </c>
      <c r="C198" s="1">
        <f ca="1">IFERROR(__xludf.DUMMYFUNCTION("""COMPUTED_VALUE"""),150.81)</f>
        <v>150.81</v>
      </c>
      <c r="D198" s="1">
        <f ca="1">IFERROR(__xludf.DUMMYFUNCTION("""COMPUTED_VALUE"""),335.95)</f>
        <v>335.95</v>
      </c>
      <c r="E198" s="1">
        <f ca="1">IFERROR(__xludf.DUMMYFUNCTION("""COMPUTED_VALUE"""),169.06)</f>
        <v>169.06</v>
      </c>
      <c r="F198">
        <f t="shared" ca="1" si="29"/>
        <v>-3.3053973940673689E-3</v>
      </c>
      <c r="G198">
        <f t="shared" ca="1" si="30"/>
        <v>2.4594522733315909E-3</v>
      </c>
      <c r="H198">
        <f t="shared" ca="1" si="31"/>
        <v>-3.0861449894656235E-3</v>
      </c>
      <c r="I198">
        <f t="shared" ca="1" si="32"/>
        <v>0</v>
      </c>
      <c r="O198">
        <f t="shared" ca="1" si="33"/>
        <v>1.2422720144592392</v>
      </c>
      <c r="P198">
        <f t="shared" ca="1" si="34"/>
        <v>1.1499923745615384</v>
      </c>
      <c r="Q198">
        <f t="shared" ca="1" si="35"/>
        <v>1.4018360108491554</v>
      </c>
      <c r="R198">
        <f t="shared" ca="1" si="36"/>
        <v>1.3042740317852191</v>
      </c>
    </row>
    <row r="199" spans="1:18" x14ac:dyDescent="0.3">
      <c r="A199" s="2">
        <f ca="1">IFERROR(__xludf.DUMMYFUNCTION("""COMPUTED_VALUE"""),44510.6666666666)</f>
        <v>44510.666666666599</v>
      </c>
      <c r="B199" s="1">
        <f ca="1">IFERROR(__xludf.DUMMYFUNCTION("""COMPUTED_VALUE"""),463.62)</f>
        <v>463.62</v>
      </c>
      <c r="C199" s="1">
        <f ca="1">IFERROR(__xludf.DUMMYFUNCTION("""COMPUTED_VALUE"""),147.92)</f>
        <v>147.91999999999999</v>
      </c>
      <c r="D199" s="1">
        <f ca="1">IFERROR(__xludf.DUMMYFUNCTION("""COMPUTED_VALUE"""),330.8)</f>
        <v>330.8</v>
      </c>
      <c r="E199" s="1">
        <f ca="1">IFERROR(__xludf.DUMMYFUNCTION("""COMPUTED_VALUE"""),167.62)</f>
        <v>167.62</v>
      </c>
      <c r="F199">
        <f t="shared" ca="1" si="29"/>
        <v>-8.0448457358038225E-3</v>
      </c>
      <c r="G199">
        <f t="shared" ca="1" si="30"/>
        <v>-1.9163185465154928E-2</v>
      </c>
      <c r="H199">
        <f t="shared" ca="1" si="31"/>
        <v>-1.5329662152105902E-2</v>
      </c>
      <c r="I199">
        <f t="shared" ca="1" si="32"/>
        <v>-8.5176860286288753E-3</v>
      </c>
      <c r="O199">
        <f t="shared" ca="1" si="33"/>
        <v>1.2322781277410084</v>
      </c>
      <c r="P199">
        <f t="shared" ca="1" si="34"/>
        <v>1.1279548574043017</v>
      </c>
      <c r="Q199">
        <f t="shared" ca="1" si="35"/>
        <v>1.3803463384101822</v>
      </c>
      <c r="R199">
        <f t="shared" ca="1" si="36"/>
        <v>1.2931646350871786</v>
      </c>
    </row>
    <row r="200" spans="1:18" x14ac:dyDescent="0.3">
      <c r="A200" s="2">
        <f ca="1">IFERROR(__xludf.DUMMYFUNCTION("""COMPUTED_VALUE"""),44511.6666666666)</f>
        <v>44511.666666666599</v>
      </c>
      <c r="B200" s="1">
        <f ca="1">IFERROR(__xludf.DUMMYFUNCTION("""COMPUTED_VALUE"""),463.77)</f>
        <v>463.77</v>
      </c>
      <c r="C200" s="1">
        <f ca="1">IFERROR(__xludf.DUMMYFUNCTION("""COMPUTED_VALUE"""),147.87)</f>
        <v>147.87</v>
      </c>
      <c r="D200" s="1">
        <f ca="1">IFERROR(__xludf.DUMMYFUNCTION("""COMPUTED_VALUE"""),332.43)</f>
        <v>332.43</v>
      </c>
      <c r="E200" s="1">
        <f ca="1">IFERROR(__xludf.DUMMYFUNCTION("""COMPUTED_VALUE"""),167.61)</f>
        <v>167.61</v>
      </c>
      <c r="F200">
        <f t="shared" ca="1" si="29"/>
        <v>3.2354083085280456E-4</v>
      </c>
      <c r="G200">
        <f t="shared" ca="1" si="30"/>
        <v>-3.3802055164942505E-4</v>
      </c>
      <c r="H200">
        <f t="shared" ca="1" si="31"/>
        <v>4.9274486094316667E-3</v>
      </c>
      <c r="I200">
        <f t="shared" ca="1" si="32"/>
        <v>-5.9658751938855179E-5</v>
      </c>
      <c r="O200">
        <f t="shared" ca="1" si="33"/>
        <v>1.2326768200302995</v>
      </c>
      <c r="P200">
        <f t="shared" ca="1" si="34"/>
        <v>1.1275735854811662</v>
      </c>
      <c r="Q200">
        <f t="shared" ca="1" si="35"/>
        <v>1.3871479240559157</v>
      </c>
      <c r="R200">
        <f t="shared" ca="1" si="36"/>
        <v>1.2930874864989979</v>
      </c>
    </row>
    <row r="201" spans="1:18" x14ac:dyDescent="0.3">
      <c r="A201" s="2">
        <f ca="1">IFERROR(__xludf.DUMMYFUNCTION("""COMPUTED_VALUE"""),44512.6666666666)</f>
        <v>44512.666666666599</v>
      </c>
      <c r="B201" s="1">
        <f ca="1">IFERROR(__xludf.DUMMYFUNCTION("""COMPUTED_VALUE"""),467.27)</f>
        <v>467.27</v>
      </c>
      <c r="C201" s="1">
        <f ca="1">IFERROR(__xludf.DUMMYFUNCTION("""COMPUTED_VALUE"""),149.99)</f>
        <v>149.99</v>
      </c>
      <c r="D201" s="1">
        <f ca="1">IFERROR(__xludf.DUMMYFUNCTION("""COMPUTED_VALUE"""),336.72)</f>
        <v>336.72</v>
      </c>
      <c r="E201" s="1">
        <f ca="1">IFERROR(__xludf.DUMMYFUNCTION("""COMPUTED_VALUE"""),166.86)</f>
        <v>166.86</v>
      </c>
      <c r="F201">
        <f t="shared" ca="1" si="29"/>
        <v>7.5468443409448648E-3</v>
      </c>
      <c r="G201">
        <f t="shared" ca="1" si="30"/>
        <v>1.4336917562724044E-2</v>
      </c>
      <c r="H201">
        <f t="shared" ca="1" si="31"/>
        <v>1.2904972475408418E-2</v>
      </c>
      <c r="I201">
        <f t="shared" ca="1" si="32"/>
        <v>-4.4746733488455342E-3</v>
      </c>
      <c r="O201">
        <f t="shared" ca="1" si="33"/>
        <v>1.2419796401137591</v>
      </c>
      <c r="P201">
        <f t="shared" ca="1" si="34"/>
        <v>1.143739515022115</v>
      </c>
      <c r="Q201">
        <f t="shared" ca="1" si="35"/>
        <v>1.4050490298351772</v>
      </c>
      <c r="R201">
        <f t="shared" ca="1" si="36"/>
        <v>1.2873013423854351</v>
      </c>
    </row>
    <row r="202" spans="1:18" x14ac:dyDescent="0.3">
      <c r="A202" s="2">
        <f ca="1">IFERROR(__xludf.DUMMYFUNCTION("""COMPUTED_VALUE"""),44515.6666666666)</f>
        <v>44515.666666666599</v>
      </c>
      <c r="B202" s="1">
        <f ca="1">IFERROR(__xludf.DUMMYFUNCTION("""COMPUTED_VALUE"""),467.43)</f>
        <v>467.43</v>
      </c>
      <c r="C202" s="1">
        <f ca="1">IFERROR(__xludf.DUMMYFUNCTION("""COMPUTED_VALUE"""),150)</f>
        <v>150</v>
      </c>
      <c r="D202" s="1">
        <f ca="1">IFERROR(__xludf.DUMMYFUNCTION("""COMPUTED_VALUE"""),336.07)</f>
        <v>336.07</v>
      </c>
      <c r="E202" s="1">
        <f ca="1">IFERROR(__xludf.DUMMYFUNCTION("""COMPUTED_VALUE"""),166.56)</f>
        <v>166.56</v>
      </c>
      <c r="F202">
        <f t="shared" ca="1" si="29"/>
        <v>3.424144498898389E-4</v>
      </c>
      <c r="G202">
        <f t="shared" ca="1" si="30"/>
        <v>6.6671111407366526E-5</v>
      </c>
      <c r="H202">
        <f t="shared" ca="1" si="31"/>
        <v>-1.9303872653838028E-3</v>
      </c>
      <c r="I202">
        <f t="shared" ca="1" si="32"/>
        <v>-1.7979144192737107E-3</v>
      </c>
      <c r="O202">
        <f t="shared" ca="1" si="33"/>
        <v>1.242404911889003</v>
      </c>
      <c r="P202">
        <f t="shared" ca="1" si="34"/>
        <v>1.1438157694067421</v>
      </c>
      <c r="Q202">
        <f t="shared" ca="1" si="35"/>
        <v>1.4023367410807437</v>
      </c>
      <c r="R202">
        <f t="shared" ca="1" si="36"/>
        <v>1.2849868847400101</v>
      </c>
    </row>
    <row r="203" spans="1:18" x14ac:dyDescent="0.3">
      <c r="A203" s="2">
        <f ca="1">IFERROR(__xludf.DUMMYFUNCTION("""COMPUTED_VALUE"""),44516.6666666666)</f>
        <v>44516.666666666599</v>
      </c>
      <c r="B203" s="1">
        <f ca="1">IFERROR(__xludf.DUMMYFUNCTION("""COMPUTED_VALUE"""),469.28)</f>
        <v>469.28</v>
      </c>
      <c r="C203" s="1">
        <f ca="1">IFERROR(__xludf.DUMMYFUNCTION("""COMPUTED_VALUE"""),151)</f>
        <v>151</v>
      </c>
      <c r="D203" s="1">
        <f ca="1">IFERROR(__xludf.DUMMYFUNCTION("""COMPUTED_VALUE"""),339.51)</f>
        <v>339.51</v>
      </c>
      <c r="E203" s="1">
        <f ca="1">IFERROR(__xludf.DUMMYFUNCTION("""COMPUTED_VALUE"""),165.36)</f>
        <v>165.36</v>
      </c>
      <c r="F203">
        <f t="shared" ca="1" si="29"/>
        <v>3.9578118648780905E-3</v>
      </c>
      <c r="G203">
        <f t="shared" ca="1" si="30"/>
        <v>6.6666666666666671E-3</v>
      </c>
      <c r="H203">
        <f t="shared" ca="1" si="31"/>
        <v>1.0235962745856511E-2</v>
      </c>
      <c r="I203">
        <f t="shared" ca="1" si="32"/>
        <v>-7.2046109510085768E-3</v>
      </c>
      <c r="O203">
        <f t="shared" ca="1" si="33"/>
        <v>1.2473221167902599</v>
      </c>
      <c r="P203">
        <f t="shared" ca="1" si="34"/>
        <v>1.1514412078694536</v>
      </c>
      <c r="Q203">
        <f t="shared" ca="1" si="35"/>
        <v>1.4166910077195922</v>
      </c>
      <c r="R203">
        <f t="shared" ca="1" si="36"/>
        <v>1.2757290541583099</v>
      </c>
    </row>
    <row r="204" spans="1:18" x14ac:dyDescent="0.3">
      <c r="A204" s="2">
        <f ca="1">IFERROR(__xludf.DUMMYFUNCTION("""COMPUTED_VALUE"""),44517.6666666666)</f>
        <v>44517.666666666599</v>
      </c>
      <c r="B204" s="1">
        <f ca="1">IFERROR(__xludf.DUMMYFUNCTION("""COMPUTED_VALUE"""),468.14)</f>
        <v>468.14</v>
      </c>
      <c r="C204" s="1">
        <f ca="1">IFERROR(__xludf.DUMMYFUNCTION("""COMPUTED_VALUE"""),153.49)</f>
        <v>153.49</v>
      </c>
      <c r="D204" s="1">
        <f ca="1">IFERROR(__xludf.DUMMYFUNCTION("""COMPUTED_VALUE"""),339.12)</f>
        <v>339.12</v>
      </c>
      <c r="E204" s="1">
        <f ca="1">IFERROR(__xludf.DUMMYFUNCTION("""COMPUTED_VALUE"""),164.47)</f>
        <v>164.47</v>
      </c>
      <c r="F204">
        <f t="shared" ca="1" si="29"/>
        <v>-2.4292533242413622E-3</v>
      </c>
      <c r="G204">
        <f t="shared" ca="1" si="30"/>
        <v>1.6490066225165623E-2</v>
      </c>
      <c r="H204">
        <f t="shared" ca="1" si="31"/>
        <v>-1.1487143235839486E-3</v>
      </c>
      <c r="I204">
        <f t="shared" ca="1" si="32"/>
        <v>-5.3821964199323577E-3</v>
      </c>
      <c r="O204">
        <f t="shared" ca="1" si="33"/>
        <v>1.2442920553916474</v>
      </c>
      <c r="P204">
        <f t="shared" ca="1" si="34"/>
        <v>1.1704285496416056</v>
      </c>
      <c r="Q204">
        <f t="shared" ca="1" si="35"/>
        <v>1.4150636344669321</v>
      </c>
      <c r="R204">
        <f t="shared" ca="1" si="36"/>
        <v>1.2688628298102154</v>
      </c>
    </row>
    <row r="205" spans="1:18" x14ac:dyDescent="0.3">
      <c r="A205" s="2">
        <f ca="1">IFERROR(__xludf.DUMMYFUNCTION("""COMPUTED_VALUE"""),44518.6666666666)</f>
        <v>44518.666666666599</v>
      </c>
      <c r="B205" s="1">
        <f ca="1">IFERROR(__xludf.DUMMYFUNCTION("""COMPUTED_VALUE"""),469.73)</f>
        <v>469.73</v>
      </c>
      <c r="C205" s="1">
        <f ca="1">IFERROR(__xludf.DUMMYFUNCTION("""COMPUTED_VALUE"""),157.87)</f>
        <v>157.87</v>
      </c>
      <c r="D205" s="1">
        <f ca="1">IFERROR(__xludf.DUMMYFUNCTION("""COMPUTED_VALUE"""),341.27)</f>
        <v>341.27</v>
      </c>
      <c r="E205" s="1">
        <f ca="1">IFERROR(__xludf.DUMMYFUNCTION("""COMPUTED_VALUE"""),163.05)</f>
        <v>163.05000000000001</v>
      </c>
      <c r="F205">
        <f t="shared" ca="1" si="29"/>
        <v>3.3964198743966162E-3</v>
      </c>
      <c r="G205">
        <f t="shared" ca="1" si="30"/>
        <v>2.8536060981171382E-2</v>
      </c>
      <c r="H205">
        <f t="shared" ca="1" si="31"/>
        <v>6.3399386647793616E-3</v>
      </c>
      <c r="I205">
        <f t="shared" ca="1" si="32"/>
        <v>-8.6337933969720167E-3</v>
      </c>
      <c r="O205">
        <f t="shared" ca="1" si="33"/>
        <v>1.2485181936581333</v>
      </c>
      <c r="P205">
        <f t="shared" ca="1" si="34"/>
        <v>1.2038279701082824</v>
      </c>
      <c r="Q205">
        <f t="shared" ca="1" si="35"/>
        <v>1.4240350511162121</v>
      </c>
      <c r="R205">
        <f t="shared" ca="1" si="36"/>
        <v>1.2579077302885366</v>
      </c>
    </row>
    <row r="206" spans="1:18" x14ac:dyDescent="0.3">
      <c r="A206" s="2">
        <f ca="1">IFERROR(__xludf.DUMMYFUNCTION("""COMPUTED_VALUE"""),44519.6666666666)</f>
        <v>44519.666666666599</v>
      </c>
      <c r="B206" s="1">
        <f ca="1">IFERROR(__xludf.DUMMYFUNCTION("""COMPUTED_VALUE"""),468.89)</f>
        <v>468.89</v>
      </c>
      <c r="C206" s="1">
        <f ca="1">IFERROR(__xludf.DUMMYFUNCTION("""COMPUTED_VALUE"""),160.55)</f>
        <v>160.55000000000001</v>
      </c>
      <c r="D206" s="1">
        <f ca="1">IFERROR(__xludf.DUMMYFUNCTION("""COMPUTED_VALUE"""),343.11)</f>
        <v>343.11</v>
      </c>
      <c r="E206" s="1">
        <f ca="1">IFERROR(__xludf.DUMMYFUNCTION("""COMPUTED_VALUE"""),160.92)</f>
        <v>160.91999999999999</v>
      </c>
      <c r="F206">
        <f t="shared" ca="1" si="29"/>
        <v>-1.7882613416218504E-3</v>
      </c>
      <c r="G206">
        <f t="shared" ca="1" si="30"/>
        <v>1.6975992905555248E-2</v>
      </c>
      <c r="H206">
        <f t="shared" ca="1" si="31"/>
        <v>5.3916253992440941E-3</v>
      </c>
      <c r="I206">
        <f t="shared" ca="1" si="32"/>
        <v>-1.306347746090171E-2</v>
      </c>
      <c r="O206">
        <f t="shared" ca="1" si="33"/>
        <v>1.2462855168381031</v>
      </c>
      <c r="P206">
        <f t="shared" ca="1" si="34"/>
        <v>1.2242641451883496</v>
      </c>
      <c r="Q206">
        <f t="shared" ca="1" si="35"/>
        <v>1.4317129146672241</v>
      </c>
      <c r="R206">
        <f t="shared" ca="1" si="36"/>
        <v>1.2414750810060182</v>
      </c>
    </row>
    <row r="207" spans="1:18" x14ac:dyDescent="0.3">
      <c r="A207" s="2">
        <f ca="1">IFERROR(__xludf.DUMMYFUNCTION("""COMPUTED_VALUE"""),44522.6666666666)</f>
        <v>44522.666666666599</v>
      </c>
      <c r="B207" s="1">
        <f ca="1">IFERROR(__xludf.DUMMYFUNCTION("""COMPUTED_VALUE"""),467.57)</f>
        <v>467.57</v>
      </c>
      <c r="C207" s="1">
        <f ca="1">IFERROR(__xludf.DUMMYFUNCTION("""COMPUTED_VALUE"""),161.02)</f>
        <v>161.02000000000001</v>
      </c>
      <c r="D207" s="1">
        <f ca="1">IFERROR(__xludf.DUMMYFUNCTION("""COMPUTED_VALUE"""),339.83)</f>
        <v>339.83</v>
      </c>
      <c r="E207" s="1">
        <f ca="1">IFERROR(__xludf.DUMMYFUNCTION("""COMPUTED_VALUE"""),164.35)</f>
        <v>164.35</v>
      </c>
      <c r="F207">
        <f t="shared" ca="1" si="29"/>
        <v>-2.8151592057838581E-3</v>
      </c>
      <c r="G207">
        <f t="shared" ca="1" si="30"/>
        <v>2.927436935534094E-3</v>
      </c>
      <c r="H207">
        <f t="shared" ca="1" si="31"/>
        <v>-9.5596164495352198E-3</v>
      </c>
      <c r="I207">
        <f t="shared" ca="1" si="32"/>
        <v>2.1314939100174044E-2</v>
      </c>
      <c r="O207">
        <f t="shared" ca="1" si="33"/>
        <v>1.2427770246923411</v>
      </c>
      <c r="P207">
        <f t="shared" ca="1" si="34"/>
        <v>1.227848101265824</v>
      </c>
      <c r="Q207">
        <f t="shared" ca="1" si="35"/>
        <v>1.4180262883371593</v>
      </c>
      <c r="R207">
        <f t="shared" ca="1" si="36"/>
        <v>1.2679370467520452</v>
      </c>
    </row>
    <row r="208" spans="1:18" x14ac:dyDescent="0.3">
      <c r="A208" s="2">
        <f ca="1">IFERROR(__xludf.DUMMYFUNCTION("""COMPUTED_VALUE"""),44523.6666666666)</f>
        <v>44523.666666666599</v>
      </c>
      <c r="B208" s="1">
        <f ca="1">IFERROR(__xludf.DUMMYFUNCTION("""COMPUTED_VALUE"""),468.19)</f>
        <v>468.19</v>
      </c>
      <c r="C208" s="1">
        <f ca="1">IFERROR(__xludf.DUMMYFUNCTION("""COMPUTED_VALUE"""),161.41)</f>
        <v>161.41</v>
      </c>
      <c r="D208" s="1">
        <f ca="1">IFERROR(__xludf.DUMMYFUNCTION("""COMPUTED_VALUE"""),337.68)</f>
        <v>337.68</v>
      </c>
      <c r="E208" s="1">
        <f ca="1">IFERROR(__xludf.DUMMYFUNCTION("""COMPUTED_VALUE"""),168.28)</f>
        <v>168.28</v>
      </c>
      <c r="F208">
        <f t="shared" ca="1" si="29"/>
        <v>1.3260046624035001E-3</v>
      </c>
      <c r="G208">
        <f t="shared" ca="1" si="30"/>
        <v>2.4220593715065602E-3</v>
      </c>
      <c r="H208">
        <f t="shared" ca="1" si="31"/>
        <v>-6.3266927581437111E-3</v>
      </c>
      <c r="I208">
        <f t="shared" ca="1" si="32"/>
        <v>2.3912382111347774E-2</v>
      </c>
      <c r="O208">
        <f t="shared" ca="1" si="33"/>
        <v>1.2444249528214111</v>
      </c>
      <c r="P208">
        <f t="shared" ca="1" si="34"/>
        <v>1.2308220222662813</v>
      </c>
      <c r="Q208">
        <f t="shared" ca="1" si="35"/>
        <v>1.4090548716878792</v>
      </c>
      <c r="R208">
        <f t="shared" ca="1" si="36"/>
        <v>1.2982564419071141</v>
      </c>
    </row>
    <row r="209" spans="1:18" x14ac:dyDescent="0.3">
      <c r="A209" s="2">
        <f ca="1">IFERROR(__xludf.DUMMYFUNCTION("""COMPUTED_VALUE"""),44524.6666666666)</f>
        <v>44524.666666666599</v>
      </c>
      <c r="B209" s="1">
        <f ca="1">IFERROR(__xludf.DUMMYFUNCTION("""COMPUTED_VALUE"""),469.44)</f>
        <v>469.44</v>
      </c>
      <c r="C209" s="1">
        <f ca="1">IFERROR(__xludf.DUMMYFUNCTION("""COMPUTED_VALUE"""),161.94)</f>
        <v>161.94</v>
      </c>
      <c r="D209" s="1">
        <f ca="1">IFERROR(__xludf.DUMMYFUNCTION("""COMPUTED_VALUE"""),337.91)</f>
        <v>337.91</v>
      </c>
      <c r="E209" s="1">
        <f ca="1">IFERROR(__xludf.DUMMYFUNCTION("""COMPUTED_VALUE"""),166.96)</f>
        <v>166.96</v>
      </c>
      <c r="F209">
        <f t="shared" ca="1" si="29"/>
        <v>2.6698562549392342E-3</v>
      </c>
      <c r="G209">
        <f t="shared" ca="1" si="30"/>
        <v>3.2835635958119148E-3</v>
      </c>
      <c r="H209">
        <f t="shared" ca="1" si="31"/>
        <v>6.811182184317051E-4</v>
      </c>
      <c r="I209">
        <f t="shared" ca="1" si="32"/>
        <v>-7.8440694081292669E-3</v>
      </c>
      <c r="O209">
        <f t="shared" ca="1" si="33"/>
        <v>1.2477473885655037</v>
      </c>
      <c r="P209">
        <f t="shared" ca="1" si="34"/>
        <v>1.2348635046515186</v>
      </c>
      <c r="Q209">
        <f t="shared" ca="1" si="35"/>
        <v>1.4100146046317557</v>
      </c>
      <c r="R209">
        <f t="shared" ca="1" si="36"/>
        <v>1.2880728282672438</v>
      </c>
    </row>
    <row r="210" spans="1:18" x14ac:dyDescent="0.3">
      <c r="A210" s="2">
        <f ca="1">IFERROR(__xludf.DUMMYFUNCTION("""COMPUTED_VALUE"""),44526.5520833333)</f>
        <v>44526.552083333299</v>
      </c>
      <c r="B210" s="1">
        <f ca="1">IFERROR(__xludf.DUMMYFUNCTION("""COMPUTED_VALUE"""),458.97)</f>
        <v>458.97</v>
      </c>
      <c r="C210" s="1">
        <f ca="1">IFERROR(__xludf.DUMMYFUNCTION("""COMPUTED_VALUE"""),156.81)</f>
        <v>156.81</v>
      </c>
      <c r="D210" s="1">
        <f ca="1">IFERROR(__xludf.DUMMYFUNCTION("""COMPUTED_VALUE"""),329.68)</f>
        <v>329.68</v>
      </c>
      <c r="E210" s="1">
        <f ca="1">IFERROR(__xludf.DUMMYFUNCTION("""COMPUTED_VALUE"""),161.93)</f>
        <v>161.93</v>
      </c>
      <c r="F210">
        <f t="shared" ca="1" si="29"/>
        <v>-2.2303169734151265E-2</v>
      </c>
      <c r="G210">
        <f t="shared" ca="1" si="30"/>
        <v>-3.1678399407187821E-2</v>
      </c>
      <c r="H210">
        <f t="shared" ca="1" si="31"/>
        <v>-2.4355597644343221E-2</v>
      </c>
      <c r="I210">
        <f t="shared" ca="1" si="32"/>
        <v>-3.0126976521322478E-2</v>
      </c>
      <c r="O210">
        <f t="shared" ca="1" si="33"/>
        <v>1.2199186667729833</v>
      </c>
      <c r="P210">
        <f t="shared" ca="1" si="34"/>
        <v>1.195745005337808</v>
      </c>
      <c r="Q210">
        <f t="shared" ca="1" si="35"/>
        <v>1.3756728562486968</v>
      </c>
      <c r="R210">
        <f t="shared" ca="1" si="36"/>
        <v>1.2492670884122832</v>
      </c>
    </row>
    <row r="211" spans="1:18" x14ac:dyDescent="0.3">
      <c r="A211" s="2">
        <f ca="1">IFERROR(__xludf.DUMMYFUNCTION("""COMPUTED_VALUE"""),44529.6666666666)</f>
        <v>44529.666666666599</v>
      </c>
      <c r="B211" s="1">
        <f ca="1">IFERROR(__xludf.DUMMYFUNCTION("""COMPUTED_VALUE"""),464.6)</f>
        <v>464.6</v>
      </c>
      <c r="C211" s="1">
        <f ca="1">IFERROR(__xludf.DUMMYFUNCTION("""COMPUTED_VALUE"""),160.24)</f>
        <v>160.24</v>
      </c>
      <c r="D211" s="1">
        <f ca="1">IFERROR(__xludf.DUMMYFUNCTION("""COMPUTED_VALUE"""),336.63)</f>
        <v>336.63</v>
      </c>
      <c r="E211" s="1">
        <f ca="1">IFERROR(__xludf.DUMMYFUNCTION("""COMPUTED_VALUE"""),161.23)</f>
        <v>161.22999999999999</v>
      </c>
      <c r="F211">
        <f t="shared" ca="1" si="29"/>
        <v>1.2266596945334107E-2</v>
      </c>
      <c r="G211">
        <f t="shared" ca="1" si="30"/>
        <v>2.1873604999681186E-2</v>
      </c>
      <c r="H211">
        <f t="shared" ca="1" si="31"/>
        <v>2.1081048289250146E-2</v>
      </c>
      <c r="I211">
        <f t="shared" ca="1" si="32"/>
        <v>-4.3228555548694928E-3</v>
      </c>
      <c r="O211">
        <f t="shared" ca="1" si="33"/>
        <v>1.2348829173643769</v>
      </c>
      <c r="P211">
        <f t="shared" ca="1" si="34"/>
        <v>1.2219002592649091</v>
      </c>
      <c r="Q211">
        <f t="shared" ca="1" si="35"/>
        <v>1.4046734821614861</v>
      </c>
      <c r="R211">
        <f t="shared" ca="1" si="36"/>
        <v>1.2438666872396245</v>
      </c>
    </row>
    <row r="212" spans="1:18" x14ac:dyDescent="0.3">
      <c r="A212" s="2">
        <f ca="1">IFERROR(__xludf.DUMMYFUNCTION("""COMPUTED_VALUE"""),44530.6666666666)</f>
        <v>44530.666666666599</v>
      </c>
      <c r="B212" s="1">
        <f ca="1">IFERROR(__xludf.DUMMYFUNCTION("""COMPUTED_VALUE"""),455.56)</f>
        <v>455.56</v>
      </c>
      <c r="C212" s="1">
        <f ca="1">IFERROR(__xludf.DUMMYFUNCTION("""COMPUTED_VALUE"""),165.3)</f>
        <v>165.3</v>
      </c>
      <c r="D212" s="1">
        <f ca="1">IFERROR(__xludf.DUMMYFUNCTION("""COMPUTED_VALUE"""),330.59)</f>
        <v>330.59</v>
      </c>
      <c r="E212" s="1">
        <f ca="1">IFERROR(__xludf.DUMMYFUNCTION("""COMPUTED_VALUE"""),158.83)</f>
        <v>158.83000000000001</v>
      </c>
      <c r="F212">
        <f t="shared" ca="1" si="29"/>
        <v>-1.9457597933706456E-2</v>
      </c>
      <c r="G212">
        <f t="shared" ca="1" si="30"/>
        <v>3.15776335496755E-2</v>
      </c>
      <c r="H212">
        <f t="shared" ca="1" si="31"/>
        <v>-1.794254819831869E-2</v>
      </c>
      <c r="I212">
        <f t="shared" ca="1" si="32"/>
        <v>-1.4885567202133458E-2</v>
      </c>
      <c r="O212">
        <f t="shared" ca="1" si="33"/>
        <v>1.2108550620630985</v>
      </c>
      <c r="P212">
        <f t="shared" ca="1" si="34"/>
        <v>1.2604849778862299</v>
      </c>
      <c r="Q212">
        <f t="shared" ca="1" si="35"/>
        <v>1.3794700605049035</v>
      </c>
      <c r="R212">
        <f t="shared" ca="1" si="36"/>
        <v>1.2253510260762239</v>
      </c>
    </row>
    <row r="213" spans="1:18" x14ac:dyDescent="0.3">
      <c r="A213" s="2">
        <f ca="1">IFERROR(__xludf.DUMMYFUNCTION("""COMPUTED_VALUE"""),44531.6666666666)</f>
        <v>44531.666666666599</v>
      </c>
      <c r="B213" s="1">
        <f ca="1">IFERROR(__xludf.DUMMYFUNCTION("""COMPUTED_VALUE"""),450.5)</f>
        <v>450.5</v>
      </c>
      <c r="C213" s="1">
        <f ca="1">IFERROR(__xludf.DUMMYFUNCTION("""COMPUTED_VALUE"""),164.77)</f>
        <v>164.77</v>
      </c>
      <c r="D213" s="1">
        <f ca="1">IFERROR(__xludf.DUMMYFUNCTION("""COMPUTED_VALUE"""),330.08)</f>
        <v>330.08</v>
      </c>
      <c r="E213" s="1">
        <f ca="1">IFERROR(__xludf.DUMMYFUNCTION("""COMPUTED_VALUE"""),157.89)</f>
        <v>157.88999999999999</v>
      </c>
      <c r="F213">
        <f t="shared" ca="1" si="29"/>
        <v>-1.110720871015893E-2</v>
      </c>
      <c r="G213">
        <f t="shared" ca="1" si="30"/>
        <v>-3.2062915910465888E-3</v>
      </c>
      <c r="H213">
        <f t="shared" ca="1" si="31"/>
        <v>-1.542696391300375E-3</v>
      </c>
      <c r="I213">
        <f t="shared" ca="1" si="32"/>
        <v>-5.9182774035133542E-3</v>
      </c>
      <c r="O213">
        <f t="shared" ca="1" si="33"/>
        <v>1.1974058421710112</v>
      </c>
      <c r="P213">
        <f t="shared" ca="1" si="34"/>
        <v>1.2564434955009929</v>
      </c>
      <c r="Q213">
        <f t="shared" ca="1" si="35"/>
        <v>1.3773419570206558</v>
      </c>
      <c r="R213">
        <f t="shared" ca="1" si="36"/>
        <v>1.2180990587872251</v>
      </c>
    </row>
    <row r="214" spans="1:18" x14ac:dyDescent="0.3">
      <c r="A214" s="2">
        <f ca="1">IFERROR(__xludf.DUMMYFUNCTION("""COMPUTED_VALUE"""),44532.6666666666)</f>
        <v>44532.666666666599</v>
      </c>
      <c r="B214" s="1">
        <f ca="1">IFERROR(__xludf.DUMMYFUNCTION("""COMPUTED_VALUE"""),457.4)</f>
        <v>457.4</v>
      </c>
      <c r="C214" s="1">
        <f ca="1">IFERROR(__xludf.DUMMYFUNCTION("""COMPUTED_VALUE"""),163.76)</f>
        <v>163.76</v>
      </c>
      <c r="D214" s="1">
        <f ca="1">IFERROR(__xludf.DUMMYFUNCTION("""COMPUTED_VALUE"""),329.49)</f>
        <v>329.49</v>
      </c>
      <c r="E214" s="1">
        <f ca="1">IFERROR(__xludf.DUMMYFUNCTION("""COMPUTED_VALUE"""),161.21)</f>
        <v>161.21</v>
      </c>
      <c r="F214">
        <f t="shared" ca="1" si="29"/>
        <v>1.5316315205327363E-2</v>
      </c>
      <c r="G214">
        <f t="shared" ca="1" si="30"/>
        <v>-6.1297566304546903E-3</v>
      </c>
      <c r="H214">
        <f t="shared" ca="1" si="31"/>
        <v>-1.7874454677653145E-3</v>
      </c>
      <c r="I214">
        <f t="shared" ca="1" si="32"/>
        <v>2.1027297485591373E-2</v>
      </c>
      <c r="O214">
        <f t="shared" ca="1" si="33"/>
        <v>1.2157456874784027</v>
      </c>
      <c r="P214">
        <f t="shared" ca="1" si="34"/>
        <v>1.2487418026536541</v>
      </c>
      <c r="Q214">
        <f t="shared" ca="1" si="35"/>
        <v>1.3748800333820161</v>
      </c>
      <c r="R214">
        <f t="shared" ca="1" si="36"/>
        <v>1.243712390063263</v>
      </c>
    </row>
    <row r="215" spans="1:18" x14ac:dyDescent="0.3">
      <c r="A215" s="2">
        <f ca="1">IFERROR(__xludf.DUMMYFUNCTION("""COMPUTED_VALUE"""),44533.6666666666)</f>
        <v>44533.666666666599</v>
      </c>
      <c r="B215" s="1">
        <f ca="1">IFERROR(__xludf.DUMMYFUNCTION("""COMPUTED_VALUE"""),453.42)</f>
        <v>453.42</v>
      </c>
      <c r="C215" s="1">
        <f ca="1">IFERROR(__xludf.DUMMYFUNCTION("""COMPUTED_VALUE"""),161.84)</f>
        <v>161.84</v>
      </c>
      <c r="D215" s="1">
        <f ca="1">IFERROR(__xludf.DUMMYFUNCTION("""COMPUTED_VALUE"""),323.01)</f>
        <v>323.01</v>
      </c>
      <c r="E215" s="1">
        <f ca="1">IFERROR(__xludf.DUMMYFUNCTION("""COMPUTED_VALUE"""),158.29)</f>
        <v>158.29</v>
      </c>
      <c r="F215">
        <f t="shared" ca="1" si="29"/>
        <v>-8.7013554875381757E-3</v>
      </c>
      <c r="G215">
        <f t="shared" ca="1" si="30"/>
        <v>-1.1724474841230995E-2</v>
      </c>
      <c r="H215">
        <f t="shared" ca="1" si="31"/>
        <v>-1.9666757716470966E-2</v>
      </c>
      <c r="I215">
        <f t="shared" ca="1" si="32"/>
        <v>-1.811302028410158E-2</v>
      </c>
      <c r="O215">
        <f t="shared" ca="1" si="33"/>
        <v>1.2051670520692117</v>
      </c>
      <c r="P215">
        <f t="shared" ca="1" si="34"/>
        <v>1.234100960805248</v>
      </c>
      <c r="Q215">
        <f t="shared" ca="1" si="35"/>
        <v>1.3478406008762784</v>
      </c>
      <c r="R215">
        <f t="shared" ca="1" si="36"/>
        <v>1.2211850023144586</v>
      </c>
    </row>
    <row r="216" spans="1:18" x14ac:dyDescent="0.3">
      <c r="A216" s="2">
        <f ca="1">IFERROR(__xludf.DUMMYFUNCTION("""COMPUTED_VALUE"""),44536.6666666666)</f>
        <v>44536.666666666599</v>
      </c>
      <c r="B216" s="1">
        <f ca="1">IFERROR(__xludf.DUMMYFUNCTION("""COMPUTED_VALUE"""),458.79)</f>
        <v>458.79</v>
      </c>
      <c r="C216" s="1">
        <f ca="1">IFERROR(__xludf.DUMMYFUNCTION("""COMPUTED_VALUE"""),165.32)</f>
        <v>165.32</v>
      </c>
      <c r="D216" s="1">
        <f ca="1">IFERROR(__xludf.DUMMYFUNCTION("""COMPUTED_VALUE"""),326.19)</f>
        <v>326.19</v>
      </c>
      <c r="E216" s="1">
        <f ca="1">IFERROR(__xludf.DUMMYFUNCTION("""COMPUTED_VALUE"""),160.16)</f>
        <v>160.16</v>
      </c>
      <c r="F216">
        <f t="shared" ca="1" si="29"/>
        <v>1.1843324070398316E-2</v>
      </c>
      <c r="G216">
        <f t="shared" ca="1" si="30"/>
        <v>2.1502718734552582E-2</v>
      </c>
      <c r="H216">
        <f t="shared" ca="1" si="31"/>
        <v>9.8448964428346081E-3</v>
      </c>
      <c r="I216">
        <f t="shared" ca="1" si="32"/>
        <v>1.1813759555246729E-2</v>
      </c>
      <c r="O216">
        <f t="shared" ca="1" si="33"/>
        <v>1.2194402360258341</v>
      </c>
      <c r="P216">
        <f t="shared" ca="1" si="34"/>
        <v>1.2606374866554844</v>
      </c>
      <c r="Q216">
        <f t="shared" ca="1" si="35"/>
        <v>1.3611099520133534</v>
      </c>
      <c r="R216">
        <f t="shared" ca="1" si="36"/>
        <v>1.235611788304275</v>
      </c>
    </row>
    <row r="217" spans="1:18" x14ac:dyDescent="0.3">
      <c r="A217" s="2">
        <f ca="1">IFERROR(__xludf.DUMMYFUNCTION("""COMPUTED_VALUE"""),44537.6666666666)</f>
        <v>44537.666666666599</v>
      </c>
      <c r="B217" s="1">
        <f ca="1">IFERROR(__xludf.DUMMYFUNCTION("""COMPUTED_VALUE"""),468.28)</f>
        <v>468.28</v>
      </c>
      <c r="C217" s="1">
        <f ca="1">IFERROR(__xludf.DUMMYFUNCTION("""COMPUTED_VALUE"""),171.18)</f>
        <v>171.18</v>
      </c>
      <c r="D217" s="1">
        <f ca="1">IFERROR(__xludf.DUMMYFUNCTION("""COMPUTED_VALUE"""),334.92)</f>
        <v>334.92</v>
      </c>
      <c r="E217" s="1">
        <f ca="1">IFERROR(__xludf.DUMMYFUNCTION("""COMPUTED_VALUE"""),162.57)</f>
        <v>162.57</v>
      </c>
      <c r="F217">
        <f t="shared" ca="1" si="29"/>
        <v>2.0684844918154172E-2</v>
      </c>
      <c r="G217">
        <f t="shared" ca="1" si="30"/>
        <v>3.5446406968303978E-2</v>
      </c>
      <c r="H217">
        <f t="shared" ca="1" si="31"/>
        <v>2.6763542720500379E-2</v>
      </c>
      <c r="I217">
        <f t="shared" ca="1" si="32"/>
        <v>1.5047452547452527E-2</v>
      </c>
      <c r="O217">
        <f t="shared" ca="1" si="33"/>
        <v>1.2446641681949859</v>
      </c>
      <c r="P217">
        <f t="shared" ca="1" si="34"/>
        <v>1.3053225560469746</v>
      </c>
      <c r="Q217">
        <f t="shared" ca="1" si="35"/>
        <v>1.397538076361361</v>
      </c>
      <c r="R217">
        <f t="shared" ca="1" si="36"/>
        <v>1.2542045980558565</v>
      </c>
    </row>
    <row r="218" spans="1:18" x14ac:dyDescent="0.3">
      <c r="A218" s="2">
        <f ca="1">IFERROR(__xludf.DUMMYFUNCTION("""COMPUTED_VALUE"""),44538.6666666666)</f>
        <v>44538.666666666599</v>
      </c>
      <c r="B218" s="1">
        <f ca="1">IFERROR(__xludf.DUMMYFUNCTION("""COMPUTED_VALUE"""),469.52)</f>
        <v>469.52</v>
      </c>
      <c r="C218" s="1">
        <f ca="1">IFERROR(__xludf.DUMMYFUNCTION("""COMPUTED_VALUE"""),175.08)</f>
        <v>175.08</v>
      </c>
      <c r="D218" s="1">
        <f ca="1">IFERROR(__xludf.DUMMYFUNCTION("""COMPUTED_VALUE"""),334.97)</f>
        <v>334.97</v>
      </c>
      <c r="E218" s="1">
        <f ca="1">IFERROR(__xludf.DUMMYFUNCTION("""COMPUTED_VALUE"""),160.71)</f>
        <v>160.71</v>
      </c>
      <c r="F218">
        <f t="shared" ca="1" si="29"/>
        <v>2.6479883830187265E-3</v>
      </c>
      <c r="G218">
        <f t="shared" ca="1" si="30"/>
        <v>2.2783035401331964E-2</v>
      </c>
      <c r="H218">
        <f t="shared" ca="1" si="31"/>
        <v>1.4928938253914775E-4</v>
      </c>
      <c r="I218">
        <f t="shared" ca="1" si="32"/>
        <v>-1.1441225318324323E-2</v>
      </c>
      <c r="O218">
        <f t="shared" ca="1" si="33"/>
        <v>1.2479600244531261</v>
      </c>
      <c r="P218">
        <f t="shared" ca="1" si="34"/>
        <v>1.3350617660515498</v>
      </c>
      <c r="Q218">
        <f t="shared" ca="1" si="35"/>
        <v>1.3977467139578561</v>
      </c>
      <c r="R218">
        <f t="shared" ca="1" si="36"/>
        <v>1.2398549606542211</v>
      </c>
    </row>
    <row r="219" spans="1:18" x14ac:dyDescent="0.3">
      <c r="A219" s="2">
        <f ca="1">IFERROR(__xludf.DUMMYFUNCTION("""COMPUTED_VALUE"""),44539.6666666666)</f>
        <v>44539.666666666599</v>
      </c>
      <c r="B219" s="1">
        <f ca="1">IFERROR(__xludf.DUMMYFUNCTION("""COMPUTED_VALUE"""),466.35)</f>
        <v>466.35</v>
      </c>
      <c r="C219" s="1">
        <f ca="1">IFERROR(__xludf.DUMMYFUNCTION("""COMPUTED_VALUE"""),174.56)</f>
        <v>174.56</v>
      </c>
      <c r="D219" s="1">
        <f ca="1">IFERROR(__xludf.DUMMYFUNCTION("""COMPUTED_VALUE"""),333.1)</f>
        <v>333.1</v>
      </c>
      <c r="E219" s="1">
        <f ca="1">IFERROR(__xludf.DUMMYFUNCTION("""COMPUTED_VALUE"""),160.46)</f>
        <v>160.46</v>
      </c>
      <c r="F219">
        <f t="shared" ca="1" si="29"/>
        <v>-6.7515760776962839E-3</v>
      </c>
      <c r="G219">
        <f t="shared" ca="1" si="30"/>
        <v>-2.9700708247658797E-3</v>
      </c>
      <c r="H219">
        <f t="shared" ca="1" si="31"/>
        <v>-5.5825894856255916E-3</v>
      </c>
      <c r="I219">
        <f t="shared" ca="1" si="32"/>
        <v>-1.5555970381432394E-3</v>
      </c>
      <c r="O219">
        <f t="shared" ca="1" si="33"/>
        <v>1.2395343274061073</v>
      </c>
      <c r="P219">
        <f t="shared" ca="1" si="34"/>
        <v>1.3310965380509396</v>
      </c>
      <c r="Q219">
        <f t="shared" ca="1" si="35"/>
        <v>1.3899436678489472</v>
      </c>
      <c r="R219">
        <f t="shared" ca="1" si="36"/>
        <v>1.2379262459497002</v>
      </c>
    </row>
    <row r="220" spans="1:18" x14ac:dyDescent="0.3">
      <c r="A220" s="2">
        <f ca="1">IFERROR(__xludf.DUMMYFUNCTION("""COMPUTED_VALUE"""),44540.6666666666)</f>
        <v>44540.666666666599</v>
      </c>
      <c r="B220" s="1">
        <f ca="1">IFERROR(__xludf.DUMMYFUNCTION("""COMPUTED_VALUE"""),470.74)</f>
        <v>470.74</v>
      </c>
      <c r="C220" s="1">
        <f ca="1">IFERROR(__xludf.DUMMYFUNCTION("""COMPUTED_VALUE"""),179.45)</f>
        <v>179.45</v>
      </c>
      <c r="D220" s="1">
        <f ca="1">IFERROR(__xludf.DUMMYFUNCTION("""COMPUTED_VALUE"""),342.54)</f>
        <v>342.54</v>
      </c>
      <c r="E220" s="1">
        <f ca="1">IFERROR(__xludf.DUMMYFUNCTION("""COMPUTED_VALUE"""),159.82)</f>
        <v>159.82</v>
      </c>
      <c r="F220">
        <f t="shared" ca="1" si="29"/>
        <v>9.4135306100567948E-3</v>
      </c>
      <c r="G220">
        <f t="shared" ca="1" si="30"/>
        <v>2.8013290559119993E-2</v>
      </c>
      <c r="H220">
        <f t="shared" ca="1" si="31"/>
        <v>2.8339837886520555E-2</v>
      </c>
      <c r="I220">
        <f t="shared" ca="1" si="32"/>
        <v>-3.9885329677179036E-3</v>
      </c>
      <c r="O220">
        <f t="shared" ca="1" si="33"/>
        <v>1.2512027217393609</v>
      </c>
      <c r="P220">
        <f t="shared" ca="1" si="34"/>
        <v>1.3683849321335992</v>
      </c>
      <c r="Q220">
        <f t="shared" ca="1" si="35"/>
        <v>1.429334446067182</v>
      </c>
      <c r="R220">
        <f t="shared" ca="1" si="36"/>
        <v>1.2329887363061265</v>
      </c>
    </row>
    <row r="221" spans="1:18" x14ac:dyDescent="0.3">
      <c r="A221" s="2">
        <f ca="1">IFERROR(__xludf.DUMMYFUNCTION("""COMPUTED_VALUE"""),44543.6666666666)</f>
        <v>44543.666666666599</v>
      </c>
      <c r="B221" s="1">
        <f ca="1">IFERROR(__xludf.DUMMYFUNCTION("""COMPUTED_VALUE"""),466.57)</f>
        <v>466.57</v>
      </c>
      <c r="C221" s="1">
        <f ca="1">IFERROR(__xludf.DUMMYFUNCTION("""COMPUTED_VALUE"""),175.74)</f>
        <v>175.74</v>
      </c>
      <c r="D221" s="1">
        <f ca="1">IFERROR(__xludf.DUMMYFUNCTION("""COMPUTED_VALUE"""),339.4)</f>
        <v>339.4</v>
      </c>
      <c r="E221" s="1">
        <f ca="1">IFERROR(__xludf.DUMMYFUNCTION("""COMPUTED_VALUE"""),157.92)</f>
        <v>157.91999999999999</v>
      </c>
      <c r="F221">
        <f t="shared" ca="1" si="29"/>
        <v>-8.8583931682032872E-3</v>
      </c>
      <c r="G221">
        <f t="shared" ca="1" si="30"/>
        <v>-2.0674282529952522E-2</v>
      </c>
      <c r="H221">
        <f t="shared" ca="1" si="31"/>
        <v>-9.1668126350208535E-3</v>
      </c>
      <c r="I221">
        <f t="shared" ca="1" si="32"/>
        <v>-1.1888374421223914E-2</v>
      </c>
      <c r="O221">
        <f t="shared" ca="1" si="33"/>
        <v>1.2401190760970675</v>
      </c>
      <c r="P221">
        <f t="shared" ca="1" si="34"/>
        <v>1.3400945554369392</v>
      </c>
      <c r="Q221">
        <f t="shared" ca="1" si="35"/>
        <v>1.4162320050073027</v>
      </c>
      <c r="R221">
        <f t="shared" ca="1" si="36"/>
        <v>1.2183305045517676</v>
      </c>
    </row>
    <row r="222" spans="1:18" x14ac:dyDescent="0.3">
      <c r="A222" s="2">
        <f ca="1">IFERROR(__xludf.DUMMYFUNCTION("""COMPUTED_VALUE"""),44544.6666666666)</f>
        <v>44544.666666666599</v>
      </c>
      <c r="B222" s="1">
        <f ca="1">IFERROR(__xludf.DUMMYFUNCTION("""COMPUTED_VALUE"""),463.36)</f>
        <v>463.36</v>
      </c>
      <c r="C222" s="1">
        <f ca="1">IFERROR(__xludf.DUMMYFUNCTION("""COMPUTED_VALUE"""),174.33)</f>
        <v>174.33</v>
      </c>
      <c r="D222" s="1">
        <f ca="1">IFERROR(__xludf.DUMMYFUNCTION("""COMPUTED_VALUE"""),328.34)</f>
        <v>328.34</v>
      </c>
      <c r="E222" s="1">
        <f ca="1">IFERROR(__xludf.DUMMYFUNCTION("""COMPUTED_VALUE"""),159.13)</f>
        <v>159.13</v>
      </c>
      <c r="F222">
        <f t="shared" ca="1" si="29"/>
        <v>-6.879996570718176E-3</v>
      </c>
      <c r="G222">
        <f t="shared" ca="1" si="30"/>
        <v>-8.0232161147149005E-3</v>
      </c>
      <c r="H222">
        <f t="shared" ca="1" si="31"/>
        <v>-3.2586918090748387E-2</v>
      </c>
      <c r="I222">
        <f t="shared" ca="1" si="32"/>
        <v>7.6621073961500004E-3</v>
      </c>
      <c r="O222">
        <f t="shared" ca="1" si="33"/>
        <v>1.2315870611062376</v>
      </c>
      <c r="P222">
        <f t="shared" ca="1" si="34"/>
        <v>1.329342687204516</v>
      </c>
      <c r="Q222">
        <f t="shared" ca="1" si="35"/>
        <v>1.3700813686626334</v>
      </c>
      <c r="R222">
        <f t="shared" ca="1" si="36"/>
        <v>1.227665483721649</v>
      </c>
    </row>
    <row r="223" spans="1:18" x14ac:dyDescent="0.3">
      <c r="A223" s="2">
        <f ca="1">IFERROR(__xludf.DUMMYFUNCTION("""COMPUTED_VALUE"""),44545.6666666666)</f>
        <v>44545.666666666599</v>
      </c>
      <c r="B223" s="1">
        <f ca="1">IFERROR(__xludf.DUMMYFUNCTION("""COMPUTED_VALUE"""),470.6)</f>
        <v>470.6</v>
      </c>
      <c r="C223" s="1">
        <f ca="1">IFERROR(__xludf.DUMMYFUNCTION("""COMPUTED_VALUE"""),179.3)</f>
        <v>179.3</v>
      </c>
      <c r="D223" s="1">
        <f ca="1">IFERROR(__xludf.DUMMYFUNCTION("""COMPUTED_VALUE"""),334.65)</f>
        <v>334.65</v>
      </c>
      <c r="E223" s="1">
        <f ca="1">IFERROR(__xludf.DUMMYFUNCTION("""COMPUTED_VALUE"""),157.94)</f>
        <v>157.94</v>
      </c>
      <c r="F223">
        <f t="shared" ca="1" si="29"/>
        <v>1.5625000000000021E-2</v>
      </c>
      <c r="G223">
        <f t="shared" ca="1" si="30"/>
        <v>2.8509149314518433E-2</v>
      </c>
      <c r="H223">
        <f t="shared" ca="1" si="31"/>
        <v>1.9217883900834509E-2</v>
      </c>
      <c r="I223">
        <f t="shared" ca="1" si="32"/>
        <v>-7.4781625086407198E-3</v>
      </c>
      <c r="O223">
        <f t="shared" ca="1" si="33"/>
        <v>1.2508306089360226</v>
      </c>
      <c r="P223">
        <f t="shared" ca="1" si="34"/>
        <v>1.3672411163641927</v>
      </c>
      <c r="Q223">
        <f t="shared" ca="1" si="35"/>
        <v>1.3964114333402884</v>
      </c>
      <c r="R223">
        <f t="shared" ca="1" si="36"/>
        <v>1.2184848017281293</v>
      </c>
    </row>
    <row r="224" spans="1:18" x14ac:dyDescent="0.3">
      <c r="A224" s="2">
        <f ca="1">IFERROR(__xludf.DUMMYFUNCTION("""COMPUTED_VALUE"""),44546.6666666666)</f>
        <v>44546.666666666599</v>
      </c>
      <c r="B224" s="1">
        <f ca="1">IFERROR(__xludf.DUMMYFUNCTION("""COMPUTED_VALUE"""),466.45)</f>
        <v>466.45</v>
      </c>
      <c r="C224" s="1">
        <f ca="1">IFERROR(__xludf.DUMMYFUNCTION("""COMPUTED_VALUE"""),172.26)</f>
        <v>172.26</v>
      </c>
      <c r="D224" s="1">
        <f ca="1">IFERROR(__xludf.DUMMYFUNCTION("""COMPUTED_VALUE"""),324.9)</f>
        <v>324.89999999999998</v>
      </c>
      <c r="E224" s="1">
        <f ca="1">IFERROR(__xludf.DUMMYFUNCTION("""COMPUTED_VALUE"""),160.41)</f>
        <v>160.41</v>
      </c>
      <c r="F224">
        <f t="shared" ca="1" si="29"/>
        <v>-8.8185295367616528E-3</v>
      </c>
      <c r="G224">
        <f t="shared" ca="1" si="30"/>
        <v>-3.9263803680981708E-2</v>
      </c>
      <c r="H224">
        <f t="shared" ca="1" si="31"/>
        <v>-2.9134917077543704E-2</v>
      </c>
      <c r="I224">
        <f t="shared" ca="1" si="32"/>
        <v>1.563885019627706E-2</v>
      </c>
      <c r="O224">
        <f t="shared" ca="1" si="33"/>
        <v>1.2398001222656347</v>
      </c>
      <c r="P224">
        <f t="shared" ca="1" si="34"/>
        <v>1.3135580295867026</v>
      </c>
      <c r="Q224">
        <f t="shared" ca="1" si="35"/>
        <v>1.3557271020237851</v>
      </c>
      <c r="R224">
        <f t="shared" ca="1" si="36"/>
        <v>1.2375405030087958</v>
      </c>
    </row>
    <row r="225" spans="1:18" x14ac:dyDescent="0.3">
      <c r="A225" s="2">
        <f ca="1">IFERROR(__xludf.DUMMYFUNCTION("""COMPUTED_VALUE"""),44547.6666666666)</f>
        <v>44547.666666666599</v>
      </c>
      <c r="B225" s="1">
        <f ca="1">IFERROR(__xludf.DUMMYFUNCTION("""COMPUTED_VALUE"""),459.87)</f>
        <v>459.87</v>
      </c>
      <c r="C225" s="1">
        <f ca="1">IFERROR(__xludf.DUMMYFUNCTION("""COMPUTED_VALUE"""),171.14)</f>
        <v>171.14</v>
      </c>
      <c r="D225" s="1">
        <f ca="1">IFERROR(__xludf.DUMMYFUNCTION("""COMPUTED_VALUE"""),323.8)</f>
        <v>323.8</v>
      </c>
      <c r="E225" s="1">
        <f ca="1">IFERROR(__xludf.DUMMYFUNCTION("""COMPUTED_VALUE"""),156.76)</f>
        <v>156.76</v>
      </c>
      <c r="F225">
        <f t="shared" ca="1" si="29"/>
        <v>-1.4106549469396473E-2</v>
      </c>
      <c r="G225">
        <f t="shared" ca="1" si="30"/>
        <v>-6.5017996052479082E-3</v>
      </c>
      <c r="H225">
        <f t="shared" ca="1" si="31"/>
        <v>-3.3856571252692089E-3</v>
      </c>
      <c r="I225">
        <f t="shared" ca="1" si="32"/>
        <v>-2.2754192382021105E-2</v>
      </c>
      <c r="O225">
        <f t="shared" ca="1" si="33"/>
        <v>1.2223108205087307</v>
      </c>
      <c r="P225">
        <f t="shared" ca="1" si="34"/>
        <v>1.3050175385084657</v>
      </c>
      <c r="Q225">
        <f t="shared" ca="1" si="35"/>
        <v>1.3511370749008977</v>
      </c>
      <c r="R225">
        <f t="shared" ca="1" si="36"/>
        <v>1.2093812683227905</v>
      </c>
    </row>
    <row r="226" spans="1:18" x14ac:dyDescent="0.3">
      <c r="A226" s="2">
        <f ca="1">IFERROR(__xludf.DUMMYFUNCTION("""COMPUTED_VALUE"""),44550.6666666666)</f>
        <v>44550.666666666599</v>
      </c>
      <c r="B226" s="1">
        <f ca="1">IFERROR(__xludf.DUMMYFUNCTION("""COMPUTED_VALUE"""),454.98)</f>
        <v>454.98</v>
      </c>
      <c r="C226" s="1">
        <f ca="1">IFERROR(__xludf.DUMMYFUNCTION("""COMPUTED_VALUE"""),169.75)</f>
        <v>169.75</v>
      </c>
      <c r="D226" s="1">
        <f ca="1">IFERROR(__xludf.DUMMYFUNCTION("""COMPUTED_VALUE"""),319.91)</f>
        <v>319.91000000000003</v>
      </c>
      <c r="E226" s="1">
        <f ca="1">IFERROR(__xludf.DUMMYFUNCTION("""COMPUTED_VALUE"""),153.94)</f>
        <v>153.94</v>
      </c>
      <c r="F226">
        <f t="shared" ca="1" si="29"/>
        <v>-1.0633439885184913E-2</v>
      </c>
      <c r="G226">
        <f t="shared" ca="1" si="30"/>
        <v>-8.1220053757157084E-3</v>
      </c>
      <c r="H226">
        <f t="shared" ca="1" si="31"/>
        <v>-1.2013588634959809E-2</v>
      </c>
      <c r="I226">
        <f t="shared" ca="1" si="32"/>
        <v>-1.7989282980352087E-2</v>
      </c>
      <c r="O226">
        <f t="shared" ca="1" si="33"/>
        <v>1.2093134518778401</v>
      </c>
      <c r="P226">
        <f t="shared" ca="1" si="34"/>
        <v>1.2944181790452967</v>
      </c>
      <c r="Q226">
        <f t="shared" ca="1" si="35"/>
        <v>1.3349050698935954</v>
      </c>
      <c r="R226">
        <f t="shared" ca="1" si="36"/>
        <v>1.1876253664557948</v>
      </c>
    </row>
    <row r="227" spans="1:18" x14ac:dyDescent="0.3">
      <c r="A227" s="2">
        <f ca="1">IFERROR(__xludf.DUMMYFUNCTION("""COMPUTED_VALUE"""),44551.6666666666)</f>
        <v>44551.666666666599</v>
      </c>
      <c r="B227" s="1">
        <f ca="1">IFERROR(__xludf.DUMMYFUNCTION("""COMPUTED_VALUE"""),463.06)</f>
        <v>463.06</v>
      </c>
      <c r="C227" s="1">
        <f ca="1">IFERROR(__xludf.DUMMYFUNCTION("""COMPUTED_VALUE"""),172.99)</f>
        <v>172.99</v>
      </c>
      <c r="D227" s="1">
        <f ca="1">IFERROR(__xludf.DUMMYFUNCTION("""COMPUTED_VALUE"""),327.29)</f>
        <v>327.29000000000002</v>
      </c>
      <c r="E227" s="1">
        <f ca="1">IFERROR(__xludf.DUMMYFUNCTION("""COMPUTED_VALUE"""),156.09)</f>
        <v>156.09</v>
      </c>
      <c r="F227">
        <f t="shared" ca="1" si="29"/>
        <v>1.7759022374609839E-2</v>
      </c>
      <c r="G227">
        <f t="shared" ca="1" si="30"/>
        <v>1.9086892488954399E-2</v>
      </c>
      <c r="H227">
        <f t="shared" ca="1" si="31"/>
        <v>2.3068988152917993E-2</v>
      </c>
      <c r="I227">
        <f t="shared" ca="1" si="32"/>
        <v>1.3966480446927412E-2</v>
      </c>
      <c r="O227">
        <f t="shared" ca="1" si="33"/>
        <v>1.2307896765276554</v>
      </c>
      <c r="P227">
        <f t="shared" ca="1" si="34"/>
        <v>1.3191245996644825</v>
      </c>
      <c r="Q227">
        <f t="shared" ca="1" si="35"/>
        <v>1.365699979136241</v>
      </c>
      <c r="R227">
        <f t="shared" ca="1" si="36"/>
        <v>1.2042123129146747</v>
      </c>
    </row>
    <row r="228" spans="1:18" x14ac:dyDescent="0.3">
      <c r="A228" s="2">
        <f ca="1">IFERROR(__xludf.DUMMYFUNCTION("""COMPUTED_VALUE"""),44552.6666666666)</f>
        <v>44552.666666666599</v>
      </c>
      <c r="B228" s="1">
        <f ca="1">IFERROR(__xludf.DUMMYFUNCTION("""COMPUTED_VALUE"""),467.69)</f>
        <v>467.69</v>
      </c>
      <c r="C228" s="1">
        <f ca="1">IFERROR(__xludf.DUMMYFUNCTION("""COMPUTED_VALUE"""),175.64)</f>
        <v>175.64</v>
      </c>
      <c r="D228" s="1">
        <f ca="1">IFERROR(__xludf.DUMMYFUNCTION("""COMPUTED_VALUE"""),333.2)</f>
        <v>333.2</v>
      </c>
      <c r="E228" s="1">
        <f ca="1">IFERROR(__xludf.DUMMYFUNCTION("""COMPUTED_VALUE"""),156.7)</f>
        <v>156.69999999999999</v>
      </c>
      <c r="F228">
        <f t="shared" ca="1" si="29"/>
        <v>9.9987042715846668E-3</v>
      </c>
      <c r="G228">
        <f t="shared" ca="1" si="30"/>
        <v>1.5318804555176467E-2</v>
      </c>
      <c r="H228">
        <f t="shared" ca="1" si="31"/>
        <v>1.8057380304928254E-2</v>
      </c>
      <c r="I228">
        <f t="shared" ca="1" si="32"/>
        <v>3.9080017938367944E-3</v>
      </c>
      <c r="O228">
        <f t="shared" ca="1" si="33"/>
        <v>1.2430959785237745</v>
      </c>
      <c r="P228">
        <f t="shared" ca="1" si="34"/>
        <v>1.3393320115906679</v>
      </c>
      <c r="Q228">
        <f t="shared" ca="1" si="35"/>
        <v>1.3903609430419366</v>
      </c>
      <c r="R228">
        <f t="shared" ca="1" si="36"/>
        <v>1.2089183767937057</v>
      </c>
    </row>
    <row r="229" spans="1:18" x14ac:dyDescent="0.3">
      <c r="A229" s="2">
        <f ca="1">IFERROR(__xludf.DUMMYFUNCTION("""COMPUTED_VALUE"""),44553.6666666666)</f>
        <v>44553.666666666599</v>
      </c>
      <c r="B229" s="1">
        <f ca="1">IFERROR(__xludf.DUMMYFUNCTION("""COMPUTED_VALUE"""),470.6)</f>
        <v>470.6</v>
      </c>
      <c r="C229" s="1">
        <f ca="1">IFERROR(__xludf.DUMMYFUNCTION("""COMPUTED_VALUE"""),176.28)</f>
        <v>176.28</v>
      </c>
      <c r="D229" s="1">
        <f ca="1">IFERROR(__xludf.DUMMYFUNCTION("""COMPUTED_VALUE"""),334.69)</f>
        <v>334.69</v>
      </c>
      <c r="E229" s="1">
        <f ca="1">IFERROR(__xludf.DUMMYFUNCTION("""COMPUTED_VALUE"""),157.26)</f>
        <v>157.26</v>
      </c>
      <c r="F229">
        <f t="shared" ca="1" si="29"/>
        <v>6.2220701746884153E-3</v>
      </c>
      <c r="G229">
        <f t="shared" ca="1" si="30"/>
        <v>3.6438168982009496E-3</v>
      </c>
      <c r="H229">
        <f t="shared" ca="1" si="31"/>
        <v>4.4717887154862223E-3</v>
      </c>
      <c r="I229">
        <f t="shared" ca="1" si="32"/>
        <v>3.5737077217613423E-3</v>
      </c>
      <c r="O229">
        <f t="shared" ca="1" si="33"/>
        <v>1.2508306089360224</v>
      </c>
      <c r="P229">
        <f t="shared" ca="1" si="34"/>
        <v>1.3442122922068034</v>
      </c>
      <c r="Q229">
        <f t="shared" ca="1" si="35"/>
        <v>1.3965783434174841</v>
      </c>
      <c r="R229">
        <f t="shared" ca="1" si="36"/>
        <v>1.2132386977318326</v>
      </c>
    </row>
    <row r="230" spans="1:18" x14ac:dyDescent="0.3">
      <c r="A230" s="2">
        <f ca="1">IFERROR(__xludf.DUMMYFUNCTION("""COMPUTED_VALUE"""),44557.6666666666)</f>
        <v>44557.666666666599</v>
      </c>
      <c r="B230" s="1">
        <f ca="1">IFERROR(__xludf.DUMMYFUNCTION("""COMPUTED_VALUE"""),477.26)</f>
        <v>477.26</v>
      </c>
      <c r="C230" s="1">
        <f ca="1">IFERROR(__xludf.DUMMYFUNCTION("""COMPUTED_VALUE"""),180.33)</f>
        <v>180.33</v>
      </c>
      <c r="D230" s="1">
        <f ca="1">IFERROR(__xludf.DUMMYFUNCTION("""COMPUTED_VALUE"""),342.45)</f>
        <v>342.45</v>
      </c>
      <c r="E230" s="1">
        <f ca="1">IFERROR(__xludf.DUMMYFUNCTION("""COMPUTED_VALUE"""),158.16)</f>
        <v>158.16</v>
      </c>
      <c r="F230">
        <f t="shared" ca="1" si="29"/>
        <v>1.4152146196345023E-2</v>
      </c>
      <c r="G230">
        <f t="shared" ca="1" si="30"/>
        <v>2.2974812797821712E-2</v>
      </c>
      <c r="H230">
        <f t="shared" ca="1" si="31"/>
        <v>2.3185634467716366E-2</v>
      </c>
      <c r="I230">
        <f t="shared" ca="1" si="32"/>
        <v>5.7230064860740544E-3</v>
      </c>
      <c r="O230">
        <f t="shared" ca="1" si="33"/>
        <v>1.2685325465805481</v>
      </c>
      <c r="P230">
        <f t="shared" ca="1" si="34"/>
        <v>1.3750953179807857</v>
      </c>
      <c r="Q230">
        <f t="shared" ca="1" si="35"/>
        <v>1.4289588983934907</v>
      </c>
      <c r="R230">
        <f t="shared" ca="1" si="36"/>
        <v>1.2201820706681079</v>
      </c>
    </row>
    <row r="231" spans="1:18" x14ac:dyDescent="0.3">
      <c r="A231" s="2">
        <f ca="1">IFERROR(__xludf.DUMMYFUNCTION("""COMPUTED_VALUE"""),44558.6666666666)</f>
        <v>44558.666666666599</v>
      </c>
      <c r="B231" s="1">
        <f ca="1">IFERROR(__xludf.DUMMYFUNCTION("""COMPUTED_VALUE"""),476.87)</f>
        <v>476.87</v>
      </c>
      <c r="C231" s="1">
        <f ca="1">IFERROR(__xludf.DUMMYFUNCTION("""COMPUTED_VALUE"""),179.29)</f>
        <v>179.29</v>
      </c>
      <c r="D231" s="1">
        <f ca="1">IFERROR(__xludf.DUMMYFUNCTION("""COMPUTED_VALUE"""),341.25)</f>
        <v>341.25</v>
      </c>
      <c r="E231" s="1">
        <f ca="1">IFERROR(__xludf.DUMMYFUNCTION("""COMPUTED_VALUE"""),158.64)</f>
        <v>158.63999999999999</v>
      </c>
      <c r="F231">
        <f t="shared" ca="1" si="29"/>
        <v>-8.1716464820011392E-4</v>
      </c>
      <c r="G231">
        <f t="shared" ca="1" si="30"/>
        <v>-5.7672045694006566E-3</v>
      </c>
      <c r="H231">
        <f t="shared" ca="1" si="31"/>
        <v>-3.504161191414772E-3</v>
      </c>
      <c r="I231">
        <f t="shared" ca="1" si="32"/>
        <v>3.03490136570555E-3</v>
      </c>
      <c r="O231">
        <f t="shared" ca="1" si="33"/>
        <v>1.2674959466283913</v>
      </c>
      <c r="P231">
        <f t="shared" ca="1" si="34"/>
        <v>1.3671648619795655</v>
      </c>
      <c r="Q231">
        <f t="shared" ca="1" si="35"/>
        <v>1.4239515960776135</v>
      </c>
      <c r="R231">
        <f t="shared" ca="1" si="36"/>
        <v>1.2238852029007881</v>
      </c>
    </row>
    <row r="232" spans="1:18" x14ac:dyDescent="0.3">
      <c r="A232" s="2">
        <f ca="1">IFERROR(__xludf.DUMMYFUNCTION("""COMPUTED_VALUE"""),44559.6666666666)</f>
        <v>44559.666666666599</v>
      </c>
      <c r="B232" s="1">
        <f ca="1">IFERROR(__xludf.DUMMYFUNCTION("""COMPUTED_VALUE"""),477.48)</f>
        <v>477.48</v>
      </c>
      <c r="C232" s="1">
        <f ca="1">IFERROR(__xludf.DUMMYFUNCTION("""COMPUTED_VALUE"""),179.38)</f>
        <v>179.38</v>
      </c>
      <c r="D232" s="1">
        <f ca="1">IFERROR(__xludf.DUMMYFUNCTION("""COMPUTED_VALUE"""),341.95)</f>
        <v>341.95</v>
      </c>
      <c r="E232" s="1">
        <f ca="1">IFERROR(__xludf.DUMMYFUNCTION("""COMPUTED_VALUE"""),158.56)</f>
        <v>158.56</v>
      </c>
      <c r="F232">
        <f t="shared" ca="1" si="29"/>
        <v>1.2791746178203989E-3</v>
      </c>
      <c r="G232">
        <f t="shared" ca="1" si="30"/>
        <v>5.0198003234984336E-4</v>
      </c>
      <c r="H232">
        <f t="shared" ca="1" si="31"/>
        <v>2.0512820512820179E-3</v>
      </c>
      <c r="I232">
        <f t="shared" ca="1" si="32"/>
        <v>-5.0428643469480647E-4</v>
      </c>
      <c r="O232">
        <f t="shared" ca="1" si="33"/>
        <v>1.2691172952715086</v>
      </c>
      <c r="P232">
        <f t="shared" ca="1" si="34"/>
        <v>1.3678511514412095</v>
      </c>
      <c r="Q232">
        <f t="shared" ca="1" si="35"/>
        <v>1.4268725224285417</v>
      </c>
      <c r="R232">
        <f t="shared" ca="1" si="36"/>
        <v>1.2232680141953416</v>
      </c>
    </row>
    <row r="233" spans="1:18" x14ac:dyDescent="0.3">
      <c r="A233" s="2">
        <f ca="1">IFERROR(__xludf.DUMMYFUNCTION("""COMPUTED_VALUE"""),44560.6666666666)</f>
        <v>44560.666666666599</v>
      </c>
      <c r="B233" s="1">
        <f ca="1">IFERROR(__xludf.DUMMYFUNCTION("""COMPUTED_VALUE"""),476.16)</f>
        <v>476.16</v>
      </c>
      <c r="C233" s="1">
        <f ca="1">IFERROR(__xludf.DUMMYFUNCTION("""COMPUTED_VALUE"""),178.2)</f>
        <v>178.2</v>
      </c>
      <c r="D233" s="1">
        <f ca="1">IFERROR(__xludf.DUMMYFUNCTION("""COMPUTED_VALUE"""),339.32)</f>
        <v>339.32</v>
      </c>
      <c r="E233" s="1">
        <f ca="1">IFERROR(__xludf.DUMMYFUNCTION("""COMPUTED_VALUE"""),158.48)</f>
        <v>158.47999999999999</v>
      </c>
      <c r="F233">
        <f t="shared" ca="1" si="29"/>
        <v>-2.7645136969087565E-3</v>
      </c>
      <c r="G233">
        <f t="shared" ca="1" si="30"/>
        <v>-6.5782138476976632E-3</v>
      </c>
      <c r="H233">
        <f t="shared" ca="1" si="31"/>
        <v>-7.6911829214797358E-3</v>
      </c>
      <c r="I233">
        <f t="shared" ca="1" si="32"/>
        <v>-5.0454086781037146E-4</v>
      </c>
      <c r="O233">
        <f t="shared" ca="1" si="33"/>
        <v>1.2656088031257466</v>
      </c>
      <c r="P233">
        <f t="shared" ca="1" si="34"/>
        <v>1.3588531340552097</v>
      </c>
      <c r="Q233">
        <f t="shared" ca="1" si="35"/>
        <v>1.4158981848529106</v>
      </c>
      <c r="R233">
        <f t="shared" ca="1" si="36"/>
        <v>1.2226508254898949</v>
      </c>
    </row>
    <row r="234" spans="1:18" x14ac:dyDescent="0.3">
      <c r="A234" s="2">
        <f ca="1">IFERROR(__xludf.DUMMYFUNCTION("""COMPUTED_VALUE"""),44561.6666666666)</f>
        <v>44561.666666666599</v>
      </c>
      <c r="B234" s="1">
        <f ca="1">IFERROR(__xludf.DUMMYFUNCTION("""COMPUTED_VALUE"""),474.96)</f>
        <v>474.96</v>
      </c>
      <c r="C234" s="1">
        <f ca="1">IFERROR(__xludf.DUMMYFUNCTION("""COMPUTED_VALUE"""),177.57)</f>
        <v>177.57</v>
      </c>
      <c r="D234" s="1">
        <f ca="1">IFERROR(__xludf.DUMMYFUNCTION("""COMPUTED_VALUE"""),336.32)</f>
        <v>336.32</v>
      </c>
      <c r="E234" s="1">
        <f ca="1">IFERROR(__xludf.DUMMYFUNCTION("""COMPUTED_VALUE"""),158.35)</f>
        <v>158.35</v>
      </c>
      <c r="F234">
        <f t="shared" ca="1" si="29"/>
        <v>-2.520161290322676E-3</v>
      </c>
      <c r="G234">
        <f t="shared" ca="1" si="30"/>
        <v>-3.53535353535351E-3</v>
      </c>
      <c r="H234">
        <f t="shared" ca="1" si="31"/>
        <v>-8.8412118354355765E-3</v>
      </c>
      <c r="I234">
        <f t="shared" ca="1" si="32"/>
        <v>-8.2029278142349484E-4</v>
      </c>
      <c r="O234">
        <f t="shared" ca="1" si="33"/>
        <v>1.2624192648114174</v>
      </c>
      <c r="P234">
        <f t="shared" ca="1" si="34"/>
        <v>1.3540491078237014</v>
      </c>
      <c r="Q234">
        <f t="shared" ca="1" si="35"/>
        <v>1.4033799290632172</v>
      </c>
      <c r="R234">
        <f t="shared" ca="1" si="36"/>
        <v>1.221647893843544</v>
      </c>
    </row>
    <row r="235" spans="1:18" x14ac:dyDescent="0.3">
      <c r="A235" s="2">
        <f ca="1">IFERROR(__xludf.DUMMYFUNCTION("""COMPUTED_VALUE"""),44564.6666666666)</f>
        <v>44564.666666666599</v>
      </c>
      <c r="B235" s="1">
        <f ca="1">IFERROR(__xludf.DUMMYFUNCTION("""COMPUTED_VALUE"""),477.71)</f>
        <v>477.71</v>
      </c>
      <c r="C235" s="1">
        <f ca="1">IFERROR(__xludf.DUMMYFUNCTION("""COMPUTED_VALUE"""),182.01)</f>
        <v>182.01</v>
      </c>
      <c r="D235" s="1">
        <f ca="1">IFERROR(__xludf.DUMMYFUNCTION("""COMPUTED_VALUE"""),334.75)</f>
        <v>334.75</v>
      </c>
      <c r="E235" s="1">
        <f ca="1">IFERROR(__xludf.DUMMYFUNCTION("""COMPUTED_VALUE"""),161.7)</f>
        <v>161.69999999999999</v>
      </c>
      <c r="F235">
        <f t="shared" ca="1" si="29"/>
        <v>5.7899612598955701E-3</v>
      </c>
      <c r="G235">
        <f t="shared" ca="1" si="30"/>
        <v>2.5004223686433506E-2</v>
      </c>
      <c r="H235">
        <f t="shared" ca="1" si="31"/>
        <v>-4.6681731684110172E-3</v>
      </c>
      <c r="I235">
        <f t="shared" ca="1" si="32"/>
        <v>2.1155667824439499E-2</v>
      </c>
      <c r="O235">
        <f t="shared" ca="1" si="33"/>
        <v>1.2697286234484213</v>
      </c>
      <c r="P235">
        <f t="shared" ca="1" si="34"/>
        <v>1.3879060545981408</v>
      </c>
      <c r="Q235">
        <f t="shared" ca="1" si="35"/>
        <v>1.3968287085332776</v>
      </c>
      <c r="R235">
        <f t="shared" ca="1" si="36"/>
        <v>1.2474926708841243</v>
      </c>
    </row>
    <row r="236" spans="1:18" x14ac:dyDescent="0.3">
      <c r="A236" s="2">
        <f ca="1">IFERROR(__xludf.DUMMYFUNCTION("""COMPUTED_VALUE"""),44565.6666666666)</f>
        <v>44565.666666666599</v>
      </c>
      <c r="B236" s="1">
        <f ca="1">IFERROR(__xludf.DUMMYFUNCTION("""COMPUTED_VALUE"""),477.55)</f>
        <v>477.55</v>
      </c>
      <c r="C236" s="1">
        <f ca="1">IFERROR(__xludf.DUMMYFUNCTION("""COMPUTED_VALUE"""),179.7)</f>
        <v>179.7</v>
      </c>
      <c r="D236" s="1">
        <f ca="1">IFERROR(__xludf.DUMMYFUNCTION("""COMPUTED_VALUE"""),329.01)</f>
        <v>329.01</v>
      </c>
      <c r="E236" s="1">
        <f ca="1">IFERROR(__xludf.DUMMYFUNCTION("""COMPUTED_VALUE"""),167.83)</f>
        <v>167.83</v>
      </c>
      <c r="F236">
        <f t="shared" ca="1" si="29"/>
        <v>-3.3493123443086427E-4</v>
      </c>
      <c r="G236">
        <f t="shared" ca="1" si="30"/>
        <v>-1.2691610351079624E-2</v>
      </c>
      <c r="H236">
        <f t="shared" ca="1" si="31"/>
        <v>-1.7147124719940281E-2</v>
      </c>
      <c r="I236">
        <f t="shared" ca="1" si="32"/>
        <v>3.7909709338280917E-2</v>
      </c>
      <c r="O236">
        <f t="shared" ca="1" si="33"/>
        <v>1.2693033516731775</v>
      </c>
      <c r="P236">
        <f t="shared" ca="1" si="34"/>
        <v>1.3702912917492769</v>
      </c>
      <c r="Q236">
        <f t="shared" ca="1" si="35"/>
        <v>1.3728771124556642</v>
      </c>
      <c r="R236">
        <f t="shared" ca="1" si="36"/>
        <v>1.2947847554389773</v>
      </c>
    </row>
    <row r="237" spans="1:18" x14ac:dyDescent="0.3">
      <c r="A237" s="2">
        <f ca="1">IFERROR(__xludf.DUMMYFUNCTION("""COMPUTED_VALUE"""),44566.6666666666)</f>
        <v>44566.666666666599</v>
      </c>
      <c r="B237" s="1">
        <f ca="1">IFERROR(__xludf.DUMMYFUNCTION("""COMPUTED_VALUE"""),468.38)</f>
        <v>468.38</v>
      </c>
      <c r="C237" s="1">
        <f ca="1">IFERROR(__xludf.DUMMYFUNCTION("""COMPUTED_VALUE"""),174.92)</f>
        <v>174.92</v>
      </c>
      <c r="D237" s="1">
        <f ca="1">IFERROR(__xludf.DUMMYFUNCTION("""COMPUTED_VALUE"""),316.38)</f>
        <v>316.38</v>
      </c>
      <c r="E237" s="1">
        <f ca="1">IFERROR(__xludf.DUMMYFUNCTION("""COMPUTED_VALUE"""),163.78)</f>
        <v>163.78</v>
      </c>
      <c r="F237">
        <f t="shared" ca="1" si="29"/>
        <v>-1.9202177782431194E-2</v>
      </c>
      <c r="G237">
        <f t="shared" ca="1" si="30"/>
        <v>-2.6599888703394553E-2</v>
      </c>
      <c r="H237">
        <f t="shared" ca="1" si="31"/>
        <v>-3.8387890945563954E-2</v>
      </c>
      <c r="I237">
        <f t="shared" ca="1" si="32"/>
        <v>-2.4131561699338683E-2</v>
      </c>
      <c r="O237">
        <f t="shared" ca="1" si="33"/>
        <v>1.2449299630545134</v>
      </c>
      <c r="P237">
        <f t="shared" ca="1" si="34"/>
        <v>1.3338416958975152</v>
      </c>
      <c r="Q237">
        <f t="shared" ca="1" si="35"/>
        <v>1.3201752555810555</v>
      </c>
      <c r="R237">
        <f t="shared" ca="1" si="36"/>
        <v>1.2635395772257385</v>
      </c>
    </row>
    <row r="238" spans="1:18" x14ac:dyDescent="0.3">
      <c r="A238" s="2">
        <f ca="1">IFERROR(__xludf.DUMMYFUNCTION("""COMPUTED_VALUE"""),44567.6666666666)</f>
        <v>44567.666666666599</v>
      </c>
      <c r="B238" s="1">
        <f ca="1">IFERROR(__xludf.DUMMYFUNCTION("""COMPUTED_VALUE"""),467.94)</f>
        <v>467.94</v>
      </c>
      <c r="C238" s="1">
        <f ca="1">IFERROR(__xludf.DUMMYFUNCTION("""COMPUTED_VALUE"""),172)</f>
        <v>172</v>
      </c>
      <c r="D238" s="1">
        <f ca="1">IFERROR(__xludf.DUMMYFUNCTION("""COMPUTED_VALUE"""),313.88)</f>
        <v>313.88</v>
      </c>
      <c r="E238" s="1">
        <f ca="1">IFERROR(__xludf.DUMMYFUNCTION("""COMPUTED_VALUE"""),165.52)</f>
        <v>165.52</v>
      </c>
      <c r="F238">
        <f t="shared" ca="1" si="29"/>
        <v>-9.3940817285109897E-4</v>
      </c>
      <c r="G238">
        <f t="shared" ca="1" si="30"/>
        <v>-1.6693345529384791E-2</v>
      </c>
      <c r="H238">
        <f t="shared" ca="1" si="31"/>
        <v>-7.9018901321196034E-3</v>
      </c>
      <c r="I238">
        <f t="shared" ca="1" si="32"/>
        <v>1.0624007815362126E-2</v>
      </c>
      <c r="O238">
        <f t="shared" ca="1" si="33"/>
        <v>1.2437604656725929</v>
      </c>
      <c r="P238">
        <f t="shared" ca="1" si="34"/>
        <v>1.3115754155863975</v>
      </c>
      <c r="Q238">
        <f t="shared" ca="1" si="35"/>
        <v>1.3097433757563111</v>
      </c>
      <c r="R238">
        <f t="shared" ca="1" si="36"/>
        <v>1.276963431569204</v>
      </c>
    </row>
    <row r="239" spans="1:18" x14ac:dyDescent="0.3">
      <c r="A239" s="2">
        <f ca="1">IFERROR(__xludf.DUMMYFUNCTION("""COMPUTED_VALUE"""),44568.6666666666)</f>
        <v>44568.666666666599</v>
      </c>
      <c r="B239" s="1">
        <f ca="1">IFERROR(__xludf.DUMMYFUNCTION("""COMPUTED_VALUE"""),466.09)</f>
        <v>466.09</v>
      </c>
      <c r="C239" s="1">
        <f ca="1">IFERROR(__xludf.DUMMYFUNCTION("""COMPUTED_VALUE"""),172.17)</f>
        <v>172.17</v>
      </c>
      <c r="D239" s="1">
        <f ca="1">IFERROR(__xludf.DUMMYFUNCTION("""COMPUTED_VALUE"""),314.04)</f>
        <v>314.04000000000002</v>
      </c>
      <c r="E239" s="1">
        <f ca="1">IFERROR(__xludf.DUMMYFUNCTION("""COMPUTED_VALUE"""),167.16)</f>
        <v>167.16</v>
      </c>
      <c r="F239">
        <f t="shared" ca="1" si="29"/>
        <v>-3.9534983117494185E-3</v>
      </c>
      <c r="G239">
        <f t="shared" ca="1" si="30"/>
        <v>9.8837209302318307E-4</v>
      </c>
      <c r="H239">
        <f t="shared" ca="1" si="31"/>
        <v>5.097489486428731E-4</v>
      </c>
      <c r="I239">
        <f t="shared" ca="1" si="32"/>
        <v>9.9081681971966307E-3</v>
      </c>
      <c r="O239">
        <f t="shared" ca="1" si="33"/>
        <v>1.2388432607713356</v>
      </c>
      <c r="P239">
        <f t="shared" ca="1" si="34"/>
        <v>1.3128717401250585</v>
      </c>
      <c r="Q239">
        <f t="shared" ca="1" si="35"/>
        <v>1.310411016065095</v>
      </c>
      <c r="R239">
        <f t="shared" ca="1" si="36"/>
        <v>1.2896158000308611</v>
      </c>
    </row>
    <row r="240" spans="1:18" x14ac:dyDescent="0.3">
      <c r="A240" s="2">
        <f ca="1">IFERROR(__xludf.DUMMYFUNCTION("""COMPUTED_VALUE"""),44571.6666666666)</f>
        <v>44571.666666666599</v>
      </c>
      <c r="B240" s="1">
        <f ca="1">IFERROR(__xludf.DUMMYFUNCTION("""COMPUTED_VALUE"""),465.51)</f>
        <v>465.51</v>
      </c>
      <c r="C240" s="1">
        <f ca="1">IFERROR(__xludf.DUMMYFUNCTION("""COMPUTED_VALUE"""),172.19)</f>
        <v>172.19</v>
      </c>
      <c r="D240" s="1">
        <f ca="1">IFERROR(__xludf.DUMMYFUNCTION("""COMPUTED_VALUE"""),314.27)</f>
        <v>314.27</v>
      </c>
      <c r="E240" s="1">
        <f ca="1">IFERROR(__xludf.DUMMYFUNCTION("""COMPUTED_VALUE"""),167.32)</f>
        <v>167.32</v>
      </c>
      <c r="F240">
        <f t="shared" ca="1" si="29"/>
        <v>-1.2443948593618918E-3</v>
      </c>
      <c r="G240">
        <f t="shared" ca="1" si="30"/>
        <v>1.1616425625840875E-4</v>
      </c>
      <c r="H240">
        <f t="shared" ca="1" si="31"/>
        <v>7.3239077824468644E-4</v>
      </c>
      <c r="I240">
        <f t="shared" ca="1" si="32"/>
        <v>9.5716678631249457E-4</v>
      </c>
      <c r="O240">
        <f t="shared" ca="1" si="33"/>
        <v>1.2373016505860766</v>
      </c>
      <c r="P240">
        <f t="shared" ca="1" si="34"/>
        <v>1.3130242488943127</v>
      </c>
      <c r="Q240">
        <f t="shared" ca="1" si="35"/>
        <v>1.3113707490089712</v>
      </c>
      <c r="R240">
        <f t="shared" ca="1" si="36"/>
        <v>1.2908501774417542</v>
      </c>
    </row>
    <row r="241" spans="1:18" x14ac:dyDescent="0.3">
      <c r="A241" s="2">
        <f ca="1">IFERROR(__xludf.DUMMYFUNCTION("""COMPUTED_VALUE"""),44572.6666666666)</f>
        <v>44572.666666666599</v>
      </c>
      <c r="B241" s="1">
        <f ca="1">IFERROR(__xludf.DUMMYFUNCTION("""COMPUTED_VALUE"""),469.75)</f>
        <v>469.75</v>
      </c>
      <c r="C241" s="1">
        <f ca="1">IFERROR(__xludf.DUMMYFUNCTION("""COMPUTED_VALUE"""),175.08)</f>
        <v>175.08</v>
      </c>
      <c r="D241" s="1">
        <f ca="1">IFERROR(__xludf.DUMMYFUNCTION("""COMPUTED_VALUE"""),314.98)</f>
        <v>314.98</v>
      </c>
      <c r="E241" s="1">
        <f ca="1">IFERROR(__xludf.DUMMYFUNCTION("""COMPUTED_VALUE"""),167.49)</f>
        <v>167.49</v>
      </c>
      <c r="F241">
        <f t="shared" ca="1" si="29"/>
        <v>9.1082898326566766E-3</v>
      </c>
      <c r="G241">
        <f t="shared" ca="1" si="30"/>
        <v>1.6783785353388786E-2</v>
      </c>
      <c r="H241">
        <f t="shared" ca="1" si="31"/>
        <v>2.259203869284489E-3</v>
      </c>
      <c r="I241">
        <f t="shared" ca="1" si="32"/>
        <v>1.0160172125269896E-3</v>
      </c>
      <c r="O241">
        <f t="shared" ca="1" si="33"/>
        <v>1.248571352630039</v>
      </c>
      <c r="P241">
        <f t="shared" ca="1" si="34"/>
        <v>1.3350617660515494</v>
      </c>
      <c r="Q241">
        <f t="shared" ca="1" si="35"/>
        <v>1.3143334028791989</v>
      </c>
      <c r="R241">
        <f t="shared" ca="1" si="36"/>
        <v>1.2921617034408286</v>
      </c>
    </row>
    <row r="242" spans="1:18" x14ac:dyDescent="0.3">
      <c r="A242" s="2">
        <f ca="1">IFERROR(__xludf.DUMMYFUNCTION("""COMPUTED_VALUE"""),44573.6666666666)</f>
        <v>44573.666666666599</v>
      </c>
      <c r="B242" s="1">
        <f ca="1">IFERROR(__xludf.DUMMYFUNCTION("""COMPUTED_VALUE"""),471.02)</f>
        <v>471.02</v>
      </c>
      <c r="C242" s="1">
        <f ca="1">IFERROR(__xludf.DUMMYFUNCTION("""COMPUTED_VALUE"""),175.53)</f>
        <v>175.53</v>
      </c>
      <c r="D242" s="1">
        <f ca="1">IFERROR(__xludf.DUMMYFUNCTION("""COMPUTED_VALUE"""),318.27)</f>
        <v>318.27</v>
      </c>
      <c r="E242" s="1">
        <f ca="1">IFERROR(__xludf.DUMMYFUNCTION("""COMPUTED_VALUE"""),168.44)</f>
        <v>168.44</v>
      </c>
      <c r="F242">
        <f t="shared" ca="1" si="29"/>
        <v>2.7035657264502006E-3</v>
      </c>
      <c r="G242">
        <f t="shared" ca="1" si="30"/>
        <v>2.5702535983549725E-3</v>
      </c>
      <c r="H242">
        <f t="shared" ca="1" si="31"/>
        <v>1.0445107625880893E-2</v>
      </c>
      <c r="I242">
        <f t="shared" ca="1" si="32"/>
        <v>5.6719804167412301E-3</v>
      </c>
      <c r="O242">
        <f t="shared" ca="1" si="33"/>
        <v>1.2519469473460372</v>
      </c>
      <c r="P242">
        <f t="shared" ca="1" si="34"/>
        <v>1.3384932133597696</v>
      </c>
      <c r="Q242">
        <f t="shared" ca="1" si="35"/>
        <v>1.3280617567285624</v>
      </c>
      <c r="R242">
        <f t="shared" ca="1" si="36"/>
        <v>1.2994908193180081</v>
      </c>
    </row>
    <row r="243" spans="1:18" x14ac:dyDescent="0.3">
      <c r="A243" s="2">
        <f ca="1">IFERROR(__xludf.DUMMYFUNCTION("""COMPUTED_VALUE"""),44574.6666666666)</f>
        <v>44574.666666666599</v>
      </c>
      <c r="B243" s="1">
        <f ca="1">IFERROR(__xludf.DUMMYFUNCTION("""COMPUTED_VALUE"""),464.53)</f>
        <v>464.53</v>
      </c>
      <c r="C243" s="1">
        <f ca="1">IFERROR(__xludf.DUMMYFUNCTION("""COMPUTED_VALUE"""),172.19)</f>
        <v>172.19</v>
      </c>
      <c r="D243" s="1">
        <f ca="1">IFERROR(__xludf.DUMMYFUNCTION("""COMPUTED_VALUE"""),304.8)</f>
        <v>304.8</v>
      </c>
      <c r="E243" s="1">
        <f ca="1">IFERROR(__xludf.DUMMYFUNCTION("""COMPUTED_VALUE"""),168.23)</f>
        <v>168.23</v>
      </c>
      <c r="F243">
        <f t="shared" ca="1" si="29"/>
        <v>-1.3778608127043457E-2</v>
      </c>
      <c r="G243">
        <f t="shared" ca="1" si="30"/>
        <v>-1.902808636700281E-2</v>
      </c>
      <c r="H243">
        <f t="shared" ca="1" si="31"/>
        <v>-4.2322556320105481E-2</v>
      </c>
      <c r="I243">
        <f t="shared" ca="1" si="32"/>
        <v>-1.2467347423415339E-3</v>
      </c>
      <c r="O243">
        <f t="shared" ca="1" si="33"/>
        <v>1.2346968609627078</v>
      </c>
      <c r="P243">
        <f t="shared" ca="1" si="34"/>
        <v>1.3130242488943127</v>
      </c>
      <c r="Q243">
        <f t="shared" ca="1" si="35"/>
        <v>1.2718547882328395</v>
      </c>
      <c r="R243">
        <f t="shared" ca="1" si="36"/>
        <v>1.2978706989662105</v>
      </c>
    </row>
    <row r="244" spans="1:18" x14ac:dyDescent="0.3">
      <c r="A244" s="2">
        <f ca="1">IFERROR(__xludf.DUMMYFUNCTION("""COMPUTED_VALUE"""),44575.6666666666)</f>
        <v>44575.666666666599</v>
      </c>
      <c r="B244" s="1">
        <f ca="1">IFERROR(__xludf.DUMMYFUNCTION("""COMPUTED_VALUE"""),464.72)</f>
        <v>464.72</v>
      </c>
      <c r="C244" s="1">
        <f ca="1">IFERROR(__xludf.DUMMYFUNCTION("""COMPUTED_VALUE"""),173.07)</f>
        <v>173.07</v>
      </c>
      <c r="D244" s="1">
        <f ca="1">IFERROR(__xludf.DUMMYFUNCTION("""COMPUTED_VALUE"""),310.2)</f>
        <v>310.2</v>
      </c>
      <c r="E244" s="1">
        <f ca="1">IFERROR(__xludf.DUMMYFUNCTION("""COMPUTED_VALUE"""),157.89)</f>
        <v>157.88999999999999</v>
      </c>
      <c r="F244">
        <f t="shared" ca="1" si="29"/>
        <v>4.0901556411868898E-4</v>
      </c>
      <c r="G244">
        <f t="shared" ca="1" si="30"/>
        <v>5.1106336024159095E-3</v>
      </c>
      <c r="H244">
        <f t="shared" ca="1" si="31"/>
        <v>1.771653543307079E-2</v>
      </c>
      <c r="I244">
        <f t="shared" ca="1" si="32"/>
        <v>-6.1463472626761009E-2</v>
      </c>
      <c r="O244">
        <f t="shared" ca="1" si="33"/>
        <v>1.2352018711958102</v>
      </c>
      <c r="P244">
        <f t="shared" ca="1" si="34"/>
        <v>1.3197346347414987</v>
      </c>
      <c r="Q244">
        <f t="shared" ca="1" si="35"/>
        <v>1.2943876486542873</v>
      </c>
      <c r="R244">
        <f t="shared" ca="1" si="36"/>
        <v>1.2180990587872258</v>
      </c>
    </row>
    <row r="245" spans="1:18" x14ac:dyDescent="0.3">
      <c r="A245" s="2">
        <f ca="1">IFERROR(__xludf.DUMMYFUNCTION("""COMPUTED_VALUE"""),44579.6666666666)</f>
        <v>44579.666666666599</v>
      </c>
      <c r="B245" s="1">
        <f ca="1">IFERROR(__xludf.DUMMYFUNCTION("""COMPUTED_VALUE"""),456.49)</f>
        <v>456.49</v>
      </c>
      <c r="C245" s="1">
        <f ca="1">IFERROR(__xludf.DUMMYFUNCTION("""COMPUTED_VALUE"""),169.8)</f>
        <v>169.8</v>
      </c>
      <c r="D245" s="1">
        <f ca="1">IFERROR(__xludf.DUMMYFUNCTION("""COMPUTED_VALUE"""),302.65)</f>
        <v>302.64999999999998</v>
      </c>
      <c r="E245" s="1">
        <f ca="1">IFERROR(__xludf.DUMMYFUNCTION("""COMPUTED_VALUE"""),151.27)</f>
        <v>151.27000000000001</v>
      </c>
      <c r="F245">
        <f t="shared" ca="1" si="29"/>
        <v>-1.770958856946122E-2</v>
      </c>
      <c r="G245">
        <f t="shared" ca="1" si="30"/>
        <v>-1.8894089096897104E-2</v>
      </c>
      <c r="H245">
        <f t="shared" ca="1" si="31"/>
        <v>-2.433913604126374E-2</v>
      </c>
      <c r="I245">
        <f t="shared" ca="1" si="32"/>
        <v>-4.1927924504401651E-2</v>
      </c>
      <c r="O245">
        <f t="shared" ca="1" si="33"/>
        <v>1.2133269542567038</v>
      </c>
      <c r="P245">
        <f t="shared" ca="1" si="34"/>
        <v>1.2947994509684317</v>
      </c>
      <c r="Q245">
        <f t="shared" ca="1" si="35"/>
        <v>1.2628833715835592</v>
      </c>
      <c r="R245">
        <f t="shared" ca="1" si="36"/>
        <v>1.1670266934115123</v>
      </c>
    </row>
    <row r="246" spans="1:18" x14ac:dyDescent="0.3">
      <c r="A246" s="2">
        <f ca="1">IFERROR(__xludf.DUMMYFUNCTION("""COMPUTED_VALUE"""),44580.6666666666)</f>
        <v>44580.666666666599</v>
      </c>
      <c r="B246" s="1">
        <f ca="1">IFERROR(__xludf.DUMMYFUNCTION("""COMPUTED_VALUE"""),451.75)</f>
        <v>451.75</v>
      </c>
      <c r="C246" s="1">
        <f ca="1">IFERROR(__xludf.DUMMYFUNCTION("""COMPUTED_VALUE"""),166.23)</f>
        <v>166.23</v>
      </c>
      <c r="D246" s="1">
        <f ca="1">IFERROR(__xludf.DUMMYFUNCTION("""COMPUTED_VALUE"""),303.33)</f>
        <v>303.33</v>
      </c>
      <c r="E246" s="1">
        <f ca="1">IFERROR(__xludf.DUMMYFUNCTION("""COMPUTED_VALUE"""),148.93)</f>
        <v>148.93</v>
      </c>
      <c r="F246">
        <f t="shared" ca="1" si="29"/>
        <v>-1.0383579048829129E-2</v>
      </c>
      <c r="G246">
        <f t="shared" ca="1" si="30"/>
        <v>-2.1024734982332281E-2</v>
      </c>
      <c r="H246">
        <f t="shared" ca="1" si="31"/>
        <v>2.2468197587973133E-3</v>
      </c>
      <c r="I246">
        <f t="shared" ca="1" si="32"/>
        <v>-1.5469028888742006E-2</v>
      </c>
      <c r="O246">
        <f t="shared" ca="1" si="33"/>
        <v>1.2007282779151043</v>
      </c>
      <c r="P246">
        <f t="shared" ca="1" si="34"/>
        <v>1.2675766356565512</v>
      </c>
      <c r="Q246">
        <f t="shared" ca="1" si="35"/>
        <v>1.2657208428958897</v>
      </c>
      <c r="R246">
        <f t="shared" ca="1" si="36"/>
        <v>1.1489739237771965</v>
      </c>
    </row>
    <row r="247" spans="1:18" x14ac:dyDescent="0.3">
      <c r="A247" s="2">
        <f ca="1">IFERROR(__xludf.DUMMYFUNCTION("""COMPUTED_VALUE"""),44581.6666666666)</f>
        <v>44581.666666666599</v>
      </c>
      <c r="B247" s="1">
        <f ca="1">IFERROR(__xludf.DUMMYFUNCTION("""COMPUTED_VALUE"""),446.75)</f>
        <v>446.75</v>
      </c>
      <c r="C247" s="1">
        <f ca="1">IFERROR(__xludf.DUMMYFUNCTION("""COMPUTED_VALUE"""),164.51)</f>
        <v>164.51</v>
      </c>
      <c r="D247" s="1">
        <f ca="1">IFERROR(__xludf.DUMMYFUNCTION("""COMPUTED_VALUE"""),301.6)</f>
        <v>301.60000000000002</v>
      </c>
      <c r="E247" s="1">
        <f ca="1">IFERROR(__xludf.DUMMYFUNCTION("""COMPUTED_VALUE"""),147.66)</f>
        <v>147.66</v>
      </c>
      <c r="F247">
        <f t="shared" ca="1" si="29"/>
        <v>-1.1068068622025456E-2</v>
      </c>
      <c r="G247">
        <f t="shared" ca="1" si="30"/>
        <v>-1.0347109426697943E-2</v>
      </c>
      <c r="H247">
        <f t="shared" ca="1" si="31"/>
        <v>-5.7033593775754508E-3</v>
      </c>
      <c r="I247">
        <f t="shared" ca="1" si="32"/>
        <v>-8.5274961391258314E-3</v>
      </c>
      <c r="O247">
        <f t="shared" ca="1" si="33"/>
        <v>1.1874385349387335</v>
      </c>
      <c r="P247">
        <f t="shared" ca="1" si="34"/>
        <v>1.2544608815006872</v>
      </c>
      <c r="Q247">
        <f t="shared" ca="1" si="35"/>
        <v>1.2585019820571668</v>
      </c>
      <c r="R247">
        <f t="shared" ca="1" si="36"/>
        <v>1.1391760530782302</v>
      </c>
    </row>
    <row r="248" spans="1:18" x14ac:dyDescent="0.3">
      <c r="A248" s="2">
        <f ca="1">IFERROR(__xludf.DUMMYFUNCTION("""COMPUTED_VALUE"""),44582.6666666666)</f>
        <v>44582.666666666599</v>
      </c>
      <c r="B248" s="1">
        <f ca="1">IFERROR(__xludf.DUMMYFUNCTION("""COMPUTED_VALUE"""),437.98)</f>
        <v>437.98</v>
      </c>
      <c r="C248" s="1">
        <f ca="1">IFERROR(__xludf.DUMMYFUNCTION("""COMPUTED_VALUE"""),162.41)</f>
        <v>162.41</v>
      </c>
      <c r="D248" s="1">
        <f ca="1">IFERROR(__xludf.DUMMYFUNCTION("""COMPUTED_VALUE"""),296.03)</f>
        <v>296.02999999999997</v>
      </c>
      <c r="E248" s="1">
        <f ca="1">IFERROR(__xludf.DUMMYFUNCTION("""COMPUTED_VALUE"""),145.08)</f>
        <v>145.08000000000001</v>
      </c>
      <c r="F248">
        <f t="shared" ca="1" si="29"/>
        <v>-1.9630665920537173E-2</v>
      </c>
      <c r="G248">
        <f t="shared" ca="1" si="30"/>
        <v>-1.2765181447936261E-2</v>
      </c>
      <c r="H248">
        <f t="shared" ca="1" si="31"/>
        <v>-1.8468169761273374E-2</v>
      </c>
      <c r="I248">
        <f t="shared" ca="1" si="32"/>
        <v>-1.7472572125152269E-2</v>
      </c>
      <c r="O248">
        <f t="shared" ca="1" si="33"/>
        <v>1.1641283257581791</v>
      </c>
      <c r="P248">
        <f t="shared" ca="1" si="34"/>
        <v>1.2384474607289928</v>
      </c>
      <c r="Q248">
        <f t="shared" ca="1" si="35"/>
        <v>1.235259753807636</v>
      </c>
      <c r="R248">
        <f t="shared" ca="1" si="36"/>
        <v>1.1192717173275746</v>
      </c>
    </row>
    <row r="249" spans="1:18" x14ac:dyDescent="0.3">
      <c r="A249" s="2">
        <f ca="1">IFERROR(__xludf.DUMMYFUNCTION("""COMPUTED_VALUE"""),44585.6666666666)</f>
        <v>44585.666666666599</v>
      </c>
      <c r="B249" s="1">
        <f ca="1">IFERROR(__xludf.DUMMYFUNCTION("""COMPUTED_VALUE"""),439.84)</f>
        <v>439.84</v>
      </c>
      <c r="C249" s="1">
        <f ca="1">IFERROR(__xludf.DUMMYFUNCTION("""COMPUTED_VALUE"""),161.62)</f>
        <v>161.62</v>
      </c>
      <c r="D249" s="1">
        <f ca="1">IFERROR(__xludf.DUMMYFUNCTION("""COMPUTED_VALUE"""),296.37)</f>
        <v>296.37</v>
      </c>
      <c r="E249" s="1">
        <f ca="1">IFERROR(__xludf.DUMMYFUNCTION("""COMPUTED_VALUE"""),144.95)</f>
        <v>144.94999999999999</v>
      </c>
      <c r="F249">
        <f t="shared" ca="1" si="29"/>
        <v>4.2467692588701693E-3</v>
      </c>
      <c r="G249">
        <f t="shared" ca="1" si="30"/>
        <v>-4.8642324979988431E-3</v>
      </c>
      <c r="H249">
        <f t="shared" ca="1" si="31"/>
        <v>1.1485322433538218E-3</v>
      </c>
      <c r="I249">
        <f t="shared" ca="1" si="32"/>
        <v>-8.9605734767041537E-4</v>
      </c>
      <c r="O249">
        <f t="shared" ca="1" si="33"/>
        <v>1.1690721101453889</v>
      </c>
      <c r="P249">
        <f t="shared" ca="1" si="34"/>
        <v>1.2324233643434508</v>
      </c>
      <c r="Q249">
        <f t="shared" ca="1" si="35"/>
        <v>1.2366784894638012</v>
      </c>
      <c r="R249">
        <f t="shared" ca="1" si="36"/>
        <v>1.1182687856812235</v>
      </c>
    </row>
    <row r="250" spans="1:18" x14ac:dyDescent="0.3">
      <c r="A250" s="2">
        <f ca="1">IFERROR(__xludf.DUMMYFUNCTION("""COMPUTED_VALUE"""),44586.6666666666)</f>
        <v>44586.666666666599</v>
      </c>
      <c r="B250" s="1">
        <f ca="1">IFERROR(__xludf.DUMMYFUNCTION("""COMPUTED_VALUE"""),434.47)</f>
        <v>434.47</v>
      </c>
      <c r="C250" s="1">
        <f ca="1">IFERROR(__xludf.DUMMYFUNCTION("""COMPUTED_VALUE"""),159.78)</f>
        <v>159.78</v>
      </c>
      <c r="D250" s="1">
        <f ca="1">IFERROR(__xludf.DUMMYFUNCTION("""COMPUTED_VALUE"""),288.49)</f>
        <v>288.49</v>
      </c>
      <c r="E250" s="1">
        <f ca="1">IFERROR(__xludf.DUMMYFUNCTION("""COMPUTED_VALUE"""),146.53)</f>
        <v>146.53</v>
      </c>
      <c r="F250">
        <f t="shared" ca="1" si="29"/>
        <v>-1.2208985085485513E-2</v>
      </c>
      <c r="G250">
        <f t="shared" ca="1" si="30"/>
        <v>-1.138472961267172E-2</v>
      </c>
      <c r="H250">
        <f t="shared" ca="1" si="31"/>
        <v>-2.6588386138947921E-2</v>
      </c>
      <c r="I250">
        <f t="shared" ca="1" si="32"/>
        <v>1.0900310451880045E-2</v>
      </c>
      <c r="O250">
        <f t="shared" ca="1" si="33"/>
        <v>1.1547989261887668</v>
      </c>
      <c r="P250">
        <f t="shared" ca="1" si="34"/>
        <v>1.2183925575720616</v>
      </c>
      <c r="Q250">
        <f t="shared" ca="1" si="35"/>
        <v>1.2037972042562068</v>
      </c>
      <c r="R250">
        <f t="shared" ca="1" si="36"/>
        <v>1.1304582626137958</v>
      </c>
    </row>
    <row r="251" spans="1:18" x14ac:dyDescent="0.3">
      <c r="A251" s="2">
        <f ca="1">IFERROR(__xludf.DUMMYFUNCTION("""COMPUTED_VALUE"""),44587.6666666666)</f>
        <v>44587.666666666599</v>
      </c>
      <c r="B251" s="1">
        <f ca="1">IFERROR(__xludf.DUMMYFUNCTION("""COMPUTED_VALUE"""),433.38)</f>
        <v>433.38</v>
      </c>
      <c r="C251" s="1">
        <f ca="1">IFERROR(__xludf.DUMMYFUNCTION("""COMPUTED_VALUE"""),159.69)</f>
        <v>159.69</v>
      </c>
      <c r="D251" s="1">
        <f ca="1">IFERROR(__xludf.DUMMYFUNCTION("""COMPUTED_VALUE"""),296.71)</f>
        <v>296.70999999999998</v>
      </c>
      <c r="E251" s="1">
        <f ca="1">IFERROR(__xludf.DUMMYFUNCTION("""COMPUTED_VALUE"""),147.92)</f>
        <v>147.91999999999999</v>
      </c>
      <c r="F251">
        <f t="shared" ca="1" si="29"/>
        <v>-2.5088038299538097E-3</v>
      </c>
      <c r="G251">
        <f t="shared" ca="1" si="30"/>
        <v>-5.6327450244087753E-4</v>
      </c>
      <c r="H251">
        <f t="shared" ca="1" si="31"/>
        <v>2.8493188672050921E-2</v>
      </c>
      <c r="I251">
        <f t="shared" ca="1" si="32"/>
        <v>9.486112058963941E-3</v>
      </c>
      <c r="O251">
        <f t="shared" ca="1" si="33"/>
        <v>1.1519017622199179</v>
      </c>
      <c r="P251">
        <f t="shared" ca="1" si="34"/>
        <v>1.2177062681104176</v>
      </c>
      <c r="Q251">
        <f t="shared" ca="1" si="35"/>
        <v>1.2380972251199664</v>
      </c>
      <c r="R251">
        <f t="shared" ca="1" si="36"/>
        <v>1.141181916370932</v>
      </c>
    </row>
    <row r="252" spans="1:18" x14ac:dyDescent="0.3">
      <c r="A252" s="2">
        <f ca="1">IFERROR(__xludf.DUMMYFUNCTION("""COMPUTED_VALUE"""),44588.6666666666)</f>
        <v>44588.666666666599</v>
      </c>
      <c r="B252" s="1">
        <f ca="1">IFERROR(__xludf.DUMMYFUNCTION("""COMPUTED_VALUE"""),431.24)</f>
        <v>431.24</v>
      </c>
      <c r="C252" s="1">
        <f ca="1">IFERROR(__xludf.DUMMYFUNCTION("""COMPUTED_VALUE"""),159.22)</f>
        <v>159.22</v>
      </c>
      <c r="D252" s="1">
        <f ca="1">IFERROR(__xludf.DUMMYFUNCTION("""COMPUTED_VALUE"""),299.84)</f>
        <v>299.83999999999997</v>
      </c>
      <c r="E252" s="1">
        <f ca="1">IFERROR(__xludf.DUMMYFUNCTION("""COMPUTED_VALUE"""),145.31)</f>
        <v>145.31</v>
      </c>
      <c r="F252">
        <f t="shared" ca="1" si="29"/>
        <v>-4.9379297614102783E-3</v>
      </c>
      <c r="G252">
        <f t="shared" ca="1" si="30"/>
        <v>-2.9432024547560828E-3</v>
      </c>
      <c r="H252">
        <f t="shared" ca="1" si="31"/>
        <v>1.0549020929527133E-2</v>
      </c>
      <c r="I252">
        <f t="shared" ca="1" si="32"/>
        <v>-1.7644672796105904E-2</v>
      </c>
      <c r="O252">
        <f t="shared" ca="1" si="33"/>
        <v>1.1462137522260312</v>
      </c>
      <c r="P252">
        <f t="shared" ca="1" si="34"/>
        <v>1.2141223120329432</v>
      </c>
      <c r="Q252">
        <f t="shared" ca="1" si="35"/>
        <v>1.2511579386605465</v>
      </c>
      <c r="R252">
        <f t="shared" ca="1" si="36"/>
        <v>1.1210461348557339</v>
      </c>
    </row>
    <row r="253" spans="1:18" x14ac:dyDescent="0.3">
      <c r="A253" s="2">
        <f ca="1">IFERROR(__xludf.DUMMYFUNCTION("""COMPUTED_VALUE"""),44589.6666666666)</f>
        <v>44589.666666666599</v>
      </c>
      <c r="B253" s="1">
        <f ca="1">IFERROR(__xludf.DUMMYFUNCTION("""COMPUTED_VALUE"""),441.95)</f>
        <v>441.95</v>
      </c>
      <c r="C253" s="1">
        <f ca="1">IFERROR(__xludf.DUMMYFUNCTION("""COMPUTED_VALUE"""),170.33)</f>
        <v>170.33</v>
      </c>
      <c r="D253" s="1">
        <f ca="1">IFERROR(__xludf.DUMMYFUNCTION("""COMPUTED_VALUE"""),308.26)</f>
        <v>308.26</v>
      </c>
      <c r="E253" s="1">
        <f ca="1">IFERROR(__xludf.DUMMYFUNCTION("""COMPUTED_VALUE"""),146.61)</f>
        <v>146.61000000000001</v>
      </c>
      <c r="F253">
        <f t="shared" ca="1" si="29"/>
        <v>2.4835358501066645E-2</v>
      </c>
      <c r="G253">
        <f t="shared" ca="1" si="30"/>
        <v>6.9777666122346524E-2</v>
      </c>
      <c r="H253">
        <f t="shared" ca="1" si="31"/>
        <v>2.8081643543223109E-2</v>
      </c>
      <c r="I253">
        <f t="shared" ca="1" si="32"/>
        <v>8.946390475535141E-3</v>
      </c>
      <c r="O253">
        <f t="shared" ca="1" si="33"/>
        <v>1.1746803816814173</v>
      </c>
      <c r="P253">
        <f t="shared" ca="1" si="34"/>
        <v>1.2988409333536695</v>
      </c>
      <c r="Q253">
        <f t="shared" ca="1" si="35"/>
        <v>1.2862925099102858</v>
      </c>
      <c r="R253">
        <f t="shared" ca="1" si="36"/>
        <v>1.1310754513192427</v>
      </c>
    </row>
    <row r="254" spans="1:18" x14ac:dyDescent="0.3">
      <c r="A254" s="2">
        <f ca="1">IFERROR(__xludf.DUMMYFUNCTION("""COMPUTED_VALUE"""),44592.6666666666)</f>
        <v>44592.666666666599</v>
      </c>
      <c r="B254" s="1">
        <f ca="1">IFERROR(__xludf.DUMMYFUNCTION("""COMPUTED_VALUE"""),449.91)</f>
        <v>449.91</v>
      </c>
      <c r="C254" s="1">
        <f ca="1">IFERROR(__xludf.DUMMYFUNCTION("""COMPUTED_VALUE"""),174.78)</f>
        <v>174.78</v>
      </c>
      <c r="D254" s="1">
        <f ca="1">IFERROR(__xludf.DUMMYFUNCTION("""COMPUTED_VALUE"""),310.98)</f>
        <v>310.98</v>
      </c>
      <c r="E254" s="1">
        <f ca="1">IFERROR(__xludf.DUMMYFUNCTION("""COMPUTED_VALUE"""),148.6)</f>
        <v>148.6</v>
      </c>
      <c r="F254">
        <f t="shared" ca="1" si="29"/>
        <v>1.8011087227061968E-2</v>
      </c>
      <c r="G254">
        <f t="shared" ca="1" si="30"/>
        <v>2.6125755885633702E-2</v>
      </c>
      <c r="H254">
        <f t="shared" ca="1" si="31"/>
        <v>8.823720236164366E-3</v>
      </c>
      <c r="I254">
        <f t="shared" ca="1" si="32"/>
        <v>1.357342609644622E-2</v>
      </c>
      <c r="O254">
        <f t="shared" ca="1" si="33"/>
        <v>1.1958376524997998</v>
      </c>
      <c r="P254">
        <f t="shared" ca="1" si="34"/>
        <v>1.332774134512736</v>
      </c>
      <c r="Q254">
        <f t="shared" ca="1" si="35"/>
        <v>1.2976423951596077</v>
      </c>
      <c r="R254">
        <f t="shared" ca="1" si="36"/>
        <v>1.146428020367229</v>
      </c>
    </row>
    <row r="255" spans="1:18" x14ac:dyDescent="0.3">
      <c r="A255" s="2">
        <f ca="1">IFERROR(__xludf.DUMMYFUNCTION("""COMPUTED_VALUE"""),44593.6666666666)</f>
        <v>44593.666666666599</v>
      </c>
      <c r="B255" s="1">
        <f ca="1">IFERROR(__xludf.DUMMYFUNCTION("""COMPUTED_VALUE"""),452.95)</f>
        <v>452.95</v>
      </c>
      <c r="C255" s="1">
        <f ca="1">IFERROR(__xludf.DUMMYFUNCTION("""COMPUTED_VALUE"""),174.61)</f>
        <v>174.61</v>
      </c>
      <c r="D255" s="1">
        <f ca="1">IFERROR(__xludf.DUMMYFUNCTION("""COMPUTED_VALUE"""),308.76)</f>
        <v>308.76</v>
      </c>
      <c r="E255" s="1">
        <f ca="1">IFERROR(__xludf.DUMMYFUNCTION("""COMPUTED_VALUE"""),151.15)</f>
        <v>151.15</v>
      </c>
      <c r="F255">
        <f t="shared" ca="1" si="29"/>
        <v>6.7569069369428627E-3</v>
      </c>
      <c r="G255">
        <f t="shared" ca="1" si="30"/>
        <v>-9.7265133310440262E-4</v>
      </c>
      <c r="H255">
        <f t="shared" ca="1" si="31"/>
        <v>-7.1387227474436531E-3</v>
      </c>
      <c r="I255">
        <f t="shared" ca="1" si="32"/>
        <v>1.7160161507402499E-2</v>
      </c>
      <c r="O255">
        <f t="shared" ca="1" si="33"/>
        <v>1.2039178162294331</v>
      </c>
      <c r="P255">
        <f t="shared" ca="1" si="34"/>
        <v>1.3314778099740752</v>
      </c>
      <c r="Q255">
        <f t="shared" ca="1" si="35"/>
        <v>1.2883788858752345</v>
      </c>
      <c r="R255">
        <f t="shared" ca="1" si="36"/>
        <v>1.1661009103533422</v>
      </c>
    </row>
    <row r="256" spans="1:18" x14ac:dyDescent="0.3">
      <c r="A256" s="2">
        <f ca="1">IFERROR(__xludf.DUMMYFUNCTION("""COMPUTED_VALUE"""),44594.6666666666)</f>
        <v>44594.666666666599</v>
      </c>
      <c r="B256" s="1">
        <f ca="1">IFERROR(__xludf.DUMMYFUNCTION("""COMPUTED_VALUE"""),457.35)</f>
        <v>457.35</v>
      </c>
      <c r="C256" s="1">
        <f ca="1">IFERROR(__xludf.DUMMYFUNCTION("""COMPUTED_VALUE"""),175.84)</f>
        <v>175.84</v>
      </c>
      <c r="D256" s="1">
        <f ca="1">IFERROR(__xludf.DUMMYFUNCTION("""COMPUTED_VALUE"""),313.46)</f>
        <v>313.45999999999998</v>
      </c>
      <c r="E256" s="1">
        <f ca="1">IFERROR(__xludf.DUMMYFUNCTION("""COMPUTED_VALUE"""),149.94)</f>
        <v>149.94</v>
      </c>
      <c r="F256">
        <f t="shared" ca="1" si="29"/>
        <v>9.7140964786401017E-3</v>
      </c>
      <c r="G256">
        <f t="shared" ca="1" si="30"/>
        <v>7.0442700876237885E-3</v>
      </c>
      <c r="H256">
        <f t="shared" ca="1" si="31"/>
        <v>1.5222179038735552E-2</v>
      </c>
      <c r="I256">
        <f t="shared" ca="1" si="32"/>
        <v>-8.0052927555409065E-3</v>
      </c>
      <c r="O256">
        <f t="shared" ca="1" si="33"/>
        <v>1.2156127900486395</v>
      </c>
      <c r="P256">
        <f t="shared" ca="1" si="34"/>
        <v>1.3408570992832105</v>
      </c>
      <c r="Q256">
        <f t="shared" ca="1" si="35"/>
        <v>1.3079908199457539</v>
      </c>
      <c r="R256">
        <f t="shared" ca="1" si="36"/>
        <v>1.1567659311834608</v>
      </c>
    </row>
    <row r="257" spans="1:18" x14ac:dyDescent="0.3">
      <c r="A257" s="2">
        <f ca="1">IFERROR(__xludf.DUMMYFUNCTION("""COMPUTED_VALUE"""),44595.6666666666)</f>
        <v>44595.666666666599</v>
      </c>
      <c r="B257" s="1">
        <f ca="1">IFERROR(__xludf.DUMMYFUNCTION("""COMPUTED_VALUE"""),446.6)</f>
        <v>446.6</v>
      </c>
      <c r="C257" s="1">
        <f ca="1">IFERROR(__xludf.DUMMYFUNCTION("""COMPUTED_VALUE"""),172.9)</f>
        <v>172.9</v>
      </c>
      <c r="D257" s="1">
        <f ca="1">IFERROR(__xludf.DUMMYFUNCTION("""COMPUTED_VALUE"""),301.25)</f>
        <v>301.25</v>
      </c>
      <c r="E257" s="1">
        <f ca="1">IFERROR(__xludf.DUMMYFUNCTION("""COMPUTED_VALUE"""),148.7)</f>
        <v>148.69999999999999</v>
      </c>
      <c r="F257">
        <f t="shared" ca="1" si="29"/>
        <v>-2.3504974308516453E-2</v>
      </c>
      <c r="G257">
        <f t="shared" ca="1" si="30"/>
        <v>-1.6719745222929922E-2</v>
      </c>
      <c r="H257">
        <f t="shared" ca="1" si="31"/>
        <v>-3.8952338416384805E-2</v>
      </c>
      <c r="I257">
        <f t="shared" ca="1" si="32"/>
        <v>-8.269974656529339E-3</v>
      </c>
      <c r="O257">
        <f t="shared" ca="1" si="33"/>
        <v>1.1870398426494422</v>
      </c>
      <c r="P257">
        <f t="shared" ca="1" si="34"/>
        <v>1.3184383102028383</v>
      </c>
      <c r="Q257">
        <f t="shared" ca="1" si="35"/>
        <v>1.2570415188817023</v>
      </c>
      <c r="R257">
        <f t="shared" ca="1" si="36"/>
        <v>1.147199506249037</v>
      </c>
    </row>
    <row r="258" spans="1:18" x14ac:dyDescent="0.3">
      <c r="A258" s="2">
        <f ca="1">IFERROR(__xludf.DUMMYFUNCTION("""COMPUTED_VALUE"""),44596.6666666666)</f>
        <v>44596.666666666599</v>
      </c>
      <c r="B258" s="1">
        <f ca="1">IFERROR(__xludf.DUMMYFUNCTION("""COMPUTED_VALUE"""),448.7)</f>
        <v>448.7</v>
      </c>
      <c r="C258" s="1">
        <f ca="1">IFERROR(__xludf.DUMMYFUNCTION("""COMPUTED_VALUE"""),172.39)</f>
        <v>172.39</v>
      </c>
      <c r="D258" s="1">
        <f ca="1">IFERROR(__xludf.DUMMYFUNCTION("""COMPUTED_VALUE"""),305.94)</f>
        <v>305.94</v>
      </c>
      <c r="E258" s="1">
        <f ca="1">IFERROR(__xludf.DUMMYFUNCTION("""COMPUTED_VALUE"""),152.56)</f>
        <v>152.56</v>
      </c>
      <c r="F258">
        <f t="shared" ca="1" si="29"/>
        <v>4.7021943573666942E-3</v>
      </c>
      <c r="G258">
        <f t="shared" ca="1" si="30"/>
        <v>-2.9496818970504296E-3</v>
      </c>
      <c r="H258">
        <f t="shared" ca="1" si="31"/>
        <v>1.5568464730290449E-2</v>
      </c>
      <c r="I258">
        <f t="shared" ca="1" si="32"/>
        <v>2.5958305312710248E-2</v>
      </c>
      <c r="O258">
        <f t="shared" ca="1" si="33"/>
        <v>1.1926215346995177</v>
      </c>
      <c r="P258">
        <f t="shared" ca="1" si="34"/>
        <v>1.3145493365868552</v>
      </c>
      <c r="Q258">
        <f t="shared" ca="1" si="35"/>
        <v>1.276611725432923</v>
      </c>
      <c r="R258">
        <f t="shared" ca="1" si="36"/>
        <v>1.1769788612868399</v>
      </c>
    </row>
    <row r="259" spans="1:18" x14ac:dyDescent="0.3">
      <c r="A259" s="2">
        <f ca="1">IFERROR(__xludf.DUMMYFUNCTION("""COMPUTED_VALUE"""),44599.6666666666)</f>
        <v>44599.666666666599</v>
      </c>
      <c r="B259" s="1">
        <f ca="1">IFERROR(__xludf.DUMMYFUNCTION("""COMPUTED_VALUE"""),447.26)</f>
        <v>447.26</v>
      </c>
      <c r="C259" s="1">
        <f ca="1">IFERROR(__xludf.DUMMYFUNCTION("""COMPUTED_VALUE"""),171.66)</f>
        <v>171.66</v>
      </c>
      <c r="D259" s="1">
        <f ca="1">IFERROR(__xludf.DUMMYFUNCTION("""COMPUTED_VALUE"""),300.95)</f>
        <v>300.95</v>
      </c>
      <c r="E259" s="1">
        <f ca="1">IFERROR(__xludf.DUMMYFUNCTION("""COMPUTED_VALUE"""),153.07)</f>
        <v>153.07</v>
      </c>
      <c r="F259">
        <f t="shared" ca="1" si="29"/>
        <v>-3.2092712279919717E-3</v>
      </c>
      <c r="G259">
        <f t="shared" ca="1" si="30"/>
        <v>-4.2345843726433654E-3</v>
      </c>
      <c r="H259">
        <f t="shared" ca="1" si="31"/>
        <v>-1.6310387657710691E-2</v>
      </c>
      <c r="I259">
        <f t="shared" ca="1" si="32"/>
        <v>3.3429470372311936E-3</v>
      </c>
      <c r="O259">
        <f t="shared" ca="1" si="33"/>
        <v>1.188794088722323</v>
      </c>
      <c r="P259">
        <f t="shared" ca="1" si="34"/>
        <v>1.3089827665090759</v>
      </c>
      <c r="Q259">
        <f t="shared" ca="1" si="35"/>
        <v>1.2557896933027333</v>
      </c>
      <c r="R259">
        <f t="shared" ca="1" si="36"/>
        <v>1.1809134392840626</v>
      </c>
    </row>
    <row r="260" spans="1:18" x14ac:dyDescent="0.3">
      <c r="A260" s="2">
        <f ca="1">IFERROR(__xludf.DUMMYFUNCTION("""COMPUTED_VALUE"""),44600.6666666666)</f>
        <v>44600.666666666599</v>
      </c>
      <c r="B260" s="1">
        <f ca="1">IFERROR(__xludf.DUMMYFUNCTION("""COMPUTED_VALUE"""),450.94)</f>
        <v>450.94</v>
      </c>
      <c r="C260" s="1">
        <f ca="1">IFERROR(__xludf.DUMMYFUNCTION("""COMPUTED_VALUE"""),174.83)</f>
        <v>174.83</v>
      </c>
      <c r="D260" s="1">
        <f ca="1">IFERROR(__xludf.DUMMYFUNCTION("""COMPUTED_VALUE"""),304.56)</f>
        <v>304.56</v>
      </c>
      <c r="E260" s="1">
        <f ca="1">IFERROR(__xludf.DUMMYFUNCTION("""COMPUTED_VALUE"""),155.95)</f>
        <v>155.94999999999999</v>
      </c>
      <c r="F260">
        <f t="shared" ref="F260:F323" ca="1" si="37">(B260-B259)/B259</f>
        <v>8.2278764029870919E-3</v>
      </c>
      <c r="G260">
        <f t="shared" ref="G260:G323" ca="1" si="38">(C260-C259)/C259</f>
        <v>1.8466736572294164E-2</v>
      </c>
      <c r="H260">
        <f t="shared" ref="H260:H323" ca="1" si="39">(D260-D259)/D259</f>
        <v>1.1995348064462581E-2</v>
      </c>
      <c r="I260">
        <f t="shared" ref="I260:I323" ca="1" si="40">(E260-E259)/E259</f>
        <v>1.8814921277846709E-2</v>
      </c>
      <c r="O260">
        <f t="shared" ref="O260:O323" ca="1" si="41">O259*(1+F260)</f>
        <v>1.1985753395529319</v>
      </c>
      <c r="P260">
        <f t="shared" ref="P260:P323" ca="1" si="42">P259*(1+G260)</f>
        <v>1.3331554064358717</v>
      </c>
      <c r="Q260">
        <f t="shared" ref="Q260:Q323" ca="1" si="43">Q259*(1+H260)</f>
        <v>1.2708533277696643</v>
      </c>
      <c r="R260">
        <f t="shared" ref="R260:R323" ca="1" si="44">R259*(1+I260)</f>
        <v>1.2031322326801435</v>
      </c>
    </row>
    <row r="261" spans="1:18" x14ac:dyDescent="0.3">
      <c r="A261" s="2">
        <f ca="1">IFERROR(__xludf.DUMMYFUNCTION("""COMPUTED_VALUE"""),44601.6666666666)</f>
        <v>44601.666666666599</v>
      </c>
      <c r="B261" s="1">
        <f ca="1">IFERROR(__xludf.DUMMYFUNCTION("""COMPUTED_VALUE"""),457.54)</f>
        <v>457.54</v>
      </c>
      <c r="C261" s="1">
        <f ca="1">IFERROR(__xludf.DUMMYFUNCTION("""COMPUTED_VALUE"""),176.28)</f>
        <v>176.28</v>
      </c>
      <c r="D261" s="1">
        <f ca="1">IFERROR(__xludf.DUMMYFUNCTION("""COMPUTED_VALUE"""),311.21)</f>
        <v>311.20999999999998</v>
      </c>
      <c r="E261" s="1">
        <f ca="1">IFERROR(__xludf.DUMMYFUNCTION("""COMPUTED_VALUE"""),156.6)</f>
        <v>156.6</v>
      </c>
      <c r="F261">
        <f t="shared" ca="1" si="37"/>
        <v>1.4636093493591216E-2</v>
      </c>
      <c r="G261">
        <f t="shared" ca="1" si="38"/>
        <v>8.2937710919177982E-3</v>
      </c>
      <c r="H261">
        <f t="shared" ca="1" si="39"/>
        <v>2.1834778040451724E-2</v>
      </c>
      <c r="I261">
        <f t="shared" ca="1" si="40"/>
        <v>4.1680025649246917E-3</v>
      </c>
      <c r="O261">
        <f t="shared" ca="1" si="41"/>
        <v>1.2161178002817414</v>
      </c>
      <c r="P261">
        <f t="shared" ca="1" si="42"/>
        <v>1.3442122922068034</v>
      </c>
      <c r="Q261">
        <f t="shared" ca="1" si="43"/>
        <v>1.2986021281034843</v>
      </c>
      <c r="R261">
        <f t="shared" ca="1" si="44"/>
        <v>1.2081468909118978</v>
      </c>
    </row>
    <row r="262" spans="1:18" x14ac:dyDescent="0.3">
      <c r="A262" s="2">
        <f ca="1">IFERROR(__xludf.DUMMYFUNCTION("""COMPUTED_VALUE"""),44602.6666666666)</f>
        <v>44602.666666666599</v>
      </c>
      <c r="B262" s="1">
        <f ca="1">IFERROR(__xludf.DUMMYFUNCTION("""COMPUTED_VALUE"""),449.32)</f>
        <v>449.32</v>
      </c>
      <c r="C262" s="1">
        <f ca="1">IFERROR(__xludf.DUMMYFUNCTION("""COMPUTED_VALUE"""),172.12)</f>
        <v>172.12</v>
      </c>
      <c r="D262" s="1">
        <f ca="1">IFERROR(__xludf.DUMMYFUNCTION("""COMPUTED_VALUE"""),302.38)</f>
        <v>302.38</v>
      </c>
      <c r="E262" s="1">
        <f ca="1">IFERROR(__xludf.DUMMYFUNCTION("""COMPUTED_VALUE"""),155.95)</f>
        <v>155.94999999999999</v>
      </c>
      <c r="F262">
        <f t="shared" ca="1" si="37"/>
        <v>-1.7965642348210051E-2</v>
      </c>
      <c r="G262">
        <f t="shared" ca="1" si="38"/>
        <v>-2.3598820058997029E-2</v>
      </c>
      <c r="H262">
        <f t="shared" ca="1" si="39"/>
        <v>-2.8373124256932569E-2</v>
      </c>
      <c r="I262">
        <f t="shared" ca="1" si="40"/>
        <v>-4.150702426564532E-3</v>
      </c>
      <c r="O262">
        <f t="shared" ca="1" si="41"/>
        <v>1.1942694628285877</v>
      </c>
      <c r="P262">
        <f t="shared" ca="1" si="42"/>
        <v>1.3124904682019232</v>
      </c>
      <c r="Q262">
        <f t="shared" ca="1" si="43"/>
        <v>1.2617567285624871</v>
      </c>
      <c r="R262">
        <f t="shared" ca="1" si="44"/>
        <v>1.2031322326801432</v>
      </c>
    </row>
    <row r="263" spans="1:18" x14ac:dyDescent="0.3">
      <c r="A263" s="2">
        <f ca="1">IFERROR(__xludf.DUMMYFUNCTION("""COMPUTED_VALUE"""),44603.6666666666)</f>
        <v>44603.666666666599</v>
      </c>
      <c r="B263" s="1">
        <f ca="1">IFERROR(__xludf.DUMMYFUNCTION("""COMPUTED_VALUE"""),440.46)</f>
        <v>440.46</v>
      </c>
      <c r="C263" s="1">
        <f ca="1">IFERROR(__xludf.DUMMYFUNCTION("""COMPUTED_VALUE"""),168.64)</f>
        <v>168.64</v>
      </c>
      <c r="D263" s="1">
        <f ca="1">IFERROR(__xludf.DUMMYFUNCTION("""COMPUTED_VALUE"""),295.04)</f>
        <v>295.04000000000002</v>
      </c>
      <c r="E263" s="1">
        <f ca="1">IFERROR(__xludf.DUMMYFUNCTION("""COMPUTED_VALUE"""),153.92)</f>
        <v>153.91999999999999</v>
      </c>
      <c r="F263">
        <f t="shared" ca="1" si="37"/>
        <v>-1.9718686014421824E-2</v>
      </c>
      <c r="G263">
        <f t="shared" ca="1" si="38"/>
        <v>-2.0218452242621532E-2</v>
      </c>
      <c r="H263">
        <f t="shared" ca="1" si="39"/>
        <v>-2.4274092201865119E-2</v>
      </c>
      <c r="I263">
        <f t="shared" ca="1" si="40"/>
        <v>-1.3016992625841625E-2</v>
      </c>
      <c r="O263">
        <f t="shared" ca="1" si="41"/>
        <v>1.1707200382744585</v>
      </c>
      <c r="P263">
        <f t="shared" ca="1" si="42"/>
        <v>1.2859539423516866</v>
      </c>
      <c r="Q263">
        <f t="shared" ca="1" si="43"/>
        <v>1.2311287293970374</v>
      </c>
      <c r="R263">
        <f t="shared" ca="1" si="44"/>
        <v>1.1874710692794335</v>
      </c>
    </row>
    <row r="264" spans="1:18" x14ac:dyDescent="0.3">
      <c r="A264" s="2">
        <f ca="1">IFERROR(__xludf.DUMMYFUNCTION("""COMPUTED_VALUE"""),44606.6666666666)</f>
        <v>44606.666666666599</v>
      </c>
      <c r="B264" s="1">
        <f ca="1">IFERROR(__xludf.DUMMYFUNCTION("""COMPUTED_VALUE"""),439.02)</f>
        <v>439.02</v>
      </c>
      <c r="C264" s="1">
        <f ca="1">IFERROR(__xludf.DUMMYFUNCTION("""COMPUTED_VALUE"""),168.88)</f>
        <v>168.88</v>
      </c>
      <c r="D264" s="1">
        <f ca="1">IFERROR(__xludf.DUMMYFUNCTION("""COMPUTED_VALUE"""),295)</f>
        <v>295</v>
      </c>
      <c r="E264" s="1">
        <f ca="1">IFERROR(__xludf.DUMMYFUNCTION("""COMPUTED_VALUE"""),152.49)</f>
        <v>152.49</v>
      </c>
      <c r="F264">
        <f t="shared" ca="1" si="37"/>
        <v>-3.2693093583980332E-3</v>
      </c>
      <c r="G264">
        <f t="shared" ca="1" si="38"/>
        <v>1.4231499051233936E-3</v>
      </c>
      <c r="H264">
        <f t="shared" ca="1" si="39"/>
        <v>-1.3557483731026457E-4</v>
      </c>
      <c r="I264">
        <f t="shared" ca="1" si="40"/>
        <v>-9.2905405405404005E-3</v>
      </c>
      <c r="O264">
        <f t="shared" ca="1" si="41"/>
        <v>1.1668925922972637</v>
      </c>
      <c r="P264">
        <f t="shared" ca="1" si="42"/>
        <v>1.2877840475827373</v>
      </c>
      <c r="Q264">
        <f t="shared" ca="1" si="43"/>
        <v>1.2309618193198415</v>
      </c>
      <c r="R264">
        <f t="shared" ca="1" si="44"/>
        <v>1.176438821169574</v>
      </c>
    </row>
    <row r="265" spans="1:18" x14ac:dyDescent="0.3">
      <c r="A265" s="2">
        <f ca="1">IFERROR(__xludf.DUMMYFUNCTION("""COMPUTED_VALUE"""),44607.6666666666)</f>
        <v>44607.666666666599</v>
      </c>
      <c r="B265" s="1">
        <f ca="1">IFERROR(__xludf.DUMMYFUNCTION("""COMPUTED_VALUE"""),446.1)</f>
        <v>446.1</v>
      </c>
      <c r="C265" s="1">
        <f ca="1">IFERROR(__xludf.DUMMYFUNCTION("""COMPUTED_VALUE"""),172.79)</f>
        <v>172.79</v>
      </c>
      <c r="D265" s="1">
        <f ca="1">IFERROR(__xludf.DUMMYFUNCTION("""COMPUTED_VALUE"""),300.47)</f>
        <v>300.47000000000003</v>
      </c>
      <c r="E265" s="1">
        <f ca="1">IFERROR(__xludf.DUMMYFUNCTION("""COMPUTED_VALUE"""),154.72)</f>
        <v>154.72</v>
      </c>
      <c r="F265">
        <f t="shared" ca="1" si="37"/>
        <v>1.612682793494611E-2</v>
      </c>
      <c r="G265">
        <f t="shared" ca="1" si="38"/>
        <v>2.3152534343912817E-2</v>
      </c>
      <c r="H265">
        <f t="shared" ca="1" si="39"/>
        <v>1.8542372881356024E-2</v>
      </c>
      <c r="I265">
        <f t="shared" ca="1" si="40"/>
        <v>1.4623909764574658E-2</v>
      </c>
      <c r="O265">
        <f t="shared" ca="1" si="41"/>
        <v>1.1857108683518047</v>
      </c>
      <c r="P265">
        <f t="shared" ca="1" si="42"/>
        <v>1.3175995119719397</v>
      </c>
      <c r="Q265">
        <f t="shared" ca="1" si="43"/>
        <v>1.2537867723763825</v>
      </c>
      <c r="R265">
        <f t="shared" ca="1" si="44"/>
        <v>1.1936429563339004</v>
      </c>
    </row>
    <row r="266" spans="1:18" x14ac:dyDescent="0.3">
      <c r="A266" s="2">
        <f ca="1">IFERROR(__xludf.DUMMYFUNCTION("""COMPUTED_VALUE"""),44608.6666666666)</f>
        <v>44608.666666666599</v>
      </c>
      <c r="B266" s="1">
        <f ca="1">IFERROR(__xludf.DUMMYFUNCTION("""COMPUTED_VALUE"""),446.6)</f>
        <v>446.6</v>
      </c>
      <c r="C266" s="1">
        <f ca="1">IFERROR(__xludf.DUMMYFUNCTION("""COMPUTED_VALUE"""),172.55)</f>
        <v>172.55</v>
      </c>
      <c r="D266" s="1">
        <f ca="1">IFERROR(__xludf.DUMMYFUNCTION("""COMPUTED_VALUE"""),299.5)</f>
        <v>299.5</v>
      </c>
      <c r="E266" s="1">
        <f ca="1">IFERROR(__xludf.DUMMYFUNCTION("""COMPUTED_VALUE"""),155)</f>
        <v>155</v>
      </c>
      <c r="F266">
        <f t="shared" ca="1" si="37"/>
        <v>1.1208249271463797E-3</v>
      </c>
      <c r="G266">
        <f t="shared" ca="1" si="38"/>
        <v>-1.3889692690548104E-3</v>
      </c>
      <c r="H266">
        <f t="shared" ca="1" si="39"/>
        <v>-3.2282757014012288E-3</v>
      </c>
      <c r="I266">
        <f t="shared" ca="1" si="40"/>
        <v>1.8097207859358916E-3</v>
      </c>
      <c r="O266">
        <f t="shared" ca="1" si="41"/>
        <v>1.1870398426494417</v>
      </c>
      <c r="P266">
        <f t="shared" ca="1" si="42"/>
        <v>1.3157694067408889</v>
      </c>
      <c r="Q266">
        <f t="shared" ca="1" si="43"/>
        <v>1.2497392030043815</v>
      </c>
      <c r="R266">
        <f t="shared" ca="1" si="44"/>
        <v>1.1958031168029639</v>
      </c>
    </row>
    <row r="267" spans="1:18" x14ac:dyDescent="0.3">
      <c r="A267" s="2">
        <f ca="1">IFERROR(__xludf.DUMMYFUNCTION("""COMPUTED_VALUE"""),44609.6666666666)</f>
        <v>44609.666666666599</v>
      </c>
      <c r="B267" s="1">
        <f ca="1">IFERROR(__xludf.DUMMYFUNCTION("""COMPUTED_VALUE"""),437.06)</f>
        <v>437.06</v>
      </c>
      <c r="C267" s="1">
        <f ca="1">IFERROR(__xludf.DUMMYFUNCTION("""COMPUTED_VALUE"""),168.88)</f>
        <v>168.88</v>
      </c>
      <c r="D267" s="1">
        <f ca="1">IFERROR(__xludf.DUMMYFUNCTION("""COMPUTED_VALUE"""),290.73)</f>
        <v>290.73</v>
      </c>
      <c r="E267" s="1">
        <f ca="1">IFERROR(__xludf.DUMMYFUNCTION("""COMPUTED_VALUE"""),151.43)</f>
        <v>151.43</v>
      </c>
      <c r="F267">
        <f t="shared" ca="1" si="37"/>
        <v>-2.1361397223466232E-2</v>
      </c>
      <c r="G267">
        <f t="shared" ca="1" si="38"/>
        <v>-2.1269197334106146E-2</v>
      </c>
      <c r="H267">
        <f t="shared" ca="1" si="39"/>
        <v>-2.9282136894824649E-2</v>
      </c>
      <c r="I267">
        <f t="shared" ca="1" si="40"/>
        <v>-2.3032258064516083E-2</v>
      </c>
      <c r="O267">
        <f t="shared" ca="1" si="41"/>
        <v>1.1616830130505262</v>
      </c>
      <c r="P267">
        <f t="shared" ca="1" si="42"/>
        <v>1.2877840475827371</v>
      </c>
      <c r="Q267">
        <f t="shared" ca="1" si="43"/>
        <v>1.2131441685791782</v>
      </c>
      <c r="R267">
        <f t="shared" ca="1" si="44"/>
        <v>1.1682610708224055</v>
      </c>
    </row>
    <row r="268" spans="1:18" x14ac:dyDescent="0.3">
      <c r="A268" s="2">
        <f ca="1">IFERROR(__xludf.DUMMYFUNCTION("""COMPUTED_VALUE"""),44610.6666666666)</f>
        <v>44610.666666666599</v>
      </c>
      <c r="B268" s="1">
        <f ca="1">IFERROR(__xludf.DUMMYFUNCTION("""COMPUTED_VALUE"""),434.23)</f>
        <v>434.23</v>
      </c>
      <c r="C268" s="1">
        <f ca="1">IFERROR(__xludf.DUMMYFUNCTION("""COMPUTED_VALUE"""),167.3)</f>
        <v>167.3</v>
      </c>
      <c r="D268" s="1">
        <f ca="1">IFERROR(__xludf.DUMMYFUNCTION("""COMPUTED_VALUE"""),287.93)</f>
        <v>287.93</v>
      </c>
      <c r="E268" s="1">
        <f ca="1">IFERROR(__xludf.DUMMYFUNCTION("""COMPUTED_VALUE"""),152.14)</f>
        <v>152.13999999999999</v>
      </c>
      <c r="F268">
        <f t="shared" ca="1" si="37"/>
        <v>-6.4750835125611684E-3</v>
      </c>
      <c r="G268">
        <f t="shared" ca="1" si="38"/>
        <v>-9.3557555660823306E-3</v>
      </c>
      <c r="H268">
        <f t="shared" ca="1" si="39"/>
        <v>-9.6309290406907146E-3</v>
      </c>
      <c r="I268">
        <f t="shared" ca="1" si="40"/>
        <v>4.6886350128771013E-3</v>
      </c>
      <c r="O268">
        <f t="shared" ca="1" si="41"/>
        <v>1.1541610185259004</v>
      </c>
      <c r="P268">
        <f t="shared" ca="1" si="42"/>
        <v>1.2757358548116529</v>
      </c>
      <c r="Q268">
        <f t="shared" ca="1" si="43"/>
        <v>1.2014604631754644</v>
      </c>
      <c r="R268">
        <f t="shared" ca="1" si="44"/>
        <v>1.1737386205832447</v>
      </c>
    </row>
    <row r="269" spans="1:18" x14ac:dyDescent="0.3">
      <c r="A269" s="2">
        <f ca="1">IFERROR(__xludf.DUMMYFUNCTION("""COMPUTED_VALUE"""),44614.6666666666)</f>
        <v>44614.666666666599</v>
      </c>
      <c r="B269" s="1">
        <f ca="1">IFERROR(__xludf.DUMMYFUNCTION("""COMPUTED_VALUE"""),429.57)</f>
        <v>429.57</v>
      </c>
      <c r="C269" s="1">
        <f ca="1">IFERROR(__xludf.DUMMYFUNCTION("""COMPUTED_VALUE"""),164.32)</f>
        <v>164.32</v>
      </c>
      <c r="D269" s="1">
        <f ca="1">IFERROR(__xludf.DUMMYFUNCTION("""COMPUTED_VALUE"""),287.72)</f>
        <v>287.72000000000003</v>
      </c>
      <c r="E269" s="1">
        <f ca="1">IFERROR(__xludf.DUMMYFUNCTION("""COMPUTED_VALUE"""),151.87)</f>
        <v>151.87</v>
      </c>
      <c r="F269">
        <f t="shared" ca="1" si="37"/>
        <v>-1.0731639914331173E-2</v>
      </c>
      <c r="G269">
        <f t="shared" ca="1" si="38"/>
        <v>-1.7812313209802855E-2</v>
      </c>
      <c r="H269">
        <f t="shared" ca="1" si="39"/>
        <v>-7.2934393776257953E-4</v>
      </c>
      <c r="I269">
        <f t="shared" ca="1" si="40"/>
        <v>-1.7746812146705786E-3</v>
      </c>
      <c r="O269">
        <f t="shared" ca="1" si="41"/>
        <v>1.1417749780719229</v>
      </c>
      <c r="P269">
        <f t="shared" ca="1" si="42"/>
        <v>1.2530120481927722</v>
      </c>
      <c r="Q269">
        <f t="shared" ca="1" si="43"/>
        <v>1.200584185270186</v>
      </c>
      <c r="R269">
        <f t="shared" ca="1" si="44"/>
        <v>1.1716556087023622</v>
      </c>
    </row>
    <row r="270" spans="1:18" x14ac:dyDescent="0.3">
      <c r="A270" s="2">
        <f ca="1">IFERROR(__xludf.DUMMYFUNCTION("""COMPUTED_VALUE"""),44615.6666666666)</f>
        <v>44615.666666666599</v>
      </c>
      <c r="B270" s="1">
        <f ca="1">IFERROR(__xludf.DUMMYFUNCTION("""COMPUTED_VALUE"""),421.95)</f>
        <v>421.95</v>
      </c>
      <c r="C270" s="1">
        <f ca="1">IFERROR(__xludf.DUMMYFUNCTION("""COMPUTED_VALUE"""),160.07)</f>
        <v>160.07</v>
      </c>
      <c r="D270" s="1">
        <f ca="1">IFERROR(__xludf.DUMMYFUNCTION("""COMPUTED_VALUE"""),280.27)</f>
        <v>280.27</v>
      </c>
      <c r="E270" s="1">
        <f ca="1">IFERROR(__xludf.DUMMYFUNCTION("""COMPUTED_VALUE"""),148.69)</f>
        <v>148.69</v>
      </c>
      <c r="F270">
        <f t="shared" ca="1" si="37"/>
        <v>-1.7738668901459611E-2</v>
      </c>
      <c r="G270">
        <f t="shared" ca="1" si="38"/>
        <v>-2.5864167478091529E-2</v>
      </c>
      <c r="H270">
        <f t="shared" ca="1" si="39"/>
        <v>-2.5893229528708622E-2</v>
      </c>
      <c r="I270">
        <f t="shared" ca="1" si="40"/>
        <v>-2.0938960953447071E-2</v>
      </c>
      <c r="O270">
        <f t="shared" ca="1" si="41"/>
        <v>1.1215214097759338</v>
      </c>
      <c r="P270">
        <f t="shared" ca="1" si="42"/>
        <v>1.2206039347262478</v>
      </c>
      <c r="Q270">
        <f t="shared" ca="1" si="43"/>
        <v>1.1694971833924475</v>
      </c>
      <c r="R270">
        <f t="shared" ca="1" si="44"/>
        <v>1.1471223576608562</v>
      </c>
    </row>
    <row r="271" spans="1:18" x14ac:dyDescent="0.3">
      <c r="A271" s="2">
        <f ca="1">IFERROR(__xludf.DUMMYFUNCTION("""COMPUTED_VALUE"""),44616.6666666666)</f>
        <v>44616.666666666599</v>
      </c>
      <c r="B271" s="1">
        <f ca="1">IFERROR(__xludf.DUMMYFUNCTION("""COMPUTED_VALUE"""),428.3)</f>
        <v>428.3</v>
      </c>
      <c r="C271" s="1">
        <f ca="1">IFERROR(__xludf.DUMMYFUNCTION("""COMPUTED_VALUE"""),162.74)</f>
        <v>162.74</v>
      </c>
      <c r="D271" s="1">
        <f ca="1">IFERROR(__xludf.DUMMYFUNCTION("""COMPUTED_VALUE"""),294.59)</f>
        <v>294.58999999999997</v>
      </c>
      <c r="E271" s="1">
        <f ca="1">IFERROR(__xludf.DUMMYFUNCTION("""COMPUTED_VALUE"""),144.55)</f>
        <v>144.55000000000001</v>
      </c>
      <c r="F271">
        <f t="shared" ca="1" si="37"/>
        <v>1.5049176442706536E-2</v>
      </c>
      <c r="G271">
        <f t="shared" ca="1" si="38"/>
        <v>1.6680202411445091E-2</v>
      </c>
      <c r="H271">
        <f t="shared" ca="1" si="39"/>
        <v>5.1093588325543206E-2</v>
      </c>
      <c r="I271">
        <f t="shared" ca="1" si="40"/>
        <v>-2.7843163629026745E-2</v>
      </c>
      <c r="O271">
        <f t="shared" ca="1" si="41"/>
        <v>1.1383993833559249</v>
      </c>
      <c r="P271">
        <f t="shared" ca="1" si="42"/>
        <v>1.2409638554216882</v>
      </c>
      <c r="Q271">
        <f t="shared" ca="1" si="43"/>
        <v>1.2292509910285836</v>
      </c>
      <c r="R271">
        <f t="shared" ca="1" si="44"/>
        <v>1.11518284215399</v>
      </c>
    </row>
    <row r="272" spans="1:18" x14ac:dyDescent="0.3">
      <c r="A272" s="2">
        <f ca="1">IFERROR(__xludf.DUMMYFUNCTION("""COMPUTED_VALUE"""),44617.6666666666)</f>
        <v>44617.666666666599</v>
      </c>
      <c r="B272" s="1">
        <f ca="1">IFERROR(__xludf.DUMMYFUNCTION("""COMPUTED_VALUE"""),437.75)</f>
        <v>437.75</v>
      </c>
      <c r="C272" s="1">
        <f ca="1">IFERROR(__xludf.DUMMYFUNCTION("""COMPUTED_VALUE"""),164.85)</f>
        <v>164.85</v>
      </c>
      <c r="D272" s="1">
        <f ca="1">IFERROR(__xludf.DUMMYFUNCTION("""COMPUTED_VALUE"""),297.31)</f>
        <v>297.31</v>
      </c>
      <c r="E272" s="1">
        <f ca="1">IFERROR(__xludf.DUMMYFUNCTION("""COMPUTED_VALUE"""),147.97)</f>
        <v>147.97</v>
      </c>
      <c r="F272">
        <f t="shared" ca="1" si="37"/>
        <v>2.2063973850105039E-2</v>
      </c>
      <c r="G272">
        <f t="shared" ca="1" si="38"/>
        <v>1.2965466388103633E-2</v>
      </c>
      <c r="H272">
        <f t="shared" ca="1" si="39"/>
        <v>9.2331715265284893E-3</v>
      </c>
      <c r="I272">
        <f t="shared" ca="1" si="40"/>
        <v>2.365963334486328E-2</v>
      </c>
      <c r="O272">
        <f t="shared" ca="1" si="41"/>
        <v>1.1635169975812656</v>
      </c>
      <c r="P272">
        <f t="shared" ca="1" si="42"/>
        <v>1.2570535305780095</v>
      </c>
      <c r="Q272">
        <f t="shared" ca="1" si="43"/>
        <v>1.2406008762779057</v>
      </c>
      <c r="R272">
        <f t="shared" ca="1" si="44"/>
        <v>1.141567659311836</v>
      </c>
    </row>
    <row r="273" spans="1:18" x14ac:dyDescent="0.3">
      <c r="A273" s="2">
        <f ca="1">IFERROR(__xludf.DUMMYFUNCTION("""COMPUTED_VALUE"""),44620.6666666666)</f>
        <v>44620.666666666599</v>
      </c>
      <c r="B273" s="1">
        <f ca="1">IFERROR(__xludf.DUMMYFUNCTION("""COMPUTED_VALUE"""),436.63)</f>
        <v>436.63</v>
      </c>
      <c r="C273" s="1">
        <f ca="1">IFERROR(__xludf.DUMMYFUNCTION("""COMPUTED_VALUE"""),165.12)</f>
        <v>165.12</v>
      </c>
      <c r="D273" s="1">
        <f ca="1">IFERROR(__xludf.DUMMYFUNCTION("""COMPUTED_VALUE"""),298.79)</f>
        <v>298.79000000000002</v>
      </c>
      <c r="E273" s="1">
        <f ca="1">IFERROR(__xludf.DUMMYFUNCTION("""COMPUTED_VALUE"""),141.8)</f>
        <v>141.80000000000001</v>
      </c>
      <c r="F273">
        <f t="shared" ca="1" si="37"/>
        <v>-2.5585379782981257E-3</v>
      </c>
      <c r="G273">
        <f t="shared" ca="1" si="38"/>
        <v>1.6378525932666682E-3</v>
      </c>
      <c r="H273">
        <f t="shared" ca="1" si="39"/>
        <v>4.9779691231375267E-3</v>
      </c>
      <c r="I273">
        <f t="shared" ca="1" si="40"/>
        <v>-4.1697641413800009E-2</v>
      </c>
      <c r="O273">
        <f t="shared" ca="1" si="41"/>
        <v>1.1605400951545586</v>
      </c>
      <c r="P273">
        <f t="shared" ca="1" si="42"/>
        <v>1.2591123989629418</v>
      </c>
      <c r="Q273">
        <f t="shared" ca="1" si="43"/>
        <v>1.2467765491341545</v>
      </c>
      <c r="R273">
        <f t="shared" ca="1" si="44"/>
        <v>1.09396698040426</v>
      </c>
    </row>
    <row r="274" spans="1:18" x14ac:dyDescent="0.3">
      <c r="A274" s="2">
        <f ca="1">IFERROR(__xludf.DUMMYFUNCTION("""COMPUTED_VALUE"""),44621.6666666666)</f>
        <v>44621.666666666599</v>
      </c>
      <c r="B274" s="1">
        <f ca="1">IFERROR(__xludf.DUMMYFUNCTION("""COMPUTED_VALUE"""),429.98)</f>
        <v>429.98</v>
      </c>
      <c r="C274" s="1">
        <f ca="1">IFERROR(__xludf.DUMMYFUNCTION("""COMPUTED_VALUE"""),163.2)</f>
        <v>163.19999999999999</v>
      </c>
      <c r="D274" s="1">
        <f ca="1">IFERROR(__xludf.DUMMYFUNCTION("""COMPUTED_VALUE"""),294.95)</f>
        <v>294.95</v>
      </c>
      <c r="E274" s="1">
        <f ca="1">IFERROR(__xludf.DUMMYFUNCTION("""COMPUTED_VALUE"""),136.45)</f>
        <v>136.44999999999999</v>
      </c>
      <c r="F274">
        <f t="shared" ca="1" si="37"/>
        <v>-1.5230286512607877E-2</v>
      </c>
      <c r="G274">
        <f t="shared" ca="1" si="38"/>
        <v>-1.1627906976744281E-2</v>
      </c>
      <c r="H274">
        <f t="shared" ca="1" si="39"/>
        <v>-1.2851835737474586E-2</v>
      </c>
      <c r="I274">
        <f t="shared" ca="1" si="40"/>
        <v>-3.7729196050775897E-2</v>
      </c>
      <c r="O274">
        <f t="shared" ca="1" si="41"/>
        <v>1.1428647369959855</v>
      </c>
      <c r="P274">
        <f t="shared" ca="1" si="42"/>
        <v>1.2444715571145353</v>
      </c>
      <c r="Q274">
        <f t="shared" ca="1" si="43"/>
        <v>1.2307531817233468</v>
      </c>
      <c r="R274">
        <f t="shared" ca="1" si="44"/>
        <v>1.0526924857275124</v>
      </c>
    </row>
    <row r="275" spans="1:18" x14ac:dyDescent="0.3">
      <c r="A275" s="2">
        <f ca="1">IFERROR(__xludf.DUMMYFUNCTION("""COMPUTED_VALUE"""),44622.6666666666)</f>
        <v>44622.666666666599</v>
      </c>
      <c r="B275" s="1">
        <f ca="1">IFERROR(__xludf.DUMMYFUNCTION("""COMPUTED_VALUE"""),437.89)</f>
        <v>437.89</v>
      </c>
      <c r="C275" s="1">
        <f ca="1">IFERROR(__xludf.DUMMYFUNCTION("""COMPUTED_VALUE"""),166.56)</f>
        <v>166.56</v>
      </c>
      <c r="D275" s="1">
        <f ca="1">IFERROR(__xludf.DUMMYFUNCTION("""COMPUTED_VALUE"""),300.19)</f>
        <v>300.19</v>
      </c>
      <c r="E275" s="1">
        <f ca="1">IFERROR(__xludf.DUMMYFUNCTION("""COMPUTED_VALUE"""),139.28)</f>
        <v>139.28</v>
      </c>
      <c r="F275">
        <f t="shared" ca="1" si="37"/>
        <v>1.8396204474626653E-2</v>
      </c>
      <c r="G275">
        <f t="shared" ca="1" si="38"/>
        <v>2.0588235294117734E-2</v>
      </c>
      <c r="H275">
        <f t="shared" ca="1" si="39"/>
        <v>1.7765723003898996E-2</v>
      </c>
      <c r="I275">
        <f t="shared" ca="1" si="40"/>
        <v>2.0740197874679463E-2</v>
      </c>
      <c r="O275">
        <f t="shared" ca="1" si="41"/>
        <v>1.1638891103846041</v>
      </c>
      <c r="P275">
        <f t="shared" ca="1" si="42"/>
        <v>1.2700930303492466</v>
      </c>
      <c r="Q275">
        <f t="shared" ca="1" si="43"/>
        <v>1.2526184018360111</v>
      </c>
      <c r="R275">
        <f t="shared" ca="1" si="44"/>
        <v>1.0745255361826893</v>
      </c>
    </row>
    <row r="276" spans="1:18" x14ac:dyDescent="0.3">
      <c r="A276" s="2">
        <f ca="1">IFERROR(__xludf.DUMMYFUNCTION("""COMPUTED_VALUE"""),44623.6666666666)</f>
        <v>44623.666666666599</v>
      </c>
      <c r="B276" s="1">
        <f ca="1">IFERROR(__xludf.DUMMYFUNCTION("""COMPUTED_VALUE"""),435.71)</f>
        <v>435.71</v>
      </c>
      <c r="C276" s="1">
        <f ca="1">IFERROR(__xludf.DUMMYFUNCTION("""COMPUTED_VALUE"""),166.23)</f>
        <v>166.23</v>
      </c>
      <c r="D276" s="1">
        <f ca="1">IFERROR(__xludf.DUMMYFUNCTION("""COMPUTED_VALUE"""),295.92)</f>
        <v>295.92</v>
      </c>
      <c r="E276" s="1">
        <f ca="1">IFERROR(__xludf.DUMMYFUNCTION("""COMPUTED_VALUE"""),138.29)</f>
        <v>138.29</v>
      </c>
      <c r="F276">
        <f t="shared" ca="1" si="37"/>
        <v>-4.9784192377081158E-3</v>
      </c>
      <c r="G276">
        <f t="shared" ca="1" si="38"/>
        <v>-1.9812680115274526E-3</v>
      </c>
      <c r="H276">
        <f t="shared" ca="1" si="39"/>
        <v>-1.4224324594423471E-2</v>
      </c>
      <c r="I276">
        <f t="shared" ca="1" si="40"/>
        <v>-7.10798391728898E-3</v>
      </c>
      <c r="O276">
        <f t="shared" ca="1" si="41"/>
        <v>1.1580947824469063</v>
      </c>
      <c r="P276">
        <f t="shared" ca="1" si="42"/>
        <v>1.2675766356565517</v>
      </c>
      <c r="Q276">
        <f t="shared" ca="1" si="43"/>
        <v>1.2348007510953478</v>
      </c>
      <c r="R276">
        <f t="shared" ca="1" si="44"/>
        <v>1.0668878259527865</v>
      </c>
    </row>
    <row r="277" spans="1:18" x14ac:dyDescent="0.3">
      <c r="A277" s="2">
        <f ca="1">IFERROR(__xludf.DUMMYFUNCTION("""COMPUTED_VALUE"""),44624.6666666666)</f>
        <v>44624.666666666599</v>
      </c>
      <c r="B277" s="1">
        <f ca="1">IFERROR(__xludf.DUMMYFUNCTION("""COMPUTED_VALUE"""),432.17)</f>
        <v>432.17</v>
      </c>
      <c r="C277" s="1">
        <f ca="1">IFERROR(__xludf.DUMMYFUNCTION("""COMPUTED_VALUE"""),163.17)</f>
        <v>163.16999999999999</v>
      </c>
      <c r="D277" s="1">
        <f ca="1">IFERROR(__xludf.DUMMYFUNCTION("""COMPUTED_VALUE"""),289.86)</f>
        <v>289.86</v>
      </c>
      <c r="E277" s="1">
        <f ca="1">IFERROR(__xludf.DUMMYFUNCTION("""COMPUTED_VALUE"""),134.4)</f>
        <v>134.4</v>
      </c>
      <c r="F277">
        <f t="shared" ca="1" si="37"/>
        <v>-8.1246700787220034E-3</v>
      </c>
      <c r="G277">
        <f t="shared" ca="1" si="38"/>
        <v>-1.8408229561451016E-2</v>
      </c>
      <c r="H277">
        <f t="shared" ca="1" si="39"/>
        <v>-2.0478507704785084E-2</v>
      </c>
      <c r="I277">
        <f t="shared" ca="1" si="40"/>
        <v>-2.8129293513630679E-2</v>
      </c>
      <c r="O277">
        <f t="shared" ca="1" si="41"/>
        <v>1.1486856444196358</v>
      </c>
      <c r="P277">
        <f t="shared" ca="1" si="42"/>
        <v>1.244242793960654</v>
      </c>
      <c r="Q277">
        <f t="shared" ca="1" si="43"/>
        <v>1.2095138744001672</v>
      </c>
      <c r="R277">
        <f t="shared" ca="1" si="44"/>
        <v>1.0368770251504413</v>
      </c>
    </row>
    <row r="278" spans="1:18" x14ac:dyDescent="0.3">
      <c r="A278" s="2">
        <f ca="1">IFERROR(__xludf.DUMMYFUNCTION("""COMPUTED_VALUE"""),44627.6666666666)</f>
        <v>44627.666666666599</v>
      </c>
      <c r="B278" s="1">
        <f ca="1">IFERROR(__xludf.DUMMYFUNCTION("""COMPUTED_VALUE"""),419.43)</f>
        <v>419.43</v>
      </c>
      <c r="C278" s="1">
        <f ca="1">IFERROR(__xludf.DUMMYFUNCTION("""COMPUTED_VALUE"""),159.3)</f>
        <v>159.30000000000001</v>
      </c>
      <c r="D278" s="1">
        <f ca="1">IFERROR(__xludf.DUMMYFUNCTION("""COMPUTED_VALUE"""),278.91)</f>
        <v>278.91000000000003</v>
      </c>
      <c r="E278" s="1">
        <f ca="1">IFERROR(__xludf.DUMMYFUNCTION("""COMPUTED_VALUE"""),129.21)</f>
        <v>129.21</v>
      </c>
      <c r="F278">
        <f t="shared" ca="1" si="37"/>
        <v>-2.9479140153180483E-2</v>
      </c>
      <c r="G278">
        <f t="shared" ca="1" si="38"/>
        <v>-2.3717595146166431E-2</v>
      </c>
      <c r="H278">
        <f t="shared" ca="1" si="39"/>
        <v>-3.7776857793417468E-2</v>
      </c>
      <c r="I278">
        <f t="shared" ca="1" si="40"/>
        <v>-3.8616071428571409E-2</v>
      </c>
      <c r="O278">
        <f t="shared" ca="1" si="41"/>
        <v>1.1148233793158431</v>
      </c>
      <c r="P278">
        <f t="shared" ca="1" si="42"/>
        <v>1.2147323471099603</v>
      </c>
      <c r="Q278">
        <f t="shared" ca="1" si="43"/>
        <v>1.1638222407677867</v>
      </c>
      <c r="R278">
        <f t="shared" ca="1" si="44"/>
        <v>0.99683690788458734</v>
      </c>
    </row>
    <row r="279" spans="1:18" x14ac:dyDescent="0.3">
      <c r="A279" s="2">
        <f ca="1">IFERROR(__xludf.DUMMYFUNCTION("""COMPUTED_VALUE"""),44628.6666666666)</f>
        <v>44628.666666666599</v>
      </c>
      <c r="B279" s="1">
        <f ca="1">IFERROR(__xludf.DUMMYFUNCTION("""COMPUTED_VALUE"""),416.25)</f>
        <v>416.25</v>
      </c>
      <c r="C279" s="1">
        <f ca="1">IFERROR(__xludf.DUMMYFUNCTION("""COMPUTED_VALUE"""),157.44)</f>
        <v>157.44</v>
      </c>
      <c r="D279" s="1">
        <f ca="1">IFERROR(__xludf.DUMMYFUNCTION("""COMPUTED_VALUE"""),275.85)</f>
        <v>275.85000000000002</v>
      </c>
      <c r="E279" s="1">
        <f ca="1">IFERROR(__xludf.DUMMYFUNCTION("""COMPUTED_VALUE"""),128.3)</f>
        <v>128.30000000000001</v>
      </c>
      <c r="F279">
        <f t="shared" ca="1" si="37"/>
        <v>-7.5817180459194786E-3</v>
      </c>
      <c r="G279">
        <f t="shared" ca="1" si="38"/>
        <v>-1.1676082862523625E-2</v>
      </c>
      <c r="H279">
        <f t="shared" ca="1" si="39"/>
        <v>-1.0971281058405944E-2</v>
      </c>
      <c r="I279">
        <f t="shared" ca="1" si="40"/>
        <v>-7.0427985450042295E-3</v>
      </c>
      <c r="O279">
        <f t="shared" ca="1" si="41"/>
        <v>1.1063711027828713</v>
      </c>
      <c r="P279">
        <f t="shared" ca="1" si="42"/>
        <v>1.2005490315693166</v>
      </c>
      <c r="Q279">
        <f t="shared" ca="1" si="43"/>
        <v>1.1510536198622996</v>
      </c>
      <c r="R279">
        <f t="shared" ca="1" si="44"/>
        <v>0.98981638636013125</v>
      </c>
    </row>
    <row r="280" spans="1:18" x14ac:dyDescent="0.3">
      <c r="A280" s="2">
        <f ca="1">IFERROR(__xludf.DUMMYFUNCTION("""COMPUTED_VALUE"""),44629.6666666666)</f>
        <v>44629.666666666599</v>
      </c>
      <c r="B280" s="1">
        <f ca="1">IFERROR(__xludf.DUMMYFUNCTION("""COMPUTED_VALUE"""),427.41)</f>
        <v>427.41</v>
      </c>
      <c r="C280" s="1">
        <f ca="1">IFERROR(__xludf.DUMMYFUNCTION("""COMPUTED_VALUE"""),162.95)</f>
        <v>162.94999999999999</v>
      </c>
      <c r="D280" s="1">
        <f ca="1">IFERROR(__xludf.DUMMYFUNCTION("""COMPUTED_VALUE"""),288.5)</f>
        <v>288.5</v>
      </c>
      <c r="E280" s="1">
        <f ca="1">IFERROR(__xludf.DUMMYFUNCTION("""COMPUTED_VALUE"""),133.44)</f>
        <v>133.44</v>
      </c>
      <c r="F280">
        <f t="shared" ca="1" si="37"/>
        <v>2.6810810810810871E-2</v>
      </c>
      <c r="G280">
        <f t="shared" ca="1" si="38"/>
        <v>3.4997459349593439E-2</v>
      </c>
      <c r="H280">
        <f t="shared" ca="1" si="39"/>
        <v>4.5858256298712985E-2</v>
      </c>
      <c r="I280">
        <f t="shared" ca="1" si="40"/>
        <v>4.0062353858144863E-2</v>
      </c>
      <c r="O280">
        <f t="shared" ca="1" si="41"/>
        <v>1.1360338091061311</v>
      </c>
      <c r="P280">
        <f t="shared" ca="1" si="42"/>
        <v>1.2425651974988574</v>
      </c>
      <c r="Q280">
        <f t="shared" ca="1" si="43"/>
        <v>1.203838931775506</v>
      </c>
      <c r="R280">
        <f t="shared" ca="1" si="44"/>
        <v>1.029470760685081</v>
      </c>
    </row>
    <row r="281" spans="1:18" x14ac:dyDescent="0.3">
      <c r="A281" s="2">
        <f ca="1">IFERROR(__xludf.DUMMYFUNCTION("""COMPUTED_VALUE"""),44630.6666666666)</f>
        <v>44630.666666666599</v>
      </c>
      <c r="B281" s="1">
        <f ca="1">IFERROR(__xludf.DUMMYFUNCTION("""COMPUTED_VALUE"""),425.48)</f>
        <v>425.48</v>
      </c>
      <c r="C281" s="1">
        <f ca="1">IFERROR(__xludf.DUMMYFUNCTION("""COMPUTED_VALUE"""),158.52)</f>
        <v>158.52000000000001</v>
      </c>
      <c r="D281" s="1">
        <f ca="1">IFERROR(__xludf.DUMMYFUNCTION("""COMPUTED_VALUE"""),285.59)</f>
        <v>285.58999999999997</v>
      </c>
      <c r="E281" s="1">
        <f ca="1">IFERROR(__xludf.DUMMYFUNCTION("""COMPUTED_VALUE"""),131.86)</f>
        <v>131.86000000000001</v>
      </c>
      <c r="F281">
        <f t="shared" ca="1" si="37"/>
        <v>-4.515570529468208E-3</v>
      </c>
      <c r="G281">
        <f t="shared" ca="1" si="38"/>
        <v>-2.7186253451979003E-2</v>
      </c>
      <c r="H281">
        <f t="shared" ca="1" si="39"/>
        <v>-1.0086655112651733E-2</v>
      </c>
      <c r="I281">
        <f t="shared" ca="1" si="40"/>
        <v>-1.1840527577937531E-2</v>
      </c>
      <c r="O281">
        <f t="shared" ca="1" si="41"/>
        <v>1.1309039683172519</v>
      </c>
      <c r="P281">
        <f t="shared" ca="1" si="42"/>
        <v>1.2087845051090451</v>
      </c>
      <c r="Q281">
        <f t="shared" ca="1" si="43"/>
        <v>1.1916962236595035</v>
      </c>
      <c r="R281">
        <f t="shared" ca="1" si="44"/>
        <v>1.0172812837525089</v>
      </c>
    </row>
    <row r="282" spans="1:18" x14ac:dyDescent="0.3">
      <c r="A282" s="2">
        <f ca="1">IFERROR(__xludf.DUMMYFUNCTION("""COMPUTED_VALUE"""),44631.6666666666)</f>
        <v>44631.666666666599</v>
      </c>
      <c r="B282" s="1">
        <f ca="1">IFERROR(__xludf.DUMMYFUNCTION("""COMPUTED_VALUE"""),420.07)</f>
        <v>420.07</v>
      </c>
      <c r="C282" s="1">
        <f ca="1">IFERROR(__xludf.DUMMYFUNCTION("""COMPUTED_VALUE"""),154.73)</f>
        <v>154.72999999999999</v>
      </c>
      <c r="D282" s="1">
        <f ca="1">IFERROR(__xludf.DUMMYFUNCTION("""COMPUTED_VALUE"""),280.07)</f>
        <v>280.07</v>
      </c>
      <c r="E282" s="1">
        <f ca="1">IFERROR(__xludf.DUMMYFUNCTION("""COMPUTED_VALUE"""),128.89)</f>
        <v>128.88999999999999</v>
      </c>
      <c r="F282">
        <f t="shared" ca="1" si="37"/>
        <v>-1.2715051236250881E-2</v>
      </c>
      <c r="G282">
        <f t="shared" ca="1" si="38"/>
        <v>-2.390865505929864E-2</v>
      </c>
      <c r="H282">
        <f t="shared" ca="1" si="39"/>
        <v>-1.9328407857417913E-2</v>
      </c>
      <c r="I282">
        <f t="shared" ca="1" si="40"/>
        <v>-2.252388897315355E-2</v>
      </c>
      <c r="O282">
        <f t="shared" ca="1" si="41"/>
        <v>1.1165244664168188</v>
      </c>
      <c r="P282">
        <f t="shared" ca="1" si="42"/>
        <v>1.179884093335368</v>
      </c>
      <c r="Q282">
        <f t="shared" ca="1" si="43"/>
        <v>1.1686626330064678</v>
      </c>
      <c r="R282">
        <f t="shared" ca="1" si="44"/>
        <v>0.99436815306280024</v>
      </c>
    </row>
    <row r="283" spans="1:18" x14ac:dyDescent="0.3">
      <c r="A283" s="2">
        <f ca="1">IFERROR(__xludf.DUMMYFUNCTION("""COMPUTED_VALUE"""),44634.6666666666)</f>
        <v>44634.666666666599</v>
      </c>
      <c r="B283" s="1">
        <f ca="1">IFERROR(__xludf.DUMMYFUNCTION("""COMPUTED_VALUE"""),417)</f>
        <v>417</v>
      </c>
      <c r="C283" s="1">
        <f ca="1">IFERROR(__xludf.DUMMYFUNCTION("""COMPUTED_VALUE"""),150.62)</f>
        <v>150.62</v>
      </c>
      <c r="D283" s="1">
        <f ca="1">IFERROR(__xludf.DUMMYFUNCTION("""COMPUTED_VALUE"""),276.44)</f>
        <v>276.44</v>
      </c>
      <c r="E283" s="1">
        <f ca="1">IFERROR(__xludf.DUMMYFUNCTION("""COMPUTED_VALUE"""),130.17)</f>
        <v>130.16999999999999</v>
      </c>
      <c r="F283">
        <f t="shared" ca="1" si="37"/>
        <v>-7.308305758564033E-3</v>
      </c>
      <c r="G283">
        <f t="shared" ca="1" si="38"/>
        <v>-2.6562399017643543E-2</v>
      </c>
      <c r="H283">
        <f t="shared" ca="1" si="39"/>
        <v>-1.2961045452922468E-2</v>
      </c>
      <c r="I283">
        <f t="shared" ca="1" si="40"/>
        <v>9.9309488711304319E-3</v>
      </c>
      <c r="O283">
        <f t="shared" ca="1" si="41"/>
        <v>1.1083645642293272</v>
      </c>
      <c r="P283">
        <f t="shared" ca="1" si="42"/>
        <v>1.1485435412536233</v>
      </c>
      <c r="Q283">
        <f t="shared" ca="1" si="43"/>
        <v>1.153515543500939</v>
      </c>
      <c r="R283">
        <f t="shared" ca="1" si="44"/>
        <v>1.0042431723499472</v>
      </c>
    </row>
    <row r="284" spans="1:18" x14ac:dyDescent="0.3">
      <c r="A284" s="2">
        <f ca="1">IFERROR(__xludf.DUMMYFUNCTION("""COMPUTED_VALUE"""),44635.6666666666)</f>
        <v>44635.666666666599</v>
      </c>
      <c r="B284" s="1">
        <f ca="1">IFERROR(__xludf.DUMMYFUNCTION("""COMPUTED_VALUE"""),426.17)</f>
        <v>426.17</v>
      </c>
      <c r="C284" s="1">
        <f ca="1">IFERROR(__xludf.DUMMYFUNCTION("""COMPUTED_VALUE"""),155.09)</f>
        <v>155.09</v>
      </c>
      <c r="D284" s="1">
        <f ca="1">IFERROR(__xludf.DUMMYFUNCTION("""COMPUTED_VALUE"""),287.15)</f>
        <v>287.14999999999998</v>
      </c>
      <c r="E284" s="1">
        <f ca="1">IFERROR(__xludf.DUMMYFUNCTION("""COMPUTED_VALUE"""),132.48)</f>
        <v>132.47999999999999</v>
      </c>
      <c r="F284">
        <f t="shared" ca="1" si="37"/>
        <v>2.199040767386095E-2</v>
      </c>
      <c r="G284">
        <f t="shared" ca="1" si="38"/>
        <v>2.9677333687425301E-2</v>
      </c>
      <c r="H284">
        <f t="shared" ca="1" si="39"/>
        <v>3.8742584285920922E-2</v>
      </c>
      <c r="I284">
        <f t="shared" ca="1" si="40"/>
        <v>1.774602442959209E-2</v>
      </c>
      <c r="O284">
        <f t="shared" ca="1" si="41"/>
        <v>1.1327379528479913</v>
      </c>
      <c r="P284">
        <f t="shared" ca="1" si="42"/>
        <v>1.1826292511819441</v>
      </c>
      <c r="Q284">
        <f t="shared" ca="1" si="43"/>
        <v>1.1982057166701441</v>
      </c>
      <c r="R284">
        <f t="shared" ca="1" si="44"/>
        <v>1.0220644962197205</v>
      </c>
    </row>
    <row r="285" spans="1:18" x14ac:dyDescent="0.3">
      <c r="A285" s="2">
        <f ca="1">IFERROR(__xludf.DUMMYFUNCTION("""COMPUTED_VALUE"""),44636.6666666666)</f>
        <v>44636.666666666599</v>
      </c>
      <c r="B285" s="1">
        <f ca="1">IFERROR(__xludf.DUMMYFUNCTION("""COMPUTED_VALUE"""),435.62)</f>
        <v>435.62</v>
      </c>
      <c r="C285" s="1">
        <f ca="1">IFERROR(__xludf.DUMMYFUNCTION("""COMPUTED_VALUE"""),159.59)</f>
        <v>159.59</v>
      </c>
      <c r="D285" s="1">
        <f ca="1">IFERROR(__xludf.DUMMYFUNCTION("""COMPUTED_VALUE"""),294.39)</f>
        <v>294.39</v>
      </c>
      <c r="E285" s="1">
        <f ca="1">IFERROR(__xludf.DUMMYFUNCTION("""COMPUTED_VALUE"""),138.4)</f>
        <v>138.4</v>
      </c>
      <c r="F285">
        <f t="shared" ca="1" si="37"/>
        <v>2.2174249712555993E-2</v>
      </c>
      <c r="G285">
        <f t="shared" ca="1" si="38"/>
        <v>2.9015410406860533E-2</v>
      </c>
      <c r="H285">
        <f t="shared" ca="1" si="39"/>
        <v>2.5213303151662928E-2</v>
      </c>
      <c r="I285">
        <f t="shared" ca="1" si="40"/>
        <v>4.4685990338164373E-2</v>
      </c>
      <c r="O285">
        <f t="shared" ca="1" si="41"/>
        <v>1.1578555670733321</v>
      </c>
      <c r="P285">
        <f t="shared" ca="1" si="42"/>
        <v>1.2169437242641463</v>
      </c>
      <c r="Q285">
        <f t="shared" ca="1" si="43"/>
        <v>1.2284164406426041</v>
      </c>
      <c r="R285">
        <f t="shared" ca="1" si="44"/>
        <v>1.0677364604227759</v>
      </c>
    </row>
    <row r="286" spans="1:18" x14ac:dyDescent="0.3">
      <c r="A286" s="2">
        <f ca="1">IFERROR(__xludf.DUMMYFUNCTION("""COMPUTED_VALUE"""),44637.6666666666)</f>
        <v>44637.666666666599</v>
      </c>
      <c r="B286" s="1">
        <f ca="1">IFERROR(__xludf.DUMMYFUNCTION("""COMPUTED_VALUE"""),441.07)</f>
        <v>441.07</v>
      </c>
      <c r="C286" s="1">
        <f ca="1">IFERROR(__xludf.DUMMYFUNCTION("""COMPUTED_VALUE"""),160.62)</f>
        <v>160.62</v>
      </c>
      <c r="D286" s="1">
        <f ca="1">IFERROR(__xludf.DUMMYFUNCTION("""COMPUTED_VALUE"""),295.22)</f>
        <v>295.22000000000003</v>
      </c>
      <c r="E286" s="1">
        <f ca="1">IFERROR(__xludf.DUMMYFUNCTION("""COMPUTED_VALUE"""),140.15)</f>
        <v>140.15</v>
      </c>
      <c r="F286">
        <f t="shared" ca="1" si="37"/>
        <v>1.2510903998898096E-2</v>
      </c>
      <c r="G286">
        <f t="shared" ca="1" si="38"/>
        <v>6.4540384735885777E-3</v>
      </c>
      <c r="H286">
        <f t="shared" ca="1" si="39"/>
        <v>2.819389245558752E-3</v>
      </c>
      <c r="I286">
        <f t="shared" ca="1" si="40"/>
        <v>1.264450867052023E-2</v>
      </c>
      <c r="O286">
        <f t="shared" ca="1" si="41"/>
        <v>1.1723413869175765</v>
      </c>
      <c r="P286">
        <f t="shared" ca="1" si="42"/>
        <v>1.2247979258807391</v>
      </c>
      <c r="Q286">
        <f t="shared" ca="1" si="43"/>
        <v>1.2318798247444196</v>
      </c>
      <c r="R286">
        <f t="shared" ca="1" si="44"/>
        <v>1.0812374633544224</v>
      </c>
    </row>
    <row r="287" spans="1:18" x14ac:dyDescent="0.3">
      <c r="A287" s="2">
        <f ca="1">IFERROR(__xludf.DUMMYFUNCTION("""COMPUTED_VALUE"""),44638.6666666666)</f>
        <v>44638.666666666599</v>
      </c>
      <c r="B287" s="1">
        <f ca="1">IFERROR(__xludf.DUMMYFUNCTION("""COMPUTED_VALUE"""),444.52)</f>
        <v>444.52</v>
      </c>
      <c r="C287" s="1">
        <f ca="1">IFERROR(__xludf.DUMMYFUNCTION("""COMPUTED_VALUE"""),163.98)</f>
        <v>163.98</v>
      </c>
      <c r="D287" s="1">
        <f ca="1">IFERROR(__xludf.DUMMYFUNCTION("""COMPUTED_VALUE"""),300.43)</f>
        <v>300.43</v>
      </c>
      <c r="E287" s="1">
        <f ca="1">IFERROR(__xludf.DUMMYFUNCTION("""COMPUTED_VALUE"""),140.1)</f>
        <v>140.1</v>
      </c>
      <c r="F287">
        <f t="shared" ca="1" si="37"/>
        <v>7.8218876822272847E-3</v>
      </c>
      <c r="G287">
        <f t="shared" ca="1" si="38"/>
        <v>2.0918939110944994E-2</v>
      </c>
      <c r="H287">
        <f t="shared" ca="1" si="39"/>
        <v>1.7647855836325381E-2</v>
      </c>
      <c r="I287">
        <f t="shared" ca="1" si="40"/>
        <v>-3.5676061362833653E-4</v>
      </c>
      <c r="O287">
        <f t="shared" ca="1" si="41"/>
        <v>1.1815113095712724</v>
      </c>
      <c r="P287">
        <f t="shared" ca="1" si="42"/>
        <v>1.25041939911545</v>
      </c>
      <c r="Q287">
        <f t="shared" ca="1" si="43"/>
        <v>1.2536198622991868</v>
      </c>
      <c r="R287">
        <f t="shared" ca="1" si="44"/>
        <v>1.0808517204135182</v>
      </c>
    </row>
    <row r="288" spans="1:18" x14ac:dyDescent="0.3">
      <c r="A288" s="2">
        <f ca="1">IFERROR(__xludf.DUMMYFUNCTION("""COMPUTED_VALUE"""),44641.6666666666)</f>
        <v>44641.666666666599</v>
      </c>
      <c r="B288" s="1">
        <f ca="1">IFERROR(__xludf.DUMMYFUNCTION("""COMPUTED_VALUE"""),444.39)</f>
        <v>444.39</v>
      </c>
      <c r="C288" s="1">
        <f ca="1">IFERROR(__xludf.DUMMYFUNCTION("""COMPUTED_VALUE"""),165.38)</f>
        <v>165.38</v>
      </c>
      <c r="D288" s="1">
        <f ca="1">IFERROR(__xludf.DUMMYFUNCTION("""COMPUTED_VALUE"""),299.16)</f>
        <v>299.16000000000003</v>
      </c>
      <c r="E288" s="1">
        <f ca="1">IFERROR(__xludf.DUMMYFUNCTION("""COMPUTED_VALUE"""),139.65)</f>
        <v>139.65</v>
      </c>
      <c r="F288">
        <f t="shared" ca="1" si="37"/>
        <v>-2.9245028345180297E-4</v>
      </c>
      <c r="G288">
        <f t="shared" ca="1" si="38"/>
        <v>8.5376265398219645E-3</v>
      </c>
      <c r="H288">
        <f t="shared" ca="1" si="39"/>
        <v>-4.2272742402555729E-3</v>
      </c>
      <c r="I288">
        <f t="shared" ca="1" si="40"/>
        <v>-3.2119914346894264E-3</v>
      </c>
      <c r="O288">
        <f t="shared" ca="1" si="41"/>
        <v>1.1811657762538867</v>
      </c>
      <c r="P288">
        <f t="shared" ca="1" si="42"/>
        <v>1.2610950129632463</v>
      </c>
      <c r="Q288">
        <f t="shared" ca="1" si="43"/>
        <v>1.2483204673482167</v>
      </c>
      <c r="R288">
        <f t="shared" ca="1" si="44"/>
        <v>1.0773800339453807</v>
      </c>
    </row>
    <row r="289" spans="1:18" x14ac:dyDescent="0.3">
      <c r="A289" s="2">
        <f ca="1">IFERROR(__xludf.DUMMYFUNCTION("""COMPUTED_VALUE"""),44642.6666666666)</f>
        <v>44642.666666666599</v>
      </c>
      <c r="B289" s="1">
        <f ca="1">IFERROR(__xludf.DUMMYFUNCTION("""COMPUTED_VALUE"""),449.59)</f>
        <v>449.59</v>
      </c>
      <c r="C289" s="1">
        <f ca="1">IFERROR(__xludf.DUMMYFUNCTION("""COMPUTED_VALUE"""),168.82)</f>
        <v>168.82</v>
      </c>
      <c r="D289" s="1">
        <f ca="1">IFERROR(__xludf.DUMMYFUNCTION("""COMPUTED_VALUE"""),304.06)</f>
        <v>304.06</v>
      </c>
      <c r="E289" s="1">
        <f ca="1">IFERROR(__xludf.DUMMYFUNCTION("""COMPUTED_VALUE"""),142.62)</f>
        <v>142.62</v>
      </c>
      <c r="F289">
        <f t="shared" ca="1" si="37"/>
        <v>1.1701433425594611E-2</v>
      </c>
      <c r="G289">
        <f t="shared" ca="1" si="38"/>
        <v>2.0800580481315743E-2</v>
      </c>
      <c r="H289">
        <f t="shared" ca="1" si="39"/>
        <v>1.6379195079556014E-2</v>
      </c>
      <c r="I289">
        <f t="shared" ca="1" si="40"/>
        <v>2.1267454350161107E-2</v>
      </c>
      <c r="O289">
        <f t="shared" ca="1" si="41"/>
        <v>1.1949871089493125</v>
      </c>
      <c r="P289">
        <f t="shared" ca="1" si="42"/>
        <v>1.2873265212749743</v>
      </c>
      <c r="Q289">
        <f t="shared" ca="1" si="43"/>
        <v>1.2687669518047155</v>
      </c>
      <c r="R289">
        <f t="shared" ca="1" si="44"/>
        <v>1.1002931646350893</v>
      </c>
    </row>
    <row r="290" spans="1:18" x14ac:dyDescent="0.3">
      <c r="A290" s="2">
        <f ca="1">IFERROR(__xludf.DUMMYFUNCTION("""COMPUTED_VALUE"""),44643.6666666666)</f>
        <v>44643.666666666599</v>
      </c>
      <c r="B290" s="1">
        <f ca="1">IFERROR(__xludf.DUMMYFUNCTION("""COMPUTED_VALUE"""),443.8)</f>
        <v>443.8</v>
      </c>
      <c r="C290" s="1">
        <f ca="1">IFERROR(__xludf.DUMMYFUNCTION("""COMPUTED_VALUE"""),170.21)</f>
        <v>170.21</v>
      </c>
      <c r="D290" s="1">
        <f ca="1">IFERROR(__xludf.DUMMYFUNCTION("""COMPUTED_VALUE"""),299.49)</f>
        <v>299.49</v>
      </c>
      <c r="E290" s="1">
        <f ca="1">IFERROR(__xludf.DUMMYFUNCTION("""COMPUTED_VALUE"""),139.78)</f>
        <v>139.78</v>
      </c>
      <c r="F290">
        <f t="shared" ca="1" si="37"/>
        <v>-1.2878400320291741E-2</v>
      </c>
      <c r="G290">
        <f t="shared" ca="1" si="38"/>
        <v>8.2336216088142091E-3</v>
      </c>
      <c r="H290">
        <f t="shared" ca="1" si="39"/>
        <v>-1.5029928303624263E-2</v>
      </c>
      <c r="I290">
        <f t="shared" ca="1" si="40"/>
        <v>-1.9913055672416233E-2</v>
      </c>
      <c r="O290">
        <f t="shared" ca="1" si="41"/>
        <v>1.1795975865826751</v>
      </c>
      <c r="P290">
        <f t="shared" ca="1" si="42"/>
        <v>1.2979258807381435</v>
      </c>
      <c r="Q290">
        <f t="shared" ca="1" si="43"/>
        <v>1.2496974754850827</v>
      </c>
      <c r="R290">
        <f t="shared" ca="1" si="44"/>
        <v>1.0783829655917319</v>
      </c>
    </row>
    <row r="291" spans="1:18" x14ac:dyDescent="0.3">
      <c r="A291" s="2">
        <f ca="1">IFERROR(__xludf.DUMMYFUNCTION("""COMPUTED_VALUE"""),44644.6666666666)</f>
        <v>44644.666666666599</v>
      </c>
      <c r="B291" s="1">
        <f ca="1">IFERROR(__xludf.DUMMYFUNCTION("""COMPUTED_VALUE"""),450.49)</f>
        <v>450.49</v>
      </c>
      <c r="C291" s="1">
        <f ca="1">IFERROR(__xludf.DUMMYFUNCTION("""COMPUTED_VALUE"""),174.07)</f>
        <v>174.07</v>
      </c>
      <c r="D291" s="1">
        <f ca="1">IFERROR(__xludf.DUMMYFUNCTION("""COMPUTED_VALUE"""),304.1)</f>
        <v>304.10000000000002</v>
      </c>
      <c r="E291" s="1">
        <f ca="1">IFERROR(__xludf.DUMMYFUNCTION("""COMPUTED_VALUE"""),140.69)</f>
        <v>140.69</v>
      </c>
      <c r="F291">
        <f t="shared" ca="1" si="37"/>
        <v>1.5074357818837309E-2</v>
      </c>
      <c r="G291">
        <f t="shared" ca="1" si="38"/>
        <v>2.2677868515363287E-2</v>
      </c>
      <c r="H291">
        <f t="shared" ca="1" si="39"/>
        <v>1.5392834485291707E-2</v>
      </c>
      <c r="I291">
        <f t="shared" ca="1" si="40"/>
        <v>6.5102303619974005E-3</v>
      </c>
      <c r="O291">
        <f t="shared" ca="1" si="41"/>
        <v>1.1973792626850592</v>
      </c>
      <c r="P291">
        <f t="shared" ca="1" si="42"/>
        <v>1.3273600732042101</v>
      </c>
      <c r="Q291">
        <f t="shared" ca="1" si="43"/>
        <v>1.2689338618819113</v>
      </c>
      <c r="R291">
        <f t="shared" ca="1" si="44"/>
        <v>1.0854034871161879</v>
      </c>
    </row>
    <row r="292" spans="1:18" x14ac:dyDescent="0.3">
      <c r="A292" s="2">
        <f ca="1">IFERROR(__xludf.DUMMYFUNCTION("""COMPUTED_VALUE"""),44645.6666666666)</f>
        <v>44645.666666666599</v>
      </c>
      <c r="B292" s="1">
        <f ca="1">IFERROR(__xludf.DUMMYFUNCTION("""COMPUTED_VALUE"""),452.69)</f>
        <v>452.69</v>
      </c>
      <c r="C292" s="1">
        <f ca="1">IFERROR(__xludf.DUMMYFUNCTION("""COMPUTED_VALUE"""),174.72)</f>
        <v>174.72</v>
      </c>
      <c r="D292" s="1">
        <f ca="1">IFERROR(__xludf.DUMMYFUNCTION("""COMPUTED_VALUE"""),303.68)</f>
        <v>303.68</v>
      </c>
      <c r="E292" s="1">
        <f ca="1">IFERROR(__xludf.DUMMYFUNCTION("""COMPUTED_VALUE"""),141.92)</f>
        <v>141.91999999999999</v>
      </c>
      <c r="F292">
        <f t="shared" ca="1" si="37"/>
        <v>4.8835712224466442E-3</v>
      </c>
      <c r="G292">
        <f t="shared" ca="1" si="38"/>
        <v>3.7341299477222137E-3</v>
      </c>
      <c r="H292">
        <f t="shared" ca="1" si="39"/>
        <v>-1.381124630055955E-3</v>
      </c>
      <c r="I292">
        <f t="shared" ca="1" si="40"/>
        <v>8.7426256308194596E-3</v>
      </c>
      <c r="O292">
        <f t="shared" ca="1" si="41"/>
        <v>1.2032267495946625</v>
      </c>
      <c r="P292">
        <f t="shared" ca="1" si="42"/>
        <v>1.3323166082049729</v>
      </c>
      <c r="Q292">
        <f t="shared" ca="1" si="43"/>
        <v>1.2671813060713542</v>
      </c>
      <c r="R292">
        <f t="shared" ca="1" si="44"/>
        <v>1.0948927634624306</v>
      </c>
    </row>
    <row r="293" spans="1:18" x14ac:dyDescent="0.3">
      <c r="A293" s="2">
        <f ca="1">IFERROR(__xludf.DUMMYFUNCTION("""COMPUTED_VALUE"""),44648.6666666666)</f>
        <v>44648.666666666599</v>
      </c>
      <c r="B293" s="1">
        <f ca="1">IFERROR(__xludf.DUMMYFUNCTION("""COMPUTED_VALUE"""),455.91)</f>
        <v>455.91</v>
      </c>
      <c r="C293" s="1">
        <f ca="1">IFERROR(__xludf.DUMMYFUNCTION("""COMPUTED_VALUE"""),175.6)</f>
        <v>175.6</v>
      </c>
      <c r="D293" s="1">
        <f ca="1">IFERROR(__xludf.DUMMYFUNCTION("""COMPUTED_VALUE"""),310.7)</f>
        <v>310.7</v>
      </c>
      <c r="E293" s="1">
        <f ca="1">IFERROR(__xludf.DUMMYFUNCTION("""COMPUTED_VALUE"""),140.87)</f>
        <v>140.87</v>
      </c>
      <c r="F293">
        <f t="shared" ca="1" si="37"/>
        <v>7.1130354105459082E-3</v>
      </c>
      <c r="G293">
        <f t="shared" ca="1" si="38"/>
        <v>5.0366300366300109E-3</v>
      </c>
      <c r="H293">
        <f t="shared" ca="1" si="39"/>
        <v>2.3116438356164323E-2</v>
      </c>
      <c r="I293">
        <f t="shared" ca="1" si="40"/>
        <v>-7.3985343855692155E-3</v>
      </c>
      <c r="O293">
        <f t="shared" ca="1" si="41"/>
        <v>1.2117853440714454</v>
      </c>
      <c r="P293">
        <f t="shared" ca="1" si="42"/>
        <v>1.3390269940521591</v>
      </c>
      <c r="Q293">
        <f t="shared" ca="1" si="43"/>
        <v>1.2964740246192366</v>
      </c>
      <c r="R293">
        <f t="shared" ca="1" si="44"/>
        <v>1.0867921617034428</v>
      </c>
    </row>
    <row r="294" spans="1:18" x14ac:dyDescent="0.3">
      <c r="A294" s="2">
        <f ca="1">IFERROR(__xludf.DUMMYFUNCTION("""COMPUTED_VALUE"""),44649.6666666666)</f>
        <v>44649.666666666599</v>
      </c>
      <c r="B294" s="1">
        <f ca="1">IFERROR(__xludf.DUMMYFUNCTION("""COMPUTED_VALUE"""),461.55)</f>
        <v>461.55</v>
      </c>
      <c r="C294" s="1">
        <f ca="1">IFERROR(__xludf.DUMMYFUNCTION("""COMPUTED_VALUE"""),178.96)</f>
        <v>178.96</v>
      </c>
      <c r="D294" s="1">
        <f ca="1">IFERROR(__xludf.DUMMYFUNCTION("""COMPUTED_VALUE"""),315.41)</f>
        <v>315.41000000000003</v>
      </c>
      <c r="E294" s="1">
        <f ca="1">IFERROR(__xludf.DUMMYFUNCTION("""COMPUTED_VALUE"""),141.18)</f>
        <v>141.18</v>
      </c>
      <c r="F294">
        <f t="shared" ca="1" si="37"/>
        <v>1.2370862670263837E-2</v>
      </c>
      <c r="G294">
        <f t="shared" ca="1" si="38"/>
        <v>1.9134396355353155E-2</v>
      </c>
      <c r="H294">
        <f t="shared" ca="1" si="39"/>
        <v>1.5159317669778039E-2</v>
      </c>
      <c r="I294">
        <f t="shared" ca="1" si="40"/>
        <v>2.2006104919429421E-3</v>
      </c>
      <c r="O294">
        <f t="shared" ca="1" si="41"/>
        <v>1.2267761741487917</v>
      </c>
      <c r="P294">
        <f t="shared" ca="1" si="42"/>
        <v>1.3646484672868702</v>
      </c>
      <c r="Q294">
        <f t="shared" ca="1" si="43"/>
        <v>1.3161276862090552</v>
      </c>
      <c r="R294">
        <f t="shared" ca="1" si="44"/>
        <v>1.0891837679370489</v>
      </c>
    </row>
    <row r="295" spans="1:18" x14ac:dyDescent="0.3">
      <c r="A295" s="2">
        <f ca="1">IFERROR(__xludf.DUMMYFUNCTION("""COMPUTED_VALUE"""),44650.6666666666)</f>
        <v>44650.666666666599</v>
      </c>
      <c r="B295" s="1">
        <f ca="1">IFERROR(__xludf.DUMMYFUNCTION("""COMPUTED_VALUE"""),458.7)</f>
        <v>458.7</v>
      </c>
      <c r="C295" s="1">
        <f ca="1">IFERROR(__xludf.DUMMYFUNCTION("""COMPUTED_VALUE"""),177.77)</f>
        <v>177.77</v>
      </c>
      <c r="D295" s="1">
        <f ca="1">IFERROR(__xludf.DUMMYFUNCTION("""COMPUTED_VALUE"""),313.86)</f>
        <v>313.86</v>
      </c>
      <c r="E295" s="1">
        <f ca="1">IFERROR(__xludf.DUMMYFUNCTION("""COMPUTED_VALUE"""),140.54)</f>
        <v>140.54</v>
      </c>
      <c r="F295">
        <f t="shared" ca="1" si="37"/>
        <v>-6.1748456288593274E-3</v>
      </c>
      <c r="G295">
        <f t="shared" ca="1" si="38"/>
        <v>-6.6495306213678902E-3</v>
      </c>
      <c r="H295">
        <f t="shared" ca="1" si="39"/>
        <v>-4.9142386100631281E-3</v>
      </c>
      <c r="I295">
        <f t="shared" ca="1" si="40"/>
        <v>-4.5332200028333674E-3</v>
      </c>
      <c r="O295">
        <f t="shared" ca="1" si="41"/>
        <v>1.2192010206522603</v>
      </c>
      <c r="P295">
        <f t="shared" ca="1" si="42"/>
        <v>1.3555741955162435</v>
      </c>
      <c r="Q295">
        <f t="shared" ca="1" si="43"/>
        <v>1.3096599207177135</v>
      </c>
      <c r="R295">
        <f t="shared" ca="1" si="44"/>
        <v>1.0842462582934751</v>
      </c>
    </row>
    <row r="296" spans="1:18" x14ac:dyDescent="0.3">
      <c r="A296" s="2">
        <f ca="1">IFERROR(__xludf.DUMMYFUNCTION("""COMPUTED_VALUE"""),44651.6666666666)</f>
        <v>44651.666666666599</v>
      </c>
      <c r="B296" s="1">
        <f ca="1">IFERROR(__xludf.DUMMYFUNCTION("""COMPUTED_VALUE"""),451.64)</f>
        <v>451.64</v>
      </c>
      <c r="C296" s="1">
        <f ca="1">IFERROR(__xludf.DUMMYFUNCTION("""COMPUTED_VALUE"""),174.61)</f>
        <v>174.61</v>
      </c>
      <c r="D296" s="1">
        <f ca="1">IFERROR(__xludf.DUMMYFUNCTION("""COMPUTED_VALUE"""),308.31)</f>
        <v>308.31</v>
      </c>
      <c r="E296" s="1">
        <f ca="1">IFERROR(__xludf.DUMMYFUNCTION("""COMPUTED_VALUE"""),136.32)</f>
        <v>136.32</v>
      </c>
      <c r="F296">
        <f t="shared" ca="1" si="37"/>
        <v>-1.5391323304992375E-2</v>
      </c>
      <c r="G296">
        <f t="shared" ca="1" si="38"/>
        <v>-1.7775777690273928E-2</v>
      </c>
      <c r="H296">
        <f t="shared" ca="1" si="39"/>
        <v>-1.7683043395144368E-2</v>
      </c>
      <c r="I296">
        <f t="shared" ca="1" si="40"/>
        <v>-3.0027038565532939E-2</v>
      </c>
      <c r="O296">
        <f t="shared" ca="1" si="41"/>
        <v>1.2004359035696246</v>
      </c>
      <c r="P296">
        <f t="shared" ca="1" si="42"/>
        <v>1.3314778099740747</v>
      </c>
      <c r="Q296">
        <f t="shared" ca="1" si="43"/>
        <v>1.2865011475067809</v>
      </c>
      <c r="R296">
        <f t="shared" ca="1" si="44"/>
        <v>1.0516895540811622</v>
      </c>
    </row>
    <row r="297" spans="1:18" x14ac:dyDescent="0.3">
      <c r="A297" s="2">
        <f ca="1">IFERROR(__xludf.DUMMYFUNCTION("""COMPUTED_VALUE"""),44652.6666666666)</f>
        <v>44652.666666666599</v>
      </c>
      <c r="B297" s="1">
        <f ca="1">IFERROR(__xludf.DUMMYFUNCTION("""COMPUTED_VALUE"""),452.92)</f>
        <v>452.92</v>
      </c>
      <c r="C297" s="1">
        <f ca="1">IFERROR(__xludf.DUMMYFUNCTION("""COMPUTED_VALUE"""),174.31)</f>
        <v>174.31</v>
      </c>
      <c r="D297" s="1">
        <f ca="1">IFERROR(__xludf.DUMMYFUNCTION("""COMPUTED_VALUE"""),309.42)</f>
        <v>309.42</v>
      </c>
      <c r="E297" s="1">
        <f ca="1">IFERROR(__xludf.DUMMYFUNCTION("""COMPUTED_VALUE"""),135.31)</f>
        <v>135.31</v>
      </c>
      <c r="F297">
        <f t="shared" ca="1" si="37"/>
        <v>2.8341156673457389E-3</v>
      </c>
      <c r="G297">
        <f t="shared" ca="1" si="38"/>
        <v>-1.7181146555180766E-3</v>
      </c>
      <c r="H297">
        <f t="shared" ca="1" si="39"/>
        <v>3.6002724530505453E-3</v>
      </c>
      <c r="I297">
        <f t="shared" ca="1" si="40"/>
        <v>-7.4090375586853795E-3</v>
      </c>
      <c r="O297">
        <f t="shared" ca="1" si="41"/>
        <v>1.2038380777715756</v>
      </c>
      <c r="P297">
        <f t="shared" ca="1" si="42"/>
        <v>1.3291901784352611</v>
      </c>
      <c r="Q297">
        <f t="shared" ca="1" si="43"/>
        <v>1.2911329021489675</v>
      </c>
      <c r="R297">
        <f t="shared" ca="1" si="44"/>
        <v>1.0438975466748976</v>
      </c>
    </row>
    <row r="298" spans="1:18" x14ac:dyDescent="0.3">
      <c r="A298" s="2">
        <f ca="1">IFERROR(__xludf.DUMMYFUNCTION("""COMPUTED_VALUE"""),44655.6666666666)</f>
        <v>44655.666666666599</v>
      </c>
      <c r="B298" s="1">
        <f ca="1">IFERROR(__xludf.DUMMYFUNCTION("""COMPUTED_VALUE"""),456.8)</f>
        <v>456.8</v>
      </c>
      <c r="C298" s="1">
        <f ca="1">IFERROR(__xludf.DUMMYFUNCTION("""COMPUTED_VALUE"""),178.44)</f>
        <v>178.44</v>
      </c>
      <c r="D298" s="1">
        <f ca="1">IFERROR(__xludf.DUMMYFUNCTION("""COMPUTED_VALUE"""),314.97)</f>
        <v>314.97000000000003</v>
      </c>
      <c r="E298" s="1">
        <f ca="1">IFERROR(__xludf.DUMMYFUNCTION("""COMPUTED_VALUE"""),135.91)</f>
        <v>135.91</v>
      </c>
      <c r="F298">
        <f t="shared" ca="1" si="37"/>
        <v>8.5666342842002901E-3</v>
      </c>
      <c r="G298">
        <f t="shared" ca="1" si="38"/>
        <v>2.3693419769376372E-2</v>
      </c>
      <c r="H298">
        <f t="shared" ca="1" si="39"/>
        <v>1.7936784952491795E-2</v>
      </c>
      <c r="I298">
        <f t="shared" ca="1" si="40"/>
        <v>4.434262064887993E-3</v>
      </c>
      <c r="O298">
        <f t="shared" ca="1" si="41"/>
        <v>1.2141509183212393</v>
      </c>
      <c r="P298">
        <f t="shared" ca="1" si="42"/>
        <v>1.36068323928626</v>
      </c>
      <c r="Q298">
        <f t="shared" ca="1" si="43"/>
        <v>1.3142916753599001</v>
      </c>
      <c r="R298">
        <f t="shared" ca="1" si="44"/>
        <v>1.0485264619657479</v>
      </c>
    </row>
    <row r="299" spans="1:18" x14ac:dyDescent="0.3">
      <c r="A299" s="2">
        <f ca="1">IFERROR(__xludf.DUMMYFUNCTION("""COMPUTED_VALUE"""),44656.6666666666)</f>
        <v>44656.666666666599</v>
      </c>
      <c r="B299" s="1">
        <f ca="1">IFERROR(__xludf.DUMMYFUNCTION("""COMPUTED_VALUE"""),451.03)</f>
        <v>451.03</v>
      </c>
      <c r="C299" s="1">
        <f ca="1">IFERROR(__xludf.DUMMYFUNCTION("""COMPUTED_VALUE"""),175.06)</f>
        <v>175.06</v>
      </c>
      <c r="D299" s="1">
        <f ca="1">IFERROR(__xludf.DUMMYFUNCTION("""COMPUTED_VALUE"""),310.88)</f>
        <v>310.88</v>
      </c>
      <c r="E299" s="1">
        <f ca="1">IFERROR(__xludf.DUMMYFUNCTION("""COMPUTED_VALUE"""),133.34)</f>
        <v>133.34</v>
      </c>
      <c r="F299">
        <f t="shared" ca="1" si="37"/>
        <v>-1.2631348511383622E-2</v>
      </c>
      <c r="G299">
        <f t="shared" ca="1" si="38"/>
        <v>-1.8941941268773792E-2</v>
      </c>
      <c r="H299">
        <f t="shared" ca="1" si="39"/>
        <v>-1.2985363685430459E-2</v>
      </c>
      <c r="I299">
        <f t="shared" ca="1" si="40"/>
        <v>-1.890957251122061E-2</v>
      </c>
      <c r="O299">
        <f t="shared" ca="1" si="41"/>
        <v>1.1988145549265072</v>
      </c>
      <c r="P299">
        <f t="shared" ca="1" si="42"/>
        <v>1.3349092572822947</v>
      </c>
      <c r="Q299">
        <f t="shared" ca="1" si="43"/>
        <v>1.297225119966618</v>
      </c>
      <c r="R299">
        <f t="shared" ca="1" si="44"/>
        <v>1.0286992748032731</v>
      </c>
    </row>
    <row r="300" spans="1:18" x14ac:dyDescent="0.3">
      <c r="A300" s="2">
        <f ca="1">IFERROR(__xludf.DUMMYFUNCTION("""COMPUTED_VALUE"""),44657.6666666666)</f>
        <v>44657.666666666599</v>
      </c>
      <c r="B300" s="1">
        <f ca="1">IFERROR(__xludf.DUMMYFUNCTION("""COMPUTED_VALUE"""),446.52)</f>
        <v>446.52</v>
      </c>
      <c r="C300" s="1">
        <f ca="1">IFERROR(__xludf.DUMMYFUNCTION("""COMPUTED_VALUE"""),171.83)</f>
        <v>171.83</v>
      </c>
      <c r="D300" s="1">
        <f ca="1">IFERROR(__xludf.DUMMYFUNCTION("""COMPUTED_VALUE"""),299.5)</f>
        <v>299.5</v>
      </c>
      <c r="E300" s="1">
        <f ca="1">IFERROR(__xludf.DUMMYFUNCTION("""COMPUTED_VALUE"""),131.49)</f>
        <v>131.49</v>
      </c>
      <c r="F300">
        <f t="shared" ca="1" si="37"/>
        <v>-9.9993348557745401E-3</v>
      </c>
      <c r="G300">
        <f t="shared" ca="1" si="38"/>
        <v>-1.8450816862789841E-2</v>
      </c>
      <c r="H300">
        <f t="shared" ca="1" si="39"/>
        <v>-3.6605764282038072E-2</v>
      </c>
      <c r="I300">
        <f t="shared" ca="1" si="40"/>
        <v>-1.3874306284685722E-2</v>
      </c>
      <c r="O300">
        <f t="shared" ca="1" si="41"/>
        <v>1.1868272067618209</v>
      </c>
      <c r="P300">
        <f t="shared" ca="1" si="42"/>
        <v>1.3102790910477362</v>
      </c>
      <c r="Q300">
        <f t="shared" ca="1" si="43"/>
        <v>1.2497392030043815</v>
      </c>
      <c r="R300">
        <f t="shared" ca="1" si="44"/>
        <v>1.0144267859898184</v>
      </c>
    </row>
    <row r="301" spans="1:18" x14ac:dyDescent="0.3">
      <c r="A301" s="2">
        <f ca="1">IFERROR(__xludf.DUMMYFUNCTION("""COMPUTED_VALUE"""),44658.6666666666)</f>
        <v>44658.666666666599</v>
      </c>
      <c r="B301" s="1">
        <f ca="1">IFERROR(__xludf.DUMMYFUNCTION("""COMPUTED_VALUE"""),448.77)</f>
        <v>448.77</v>
      </c>
      <c r="C301" s="1">
        <f ca="1">IFERROR(__xludf.DUMMYFUNCTION("""COMPUTED_VALUE"""),172.14)</f>
        <v>172.14</v>
      </c>
      <c r="D301" s="1">
        <f ca="1">IFERROR(__xludf.DUMMYFUNCTION("""COMPUTED_VALUE"""),301.37)</f>
        <v>301.37</v>
      </c>
      <c r="E301" s="1">
        <f ca="1">IFERROR(__xludf.DUMMYFUNCTION("""COMPUTED_VALUE"""),131.09)</f>
        <v>131.09</v>
      </c>
      <c r="F301">
        <f t="shared" ca="1" si="37"/>
        <v>5.0389680193496378E-3</v>
      </c>
      <c r="G301">
        <f t="shared" ca="1" si="38"/>
        <v>1.8041087120990154E-3</v>
      </c>
      <c r="H301">
        <f t="shared" ca="1" si="39"/>
        <v>6.243739565943254E-3</v>
      </c>
      <c r="I301">
        <f t="shared" ca="1" si="40"/>
        <v>-3.0420564301468223E-3</v>
      </c>
      <c r="O301">
        <f t="shared" ca="1" si="41"/>
        <v>1.1928075911011877</v>
      </c>
      <c r="P301">
        <f t="shared" ca="1" si="42"/>
        <v>1.3126429769711767</v>
      </c>
      <c r="Q301">
        <f t="shared" ca="1" si="43"/>
        <v>1.2575422491132902</v>
      </c>
      <c r="R301">
        <f t="shared" ca="1" si="44"/>
        <v>1.0113408424625849</v>
      </c>
    </row>
    <row r="302" spans="1:18" x14ac:dyDescent="0.3">
      <c r="A302" s="2">
        <f ca="1">IFERROR(__xludf.DUMMYFUNCTION("""COMPUTED_VALUE"""),44659.6666666666)</f>
        <v>44659.666666666599</v>
      </c>
      <c r="B302" s="1">
        <f ca="1">IFERROR(__xludf.DUMMYFUNCTION("""COMPUTED_VALUE"""),447.57)</f>
        <v>447.57</v>
      </c>
      <c r="C302" s="1">
        <f ca="1">IFERROR(__xludf.DUMMYFUNCTION("""COMPUTED_VALUE"""),170.09)</f>
        <v>170.09</v>
      </c>
      <c r="D302" s="1">
        <f ca="1">IFERROR(__xludf.DUMMYFUNCTION("""COMPUTED_VALUE"""),296.97)</f>
        <v>296.97000000000003</v>
      </c>
      <c r="E302" s="1">
        <f ca="1">IFERROR(__xludf.DUMMYFUNCTION("""COMPUTED_VALUE"""),133.49)</f>
        <v>133.49</v>
      </c>
      <c r="F302">
        <f t="shared" ca="1" si="37"/>
        <v>-2.6739755331238466E-3</v>
      </c>
      <c r="G302">
        <f t="shared" ca="1" si="38"/>
        <v>-1.1908911351225649E-2</v>
      </c>
      <c r="H302">
        <f t="shared" ca="1" si="39"/>
        <v>-1.4599993363639305E-2</v>
      </c>
      <c r="I302">
        <f t="shared" ca="1" si="40"/>
        <v>1.8308032649324932E-2</v>
      </c>
      <c r="O302">
        <f t="shared" ca="1" si="41"/>
        <v>1.1896180527868587</v>
      </c>
      <c r="P302">
        <f t="shared" ca="1" si="42"/>
        <v>1.297010828122618</v>
      </c>
      <c r="Q302">
        <f t="shared" ca="1" si="43"/>
        <v>1.23918214062174</v>
      </c>
      <c r="R302">
        <f t="shared" ca="1" si="44"/>
        <v>1.0298565036259859</v>
      </c>
    </row>
    <row r="303" spans="1:18" x14ac:dyDescent="0.3">
      <c r="A303" s="2">
        <f ca="1">IFERROR(__xludf.DUMMYFUNCTION("""COMPUTED_VALUE"""),44662.6666666666)</f>
        <v>44662.666666666599</v>
      </c>
      <c r="B303" s="1">
        <f ca="1">IFERROR(__xludf.DUMMYFUNCTION("""COMPUTED_VALUE"""),439.92)</f>
        <v>439.92</v>
      </c>
      <c r="C303" s="1">
        <f ca="1">IFERROR(__xludf.DUMMYFUNCTION("""COMPUTED_VALUE"""),165.75)</f>
        <v>165.75</v>
      </c>
      <c r="D303" s="1">
        <f ca="1">IFERROR(__xludf.DUMMYFUNCTION("""COMPUTED_VALUE"""),285.26)</f>
        <v>285.26</v>
      </c>
      <c r="E303" s="1">
        <f ca="1">IFERROR(__xludf.DUMMYFUNCTION("""COMPUTED_VALUE"""),133)</f>
        <v>133</v>
      </c>
      <c r="F303">
        <f t="shared" ca="1" si="37"/>
        <v>-1.7092298411421628E-2</v>
      </c>
      <c r="G303">
        <f t="shared" ca="1" si="38"/>
        <v>-2.5515903345287808E-2</v>
      </c>
      <c r="H303">
        <f t="shared" ca="1" si="39"/>
        <v>-3.9431592416742552E-2</v>
      </c>
      <c r="I303">
        <f t="shared" ca="1" si="40"/>
        <v>-3.6706869428422282E-3</v>
      </c>
      <c r="O303">
        <f t="shared" ca="1" si="41"/>
        <v>1.1692847460330114</v>
      </c>
      <c r="P303">
        <f t="shared" ca="1" si="42"/>
        <v>1.2639164251944495</v>
      </c>
      <c r="Q303">
        <f t="shared" ca="1" si="43"/>
        <v>1.190319215522637</v>
      </c>
      <c r="R303">
        <f t="shared" ca="1" si="44"/>
        <v>1.0260762228051248</v>
      </c>
    </row>
    <row r="304" spans="1:18" x14ac:dyDescent="0.3">
      <c r="A304" s="2">
        <f ca="1">IFERROR(__xludf.DUMMYFUNCTION("""COMPUTED_VALUE"""),44663.6666666666)</f>
        <v>44663.666666666599</v>
      </c>
      <c r="B304" s="1">
        <f ca="1">IFERROR(__xludf.DUMMYFUNCTION("""COMPUTED_VALUE"""),438.29)</f>
        <v>438.29</v>
      </c>
      <c r="C304" s="1">
        <f ca="1">IFERROR(__xludf.DUMMYFUNCTION("""COMPUTED_VALUE"""),167.66)</f>
        <v>167.66</v>
      </c>
      <c r="D304" s="1">
        <f ca="1">IFERROR(__xludf.DUMMYFUNCTION("""COMPUTED_VALUE"""),282.06)</f>
        <v>282.06</v>
      </c>
      <c r="E304" s="1">
        <f ca="1">IFERROR(__xludf.DUMMYFUNCTION("""COMPUTED_VALUE"""),131.54)</f>
        <v>131.54</v>
      </c>
      <c r="F304">
        <f t="shared" ca="1" si="37"/>
        <v>-3.705219130751035E-3</v>
      </c>
      <c r="G304">
        <f t="shared" ca="1" si="38"/>
        <v>1.1523378582202091E-2</v>
      </c>
      <c r="H304">
        <f t="shared" ca="1" si="39"/>
        <v>-1.1217836359812062E-2</v>
      </c>
      <c r="I304">
        <f t="shared" ca="1" si="40"/>
        <v>-1.0977443609022617E-2</v>
      </c>
      <c r="O304">
        <f t="shared" ca="1" si="41"/>
        <v>1.1649522898227145</v>
      </c>
      <c r="P304">
        <f t="shared" ca="1" si="42"/>
        <v>1.2784810126582284</v>
      </c>
      <c r="Q304">
        <f t="shared" ca="1" si="43"/>
        <v>1.1769664093469641</v>
      </c>
      <c r="R304">
        <f t="shared" ca="1" si="44"/>
        <v>1.0148125289307226</v>
      </c>
    </row>
    <row r="305" spans="1:18" x14ac:dyDescent="0.3">
      <c r="A305" s="2">
        <f ca="1">IFERROR(__xludf.DUMMYFUNCTION("""COMPUTED_VALUE"""),44664.6666666666)</f>
        <v>44664.666666666599</v>
      </c>
      <c r="B305" s="1">
        <f ca="1">IFERROR(__xludf.DUMMYFUNCTION("""COMPUTED_VALUE"""),443.31)</f>
        <v>443.31</v>
      </c>
      <c r="C305" s="1">
        <f ca="1">IFERROR(__xludf.DUMMYFUNCTION("""COMPUTED_VALUE"""),170.4)</f>
        <v>170.4</v>
      </c>
      <c r="D305" s="1">
        <f ca="1">IFERROR(__xludf.DUMMYFUNCTION("""COMPUTED_VALUE"""),287.62)</f>
        <v>287.62</v>
      </c>
      <c r="E305" s="1">
        <f ca="1">IFERROR(__xludf.DUMMYFUNCTION("""COMPUTED_VALUE"""),127.3)</f>
        <v>127.3</v>
      </c>
      <c r="F305">
        <f t="shared" ca="1" si="37"/>
        <v>1.1453603778320248E-2</v>
      </c>
      <c r="G305">
        <f t="shared" ca="1" si="38"/>
        <v>1.6342598115233264E-2</v>
      </c>
      <c r="H305">
        <f t="shared" ca="1" si="39"/>
        <v>1.9712117989080347E-2</v>
      </c>
      <c r="I305">
        <f t="shared" ca="1" si="40"/>
        <v>-3.22335411281739E-2</v>
      </c>
      <c r="O305">
        <f t="shared" ca="1" si="41"/>
        <v>1.1782951917709907</v>
      </c>
      <c r="P305">
        <f t="shared" ca="1" si="42"/>
        <v>1.2993747140460583</v>
      </c>
      <c r="Q305">
        <f t="shared" ca="1" si="43"/>
        <v>1.2001669100771959</v>
      </c>
      <c r="R305">
        <f t="shared" ca="1" si="44"/>
        <v>0.98210152754204805</v>
      </c>
    </row>
    <row r="306" spans="1:18" x14ac:dyDescent="0.3">
      <c r="A306" s="2">
        <f ca="1">IFERROR(__xludf.DUMMYFUNCTION("""COMPUTED_VALUE"""),44665.6666666666)</f>
        <v>44665.666666666599</v>
      </c>
      <c r="B306" s="1">
        <f ca="1">IFERROR(__xludf.DUMMYFUNCTION("""COMPUTED_VALUE"""),437.79)</f>
        <v>437.79</v>
      </c>
      <c r="C306" s="1">
        <f ca="1">IFERROR(__xludf.DUMMYFUNCTION("""COMPUTED_VALUE"""),165.29)</f>
        <v>165.29</v>
      </c>
      <c r="D306" s="1">
        <f ca="1">IFERROR(__xludf.DUMMYFUNCTION("""COMPUTED_VALUE"""),279.83)</f>
        <v>279.83</v>
      </c>
      <c r="E306" s="1">
        <f ca="1">IFERROR(__xludf.DUMMYFUNCTION("""COMPUTED_VALUE"""),126.12)</f>
        <v>126.12</v>
      </c>
      <c r="F306">
        <f t="shared" ca="1" si="37"/>
        <v>-1.2451783176558123E-2</v>
      </c>
      <c r="G306">
        <f t="shared" ca="1" si="38"/>
        <v>-2.9988262910798202E-2</v>
      </c>
      <c r="H306">
        <f t="shared" ca="1" si="39"/>
        <v>-2.7084347402823242E-2</v>
      </c>
      <c r="I306">
        <f t="shared" ca="1" si="40"/>
        <v>-9.2694422623722916E-3</v>
      </c>
      <c r="O306">
        <f t="shared" ca="1" si="41"/>
        <v>1.1636233155250773</v>
      </c>
      <c r="P306">
        <f t="shared" ca="1" si="42"/>
        <v>1.2604087235016019</v>
      </c>
      <c r="Q306">
        <f t="shared" ca="1" si="43"/>
        <v>1.1676611725432922</v>
      </c>
      <c r="R306">
        <f t="shared" ca="1" si="44"/>
        <v>0.9729979941367094</v>
      </c>
    </row>
    <row r="307" spans="1:18" x14ac:dyDescent="0.3">
      <c r="A307" s="2">
        <f ca="1">IFERROR(__xludf.DUMMYFUNCTION("""COMPUTED_VALUE"""),44669.6666666666)</f>
        <v>44669.666666666599</v>
      </c>
      <c r="B307" s="1">
        <f ca="1">IFERROR(__xludf.DUMMYFUNCTION("""COMPUTED_VALUE"""),437.97)</f>
        <v>437.97</v>
      </c>
      <c r="C307" s="1">
        <f ca="1">IFERROR(__xludf.DUMMYFUNCTION("""COMPUTED_VALUE"""),165.07)</f>
        <v>165.07</v>
      </c>
      <c r="D307" s="1">
        <f ca="1">IFERROR(__xludf.DUMMYFUNCTION("""COMPUTED_VALUE"""),280.52)</f>
        <v>280.52</v>
      </c>
      <c r="E307" s="1">
        <f ca="1">IFERROR(__xludf.DUMMYFUNCTION("""COMPUTED_VALUE"""),128.46)</f>
        <v>128.46</v>
      </c>
      <c r="F307">
        <f t="shared" ca="1" si="37"/>
        <v>4.1115603371481033E-4</v>
      </c>
      <c r="G307">
        <f t="shared" ca="1" si="38"/>
        <v>-1.3309940105269459E-3</v>
      </c>
      <c r="H307">
        <f t="shared" ca="1" si="39"/>
        <v>2.4657827966979872E-3</v>
      </c>
      <c r="I307">
        <f t="shared" ca="1" si="40"/>
        <v>1.8553758325404405E-2</v>
      </c>
      <c r="O307">
        <f t="shared" ca="1" si="41"/>
        <v>1.1641017462722265</v>
      </c>
      <c r="P307">
        <f t="shared" ca="1" si="42"/>
        <v>1.2587311270398054</v>
      </c>
      <c r="Q307">
        <f t="shared" ca="1" si="43"/>
        <v>1.1705403713749216</v>
      </c>
      <c r="R307">
        <f t="shared" ca="1" si="44"/>
        <v>0.9910507637710253</v>
      </c>
    </row>
    <row r="308" spans="1:18" x14ac:dyDescent="0.3">
      <c r="A308" s="2">
        <f ca="1">IFERROR(__xludf.DUMMYFUNCTION("""COMPUTED_VALUE"""),44670.6666666666)</f>
        <v>44670.666666666599</v>
      </c>
      <c r="B308" s="1">
        <f ca="1">IFERROR(__xludf.DUMMYFUNCTION("""COMPUTED_VALUE"""),445.04)</f>
        <v>445.04</v>
      </c>
      <c r="C308" s="1">
        <f ca="1">IFERROR(__xludf.DUMMYFUNCTION("""COMPUTED_VALUE"""),167.4)</f>
        <v>167.4</v>
      </c>
      <c r="D308" s="1">
        <f ca="1">IFERROR(__xludf.DUMMYFUNCTION("""COMPUTED_VALUE"""),285.3)</f>
        <v>285.3</v>
      </c>
      <c r="E308" s="1">
        <f ca="1">IFERROR(__xludf.DUMMYFUNCTION("""COMPUTED_VALUE"""),131.12)</f>
        <v>131.12</v>
      </c>
      <c r="F308">
        <f t="shared" ca="1" si="37"/>
        <v>1.6142658172934202E-2</v>
      </c>
      <c r="G308">
        <f t="shared" ca="1" si="38"/>
        <v>1.4115223844429712E-2</v>
      </c>
      <c r="H308">
        <f t="shared" ca="1" si="39"/>
        <v>1.7039783259660737E-2</v>
      </c>
      <c r="I308">
        <f t="shared" ca="1" si="40"/>
        <v>2.0706834812392935E-2</v>
      </c>
      <c r="O308">
        <f t="shared" ca="1" si="41"/>
        <v>1.1828934428408149</v>
      </c>
      <c r="P308">
        <f t="shared" ca="1" si="42"/>
        <v>1.2764983986579237</v>
      </c>
      <c r="Q308">
        <f t="shared" ca="1" si="43"/>
        <v>1.1904861255998331</v>
      </c>
      <c r="R308">
        <f t="shared" ca="1" si="44"/>
        <v>1.0115722882271276</v>
      </c>
    </row>
    <row r="309" spans="1:18" x14ac:dyDescent="0.3">
      <c r="A309" s="2">
        <f ca="1">IFERROR(__xludf.DUMMYFUNCTION("""COMPUTED_VALUE"""),44671.6666666666)</f>
        <v>44671.666666666599</v>
      </c>
      <c r="B309" s="1">
        <f ca="1">IFERROR(__xludf.DUMMYFUNCTION("""COMPUTED_VALUE"""),444.71)</f>
        <v>444.71</v>
      </c>
      <c r="C309" s="1">
        <f ca="1">IFERROR(__xludf.DUMMYFUNCTION("""COMPUTED_VALUE"""),167.23)</f>
        <v>167.23</v>
      </c>
      <c r="D309" s="1">
        <f ca="1">IFERROR(__xludf.DUMMYFUNCTION("""COMPUTED_VALUE"""),286.36)</f>
        <v>286.36</v>
      </c>
      <c r="E309" s="1">
        <f ca="1">IFERROR(__xludf.DUMMYFUNCTION("""COMPUTED_VALUE"""),131.58)</f>
        <v>131.58000000000001</v>
      </c>
      <c r="F309">
        <f t="shared" ca="1" si="37"/>
        <v>-7.4150638144895051E-4</v>
      </c>
      <c r="G309">
        <f t="shared" ca="1" si="38"/>
        <v>-1.0155316606930461E-3</v>
      </c>
      <c r="H309">
        <f t="shared" ca="1" si="39"/>
        <v>3.7153873116018304E-3</v>
      </c>
      <c r="I309">
        <f t="shared" ca="1" si="40"/>
        <v>3.5082367297133003E-3</v>
      </c>
      <c r="O309">
        <f t="shared" ca="1" si="41"/>
        <v>1.1820163198043743</v>
      </c>
      <c r="P309">
        <f t="shared" ca="1" si="42"/>
        <v>1.2752020741192627</v>
      </c>
      <c r="Q309">
        <f t="shared" ca="1" si="43"/>
        <v>1.1949092426455248</v>
      </c>
      <c r="R309">
        <f t="shared" ca="1" si="44"/>
        <v>1.0151211232834461</v>
      </c>
    </row>
    <row r="310" spans="1:18" x14ac:dyDescent="0.3">
      <c r="A310" s="2">
        <f ca="1">IFERROR(__xludf.DUMMYFUNCTION("""COMPUTED_VALUE"""),44672.6666666666)</f>
        <v>44672.666666666599</v>
      </c>
      <c r="B310" s="1">
        <f ca="1">IFERROR(__xludf.DUMMYFUNCTION("""COMPUTED_VALUE"""),438.06)</f>
        <v>438.06</v>
      </c>
      <c r="C310" s="1">
        <f ca="1">IFERROR(__xludf.DUMMYFUNCTION("""COMPUTED_VALUE"""),166.42)</f>
        <v>166.42</v>
      </c>
      <c r="D310" s="1">
        <f ca="1">IFERROR(__xludf.DUMMYFUNCTION("""COMPUTED_VALUE"""),280.81)</f>
        <v>280.81</v>
      </c>
      <c r="E310" s="1">
        <f ca="1">IFERROR(__xludf.DUMMYFUNCTION("""COMPUTED_VALUE"""),130.56)</f>
        <v>130.56</v>
      </c>
      <c r="F310">
        <f t="shared" ca="1" si="37"/>
        <v>-1.4953565244766202E-2</v>
      </c>
      <c r="G310">
        <f t="shared" ca="1" si="38"/>
        <v>-4.8436285355498553E-3</v>
      </c>
      <c r="H310">
        <f t="shared" ca="1" si="39"/>
        <v>-1.9381198491409454E-2</v>
      </c>
      <c r="I310">
        <f t="shared" ca="1" si="40"/>
        <v>-7.7519379844962011E-3</v>
      </c>
      <c r="O310">
        <f t="shared" ca="1" si="41"/>
        <v>1.1643409616458011</v>
      </c>
      <c r="P310">
        <f t="shared" ca="1" si="42"/>
        <v>1.2690254689644662</v>
      </c>
      <c r="Q310">
        <f t="shared" ca="1" si="43"/>
        <v>1.1717504694345922</v>
      </c>
      <c r="R310">
        <f t="shared" ca="1" si="44"/>
        <v>1.0072519672890006</v>
      </c>
    </row>
    <row r="311" spans="1:18" x14ac:dyDescent="0.3">
      <c r="A311" s="2">
        <f ca="1">IFERROR(__xludf.DUMMYFUNCTION("""COMPUTED_VALUE"""),44673.6666666666)</f>
        <v>44673.666666666599</v>
      </c>
      <c r="B311" s="1">
        <f ca="1">IFERROR(__xludf.DUMMYFUNCTION("""COMPUTED_VALUE"""),426.04)</f>
        <v>426.04</v>
      </c>
      <c r="C311" s="1">
        <f ca="1">IFERROR(__xludf.DUMMYFUNCTION("""COMPUTED_VALUE"""),161.79)</f>
        <v>161.79</v>
      </c>
      <c r="D311" s="1">
        <f ca="1">IFERROR(__xludf.DUMMYFUNCTION("""COMPUTED_VALUE"""),274.03)</f>
        <v>274.02999999999997</v>
      </c>
      <c r="E311" s="1">
        <f ca="1">IFERROR(__xludf.DUMMYFUNCTION("""COMPUTED_VALUE"""),126.81)</f>
        <v>126.81</v>
      </c>
      <c r="F311">
        <f t="shared" ca="1" si="37"/>
        <v>-2.7439163584897005E-2</v>
      </c>
      <c r="G311">
        <f t="shared" ca="1" si="38"/>
        <v>-2.782117533950244E-2</v>
      </c>
      <c r="H311">
        <f t="shared" ca="1" si="39"/>
        <v>-2.4144439300594813E-2</v>
      </c>
      <c r="I311">
        <f t="shared" ca="1" si="40"/>
        <v>-2.8722426470588234E-2</v>
      </c>
      <c r="O311">
        <f t="shared" ca="1" si="41"/>
        <v>1.1323924195306059</v>
      </c>
      <c r="P311">
        <f t="shared" ca="1" si="42"/>
        <v>1.2337196888821114</v>
      </c>
      <c r="Q311">
        <f t="shared" ca="1" si="43"/>
        <v>1.1434592113498852</v>
      </c>
      <c r="R311">
        <f t="shared" ca="1" si="44"/>
        <v>0.97832124672118692</v>
      </c>
    </row>
    <row r="312" spans="1:18" x14ac:dyDescent="0.3">
      <c r="A312" s="2">
        <f ca="1">IFERROR(__xludf.DUMMYFUNCTION("""COMPUTED_VALUE"""),44676.6666666666)</f>
        <v>44676.666666666599</v>
      </c>
      <c r="B312" s="1">
        <f ca="1">IFERROR(__xludf.DUMMYFUNCTION("""COMPUTED_VALUE"""),428.51)</f>
        <v>428.51</v>
      </c>
      <c r="C312" s="1">
        <f ca="1">IFERROR(__xludf.DUMMYFUNCTION("""COMPUTED_VALUE"""),162.88)</f>
        <v>162.88</v>
      </c>
      <c r="D312" s="1">
        <f ca="1">IFERROR(__xludf.DUMMYFUNCTION("""COMPUTED_VALUE"""),280.72)</f>
        <v>280.72000000000003</v>
      </c>
      <c r="E312" s="1">
        <f ca="1">IFERROR(__xludf.DUMMYFUNCTION("""COMPUTED_VALUE"""),126.77)</f>
        <v>126.77</v>
      </c>
      <c r="F312">
        <f t="shared" ca="1" si="37"/>
        <v>5.7975776922354009E-3</v>
      </c>
      <c r="G312">
        <f t="shared" ca="1" si="38"/>
        <v>6.7371283762902743E-3</v>
      </c>
      <c r="H312">
        <f t="shared" ca="1" si="39"/>
        <v>2.4413385395759789E-2</v>
      </c>
      <c r="I312">
        <f t="shared" ca="1" si="40"/>
        <v>-3.1543253686622702E-4</v>
      </c>
      <c r="O312">
        <f t="shared" ca="1" si="41"/>
        <v>1.138957552560933</v>
      </c>
      <c r="P312">
        <f t="shared" ca="1" si="42"/>
        <v>1.242031416806467</v>
      </c>
      <c r="Q312">
        <f t="shared" ca="1" si="43"/>
        <v>1.1713749217609015</v>
      </c>
      <c r="R312">
        <f t="shared" ca="1" si="44"/>
        <v>0.97801265236846346</v>
      </c>
    </row>
    <row r="313" spans="1:18" x14ac:dyDescent="0.3">
      <c r="A313" s="2">
        <f ca="1">IFERROR(__xludf.DUMMYFUNCTION("""COMPUTED_VALUE"""),44677.6666666666)</f>
        <v>44677.666666666599</v>
      </c>
      <c r="B313" s="1">
        <f ca="1">IFERROR(__xludf.DUMMYFUNCTION("""COMPUTED_VALUE"""),416.1)</f>
        <v>416.1</v>
      </c>
      <c r="C313" s="1">
        <f ca="1">IFERROR(__xludf.DUMMYFUNCTION("""COMPUTED_VALUE"""),156.8)</f>
        <v>156.80000000000001</v>
      </c>
      <c r="D313" s="1">
        <f ca="1">IFERROR(__xludf.DUMMYFUNCTION("""COMPUTED_VALUE"""),270.22)</f>
        <v>270.22000000000003</v>
      </c>
      <c r="E313" s="1">
        <f ca="1">IFERROR(__xludf.DUMMYFUNCTION("""COMPUTED_VALUE"""),123.02)</f>
        <v>123.02</v>
      </c>
      <c r="F313">
        <f t="shared" ca="1" si="37"/>
        <v>-2.8960817717206058E-2</v>
      </c>
      <c r="G313">
        <f t="shared" ca="1" si="38"/>
        <v>-3.7328094302553932E-2</v>
      </c>
      <c r="H313">
        <f t="shared" ca="1" si="39"/>
        <v>-3.7403818751781129E-2</v>
      </c>
      <c r="I313">
        <f t="shared" ca="1" si="40"/>
        <v>-2.9581131182456418E-2</v>
      </c>
      <c r="O313">
        <f t="shared" ca="1" si="41"/>
        <v>1.1059724104935806</v>
      </c>
      <c r="P313">
        <f t="shared" ca="1" si="42"/>
        <v>1.1956687509531805</v>
      </c>
      <c r="Q313">
        <f t="shared" ca="1" si="43"/>
        <v>1.1275610264969749</v>
      </c>
      <c r="R313">
        <f t="shared" ca="1" si="44"/>
        <v>0.94908193180064981</v>
      </c>
    </row>
    <row r="314" spans="1:18" x14ac:dyDescent="0.3">
      <c r="A314" s="2">
        <f ca="1">IFERROR(__xludf.DUMMYFUNCTION("""COMPUTED_VALUE"""),44678.6666666666)</f>
        <v>44678.666666666599</v>
      </c>
      <c r="B314" s="1">
        <f ca="1">IFERROR(__xludf.DUMMYFUNCTION("""COMPUTED_VALUE"""),417.27)</f>
        <v>417.27</v>
      </c>
      <c r="C314" s="1">
        <f ca="1">IFERROR(__xludf.DUMMYFUNCTION("""COMPUTED_VALUE"""),156.57)</f>
        <v>156.57</v>
      </c>
      <c r="D314" s="1">
        <f ca="1">IFERROR(__xludf.DUMMYFUNCTION("""COMPUTED_VALUE"""),283.22)</f>
        <v>283.22000000000003</v>
      </c>
      <c r="E314" s="1">
        <f ca="1">IFERROR(__xludf.DUMMYFUNCTION("""COMPUTED_VALUE"""),121.42)</f>
        <v>121.42</v>
      </c>
      <c r="F314">
        <f t="shared" ca="1" si="37"/>
        <v>2.8118240807497212E-3</v>
      </c>
      <c r="G314">
        <f t="shared" ca="1" si="38"/>
        <v>-1.4668367346939934E-3</v>
      </c>
      <c r="H314">
        <f t="shared" ca="1" si="39"/>
        <v>4.8108948264377172E-2</v>
      </c>
      <c r="I314">
        <f t="shared" ca="1" si="40"/>
        <v>-1.300601528206791E-2</v>
      </c>
      <c r="O314">
        <f t="shared" ca="1" si="41"/>
        <v>1.1090822103500513</v>
      </c>
      <c r="P314">
        <f t="shared" ca="1" si="42"/>
        <v>1.1939149001067568</v>
      </c>
      <c r="Q314">
        <f t="shared" ca="1" si="43"/>
        <v>1.181806801585646</v>
      </c>
      <c r="R314">
        <f t="shared" ca="1" si="44"/>
        <v>0.93673815769171598</v>
      </c>
    </row>
    <row r="315" spans="1:18" x14ac:dyDescent="0.3">
      <c r="A315" s="2">
        <f ca="1">IFERROR(__xludf.DUMMYFUNCTION("""COMPUTED_VALUE"""),44679.6666666666)</f>
        <v>44679.666666666599</v>
      </c>
      <c r="B315" s="1">
        <f ca="1">IFERROR(__xludf.DUMMYFUNCTION("""COMPUTED_VALUE"""),427.81)</f>
        <v>427.81</v>
      </c>
      <c r="C315" s="1">
        <f ca="1">IFERROR(__xludf.DUMMYFUNCTION("""COMPUTED_VALUE"""),163.64)</f>
        <v>163.63999999999999</v>
      </c>
      <c r="D315" s="1">
        <f ca="1">IFERROR(__xludf.DUMMYFUNCTION("""COMPUTED_VALUE"""),289.63)</f>
        <v>289.63</v>
      </c>
      <c r="E315" s="1">
        <f ca="1">IFERROR(__xludf.DUMMYFUNCTION("""COMPUTED_VALUE"""),123.34)</f>
        <v>123.34</v>
      </c>
      <c r="F315">
        <f t="shared" ca="1" si="37"/>
        <v>2.525942435353613E-2</v>
      </c>
      <c r="G315">
        <f t="shared" ca="1" si="38"/>
        <v>4.5155521491984374E-2</v>
      </c>
      <c r="H315">
        <f t="shared" ca="1" si="39"/>
        <v>2.2632582444742488E-2</v>
      </c>
      <c r="I315">
        <f t="shared" ca="1" si="40"/>
        <v>1.5812880909240667E-2</v>
      </c>
      <c r="O315">
        <f t="shared" ca="1" si="41"/>
        <v>1.1370969885442412</v>
      </c>
      <c r="P315">
        <f t="shared" ca="1" si="42"/>
        <v>1.2478267500381277</v>
      </c>
      <c r="Q315">
        <f t="shared" ca="1" si="43"/>
        <v>1.2085541414562904</v>
      </c>
      <c r="R315">
        <f t="shared" ca="1" si="44"/>
        <v>0.95155068662243647</v>
      </c>
    </row>
    <row r="316" spans="1:18" x14ac:dyDescent="0.3">
      <c r="A316" s="2">
        <f ca="1">IFERROR(__xludf.DUMMYFUNCTION("""COMPUTED_VALUE"""),44680.6666666666)</f>
        <v>44680.666666666599</v>
      </c>
      <c r="B316" s="1">
        <f ca="1">IFERROR(__xludf.DUMMYFUNCTION("""COMPUTED_VALUE"""),412)</f>
        <v>412</v>
      </c>
      <c r="C316" s="1">
        <f ca="1">IFERROR(__xludf.DUMMYFUNCTION("""COMPUTED_VALUE"""),157.65)</f>
        <v>157.65</v>
      </c>
      <c r="D316" s="1">
        <f ca="1">IFERROR(__xludf.DUMMYFUNCTION("""COMPUTED_VALUE"""),277.52)</f>
        <v>277.52</v>
      </c>
      <c r="E316" s="1">
        <f ca="1">IFERROR(__xludf.DUMMYFUNCTION("""COMPUTED_VALUE"""),119.36)</f>
        <v>119.36</v>
      </c>
      <c r="F316">
        <f t="shared" ca="1" si="37"/>
        <v>-3.6955657885509925E-2</v>
      </c>
      <c r="G316">
        <f t="shared" ca="1" si="38"/>
        <v>-3.6604742116841733E-2</v>
      </c>
      <c r="H316">
        <f t="shared" ca="1" si="39"/>
        <v>-4.1811966992369623E-2</v>
      </c>
      <c r="I316">
        <f t="shared" ca="1" si="40"/>
        <v>-3.2268526025620269E-2</v>
      </c>
      <c r="O316">
        <f t="shared" ca="1" si="41"/>
        <v>1.0950748212529566</v>
      </c>
      <c r="P316">
        <f t="shared" ca="1" si="42"/>
        <v>1.2021503736464854</v>
      </c>
      <c r="Q316">
        <f t="shared" ca="1" si="43"/>
        <v>1.1580221155852284</v>
      </c>
      <c r="R316">
        <f t="shared" ca="1" si="44"/>
        <v>0.92084554852646361</v>
      </c>
    </row>
    <row r="317" spans="1:18" x14ac:dyDescent="0.3">
      <c r="A317" s="2">
        <f ca="1">IFERROR(__xludf.DUMMYFUNCTION("""COMPUTED_VALUE"""),44683.6666666666)</f>
        <v>44683.666666666599</v>
      </c>
      <c r="B317" s="1">
        <f ca="1">IFERROR(__xludf.DUMMYFUNCTION("""COMPUTED_VALUE"""),414.48)</f>
        <v>414.48</v>
      </c>
      <c r="C317" s="1">
        <f ca="1">IFERROR(__xludf.DUMMYFUNCTION("""COMPUTED_VALUE"""),157.96)</f>
        <v>157.96</v>
      </c>
      <c r="D317" s="1">
        <f ca="1">IFERROR(__xludf.DUMMYFUNCTION("""COMPUTED_VALUE"""),284.47)</f>
        <v>284.47000000000003</v>
      </c>
      <c r="E317" s="1">
        <f ca="1">IFERROR(__xludf.DUMMYFUNCTION("""COMPUTED_VALUE"""),120.45)</f>
        <v>120.45</v>
      </c>
      <c r="F317">
        <f t="shared" ca="1" si="37"/>
        <v>6.0194174757281999E-3</v>
      </c>
      <c r="G317">
        <f t="shared" ca="1" si="38"/>
        <v>1.9663812242309057E-3</v>
      </c>
      <c r="H317">
        <f t="shared" ca="1" si="39"/>
        <v>2.5043240126837871E-2</v>
      </c>
      <c r="I317">
        <f t="shared" ca="1" si="40"/>
        <v>9.132037533512093E-3</v>
      </c>
      <c r="O317">
        <f t="shared" ca="1" si="41"/>
        <v>1.1016665337692366</v>
      </c>
      <c r="P317">
        <f t="shared" ca="1" si="42"/>
        <v>1.2045142595699261</v>
      </c>
      <c r="Q317">
        <f t="shared" ca="1" si="43"/>
        <v>1.1870227414980181</v>
      </c>
      <c r="R317">
        <f t="shared" ca="1" si="44"/>
        <v>0.9292547446381747</v>
      </c>
    </row>
    <row r="318" spans="1:18" x14ac:dyDescent="0.3">
      <c r="A318" s="2">
        <f ca="1">IFERROR(__xludf.DUMMYFUNCTION("""COMPUTED_VALUE"""),44684.6666666666)</f>
        <v>44684.666666666599</v>
      </c>
      <c r="B318" s="1">
        <f ca="1">IFERROR(__xludf.DUMMYFUNCTION("""COMPUTED_VALUE"""),416.38)</f>
        <v>416.38</v>
      </c>
      <c r="C318" s="1">
        <f ca="1">IFERROR(__xludf.DUMMYFUNCTION("""COMPUTED_VALUE"""),159.48)</f>
        <v>159.47999999999999</v>
      </c>
      <c r="D318" s="1">
        <f ca="1">IFERROR(__xludf.DUMMYFUNCTION("""COMPUTED_VALUE"""),281.78)</f>
        <v>281.77999999999997</v>
      </c>
      <c r="E318" s="1">
        <f ca="1">IFERROR(__xludf.DUMMYFUNCTION("""COMPUTED_VALUE"""),123.03)</f>
        <v>123.03</v>
      </c>
      <c r="F318">
        <f t="shared" ca="1" si="37"/>
        <v>4.5840571318277777E-3</v>
      </c>
      <c r="G318">
        <f t="shared" ca="1" si="38"/>
        <v>9.6226892884273343E-3</v>
      </c>
      <c r="H318">
        <f t="shared" ca="1" si="39"/>
        <v>-9.4561816711781713E-3</v>
      </c>
      <c r="I318">
        <f t="shared" ca="1" si="40"/>
        <v>2.1419676214196746E-2</v>
      </c>
      <c r="O318">
        <f t="shared" ca="1" si="41"/>
        <v>1.1067166361002576</v>
      </c>
      <c r="P318">
        <f t="shared" ca="1" si="42"/>
        <v>1.2161049260332475</v>
      </c>
      <c r="Q318">
        <f t="shared" ca="1" si="43"/>
        <v>1.1757980388065929</v>
      </c>
      <c r="R318">
        <f t="shared" ca="1" si="44"/>
        <v>0.94915908038883046</v>
      </c>
    </row>
    <row r="319" spans="1:18" x14ac:dyDescent="0.3">
      <c r="A319" s="2">
        <f ca="1">IFERROR(__xludf.DUMMYFUNCTION("""COMPUTED_VALUE"""),44685.6666666666)</f>
        <v>44685.666666666599</v>
      </c>
      <c r="B319" s="1">
        <f ca="1">IFERROR(__xludf.DUMMYFUNCTION("""COMPUTED_VALUE"""),429.06)</f>
        <v>429.06</v>
      </c>
      <c r="C319" s="1">
        <f ca="1">IFERROR(__xludf.DUMMYFUNCTION("""COMPUTED_VALUE"""),166.02)</f>
        <v>166.02</v>
      </c>
      <c r="D319" s="1">
        <f ca="1">IFERROR(__xludf.DUMMYFUNCTION("""COMPUTED_VALUE"""),289.98)</f>
        <v>289.98</v>
      </c>
      <c r="E319" s="1">
        <f ca="1">IFERROR(__xludf.DUMMYFUNCTION("""COMPUTED_VALUE"""),127.1)</f>
        <v>127.1</v>
      </c>
      <c r="F319">
        <f t="shared" ca="1" si="37"/>
        <v>3.0452951630721953E-2</v>
      </c>
      <c r="G319">
        <f t="shared" ca="1" si="38"/>
        <v>4.1008276899924888E-2</v>
      </c>
      <c r="H319">
        <f t="shared" ca="1" si="39"/>
        <v>2.9100716871318214E-2</v>
      </c>
      <c r="I319">
        <f t="shared" ca="1" si="40"/>
        <v>3.3081362269365137E-2</v>
      </c>
      <c r="O319">
        <f t="shared" ca="1" si="41"/>
        <v>1.1404194242883341</v>
      </c>
      <c r="P319">
        <f t="shared" ca="1" si="42"/>
        <v>1.2659752935793815</v>
      </c>
      <c r="Q319">
        <f t="shared" ca="1" si="43"/>
        <v>1.2100146046317548</v>
      </c>
      <c r="R319">
        <f t="shared" ca="1" si="44"/>
        <v>0.98055855577843076</v>
      </c>
    </row>
    <row r="320" spans="1:18" x14ac:dyDescent="0.3">
      <c r="A320" s="2">
        <f ca="1">IFERROR(__xludf.DUMMYFUNCTION("""COMPUTED_VALUE"""),44686.6666666666)</f>
        <v>44686.666666666599</v>
      </c>
      <c r="B320" s="1">
        <f ca="1">IFERROR(__xludf.DUMMYFUNCTION("""COMPUTED_VALUE"""),413.81)</f>
        <v>413.81</v>
      </c>
      <c r="C320" s="1">
        <f ca="1">IFERROR(__xludf.DUMMYFUNCTION("""COMPUTED_VALUE"""),156.77)</f>
        <v>156.77000000000001</v>
      </c>
      <c r="D320" s="1">
        <f ca="1">IFERROR(__xludf.DUMMYFUNCTION("""COMPUTED_VALUE"""),277.35)</f>
        <v>277.35000000000002</v>
      </c>
      <c r="E320" s="1">
        <f ca="1">IFERROR(__xludf.DUMMYFUNCTION("""COMPUTED_VALUE"""),123.92)</f>
        <v>123.92</v>
      </c>
      <c r="F320">
        <f t="shared" ca="1" si="37"/>
        <v>-3.554281452477509E-2</v>
      </c>
      <c r="G320">
        <f t="shared" ca="1" si="38"/>
        <v>-5.5716178773641725E-2</v>
      </c>
      <c r="H320">
        <f t="shared" ca="1" si="39"/>
        <v>-4.3554727912269796E-2</v>
      </c>
      <c r="I320">
        <f t="shared" ca="1" si="40"/>
        <v>-2.5019669551534167E-2</v>
      </c>
      <c r="O320">
        <f t="shared" ca="1" si="41"/>
        <v>1.099885708210403</v>
      </c>
      <c r="P320">
        <f t="shared" ca="1" si="42"/>
        <v>1.1954399877992992</v>
      </c>
      <c r="Q320">
        <f t="shared" ca="1" si="43"/>
        <v>1.1573127477571461</v>
      </c>
      <c r="R320">
        <f t="shared" ca="1" si="44"/>
        <v>0.95602530473692493</v>
      </c>
    </row>
    <row r="321" spans="1:18" x14ac:dyDescent="0.3">
      <c r="A321" s="2">
        <f ca="1">IFERROR(__xludf.DUMMYFUNCTION("""COMPUTED_VALUE"""),44687.6666666666)</f>
        <v>44687.666666666599</v>
      </c>
      <c r="B321" s="1">
        <f ca="1">IFERROR(__xludf.DUMMYFUNCTION("""COMPUTED_VALUE"""),411.34)</f>
        <v>411.34</v>
      </c>
      <c r="C321" s="1">
        <f ca="1">IFERROR(__xludf.DUMMYFUNCTION("""COMPUTED_VALUE"""),157.28)</f>
        <v>157.28</v>
      </c>
      <c r="D321" s="1">
        <f ca="1">IFERROR(__xludf.DUMMYFUNCTION("""COMPUTED_VALUE"""),274.73)</f>
        <v>274.73</v>
      </c>
      <c r="E321" s="1">
        <f ca="1">IFERROR(__xludf.DUMMYFUNCTION("""COMPUTED_VALUE"""),123.72)</f>
        <v>123.72</v>
      </c>
      <c r="F321">
        <f t="shared" ca="1" si="37"/>
        <v>-5.9689229356468601E-3</v>
      </c>
      <c r="G321">
        <f t="shared" ca="1" si="38"/>
        <v>3.2531734387956299E-3</v>
      </c>
      <c r="H321">
        <f t="shared" ca="1" si="39"/>
        <v>-9.4465476834325011E-3</v>
      </c>
      <c r="I321">
        <f t="shared" ca="1" si="40"/>
        <v>-1.6139444803099003E-3</v>
      </c>
      <c r="O321">
        <f t="shared" ca="1" si="41"/>
        <v>1.0933205751800756</v>
      </c>
      <c r="P321">
        <f t="shared" ca="1" si="42"/>
        <v>1.1993289614152822</v>
      </c>
      <c r="Q321">
        <f t="shared" ca="1" si="43"/>
        <v>1.146380137700814</v>
      </c>
      <c r="R321">
        <f t="shared" ca="1" si="44"/>
        <v>0.95448233297330809</v>
      </c>
    </row>
    <row r="322" spans="1:18" x14ac:dyDescent="0.3">
      <c r="A322" s="2">
        <f ca="1">IFERROR(__xludf.DUMMYFUNCTION("""COMPUTED_VALUE"""),44690.6666666666)</f>
        <v>44690.666666666599</v>
      </c>
      <c r="B322" s="1">
        <f ca="1">IFERROR(__xludf.DUMMYFUNCTION("""COMPUTED_VALUE"""),398.17)</f>
        <v>398.17</v>
      </c>
      <c r="C322" s="1">
        <f ca="1">IFERROR(__xludf.DUMMYFUNCTION("""COMPUTED_VALUE"""),152.06)</f>
        <v>152.06</v>
      </c>
      <c r="D322" s="1">
        <f ca="1">IFERROR(__xludf.DUMMYFUNCTION("""COMPUTED_VALUE"""),264.58)</f>
        <v>264.58</v>
      </c>
      <c r="E322" s="1">
        <f ca="1">IFERROR(__xludf.DUMMYFUNCTION("""COMPUTED_VALUE"""),121.86)</f>
        <v>121.86</v>
      </c>
      <c r="F322">
        <f t="shared" ca="1" si="37"/>
        <v>-3.201730928185919E-2</v>
      </c>
      <c r="G322">
        <f t="shared" ca="1" si="38"/>
        <v>-3.3189216683621556E-2</v>
      </c>
      <c r="H322">
        <f t="shared" ca="1" si="39"/>
        <v>-3.694536453973004E-2</v>
      </c>
      <c r="I322">
        <f t="shared" ca="1" si="40"/>
        <v>-1.503394762366634E-2</v>
      </c>
      <c r="O322">
        <f t="shared" ca="1" si="41"/>
        <v>1.058315392180315</v>
      </c>
      <c r="P322">
        <f t="shared" ca="1" si="42"/>
        <v>1.1595241726399277</v>
      </c>
      <c r="Q322">
        <f t="shared" ca="1" si="43"/>
        <v>1.1040267056123516</v>
      </c>
      <c r="R322">
        <f t="shared" ca="1" si="44"/>
        <v>0.94013269557167245</v>
      </c>
    </row>
    <row r="323" spans="1:18" x14ac:dyDescent="0.3">
      <c r="A323" s="2">
        <f ca="1">IFERROR(__xludf.DUMMYFUNCTION("""COMPUTED_VALUE"""),44691.6666666666)</f>
        <v>44691.666666666599</v>
      </c>
      <c r="B323" s="1">
        <f ca="1">IFERROR(__xludf.DUMMYFUNCTION("""COMPUTED_VALUE"""),399.09)</f>
        <v>399.09</v>
      </c>
      <c r="C323" s="1">
        <f ca="1">IFERROR(__xludf.DUMMYFUNCTION("""COMPUTED_VALUE"""),154.51)</f>
        <v>154.51</v>
      </c>
      <c r="D323" s="1">
        <f ca="1">IFERROR(__xludf.DUMMYFUNCTION("""COMPUTED_VALUE"""),269.5)</f>
        <v>269.5</v>
      </c>
      <c r="E323" s="1">
        <f ca="1">IFERROR(__xludf.DUMMYFUNCTION("""COMPUTED_VALUE"""),118.89)</f>
        <v>118.89</v>
      </c>
      <c r="F323">
        <f t="shared" ca="1" si="37"/>
        <v>2.3105708616921392E-3</v>
      </c>
      <c r="G323">
        <f t="shared" ca="1" si="38"/>
        <v>1.6112061028541291E-2</v>
      </c>
      <c r="H323">
        <f t="shared" ca="1" si="39"/>
        <v>1.859550986469127E-2</v>
      </c>
      <c r="I323">
        <f t="shared" ca="1" si="40"/>
        <v>-2.4372230428360404E-2</v>
      </c>
      <c r="O323">
        <f t="shared" ca="1" si="41"/>
        <v>1.0607607048879673</v>
      </c>
      <c r="P323">
        <f t="shared" ca="1" si="42"/>
        <v>1.178206496873571</v>
      </c>
      <c r="Q323">
        <f t="shared" ca="1" si="43"/>
        <v>1.1245566451074487</v>
      </c>
      <c r="R323">
        <f t="shared" ca="1" si="44"/>
        <v>0.91721956488196399</v>
      </c>
    </row>
    <row r="324" spans="1:18" x14ac:dyDescent="0.3">
      <c r="A324" s="2">
        <f ca="1">IFERROR(__xludf.DUMMYFUNCTION("""COMPUTED_VALUE"""),44692.6666666666)</f>
        <v>44692.666666666599</v>
      </c>
      <c r="B324" s="1">
        <f ca="1">IFERROR(__xludf.DUMMYFUNCTION("""COMPUTED_VALUE"""),392.75)</f>
        <v>392.75</v>
      </c>
      <c r="C324" s="1">
        <f ca="1">IFERROR(__xludf.DUMMYFUNCTION("""COMPUTED_VALUE"""),146.5)</f>
        <v>146.5</v>
      </c>
      <c r="D324" s="1">
        <f ca="1">IFERROR(__xludf.DUMMYFUNCTION("""COMPUTED_VALUE"""),260.55)</f>
        <v>260.55</v>
      </c>
      <c r="E324" s="1">
        <f ca="1">IFERROR(__xludf.DUMMYFUNCTION("""COMPUTED_VALUE"""),118.14)</f>
        <v>118.14</v>
      </c>
      <c r="F324">
        <f t="shared" ref="F324:F387" ca="1" si="45">(B324-B323)/B323</f>
        <v>-1.5886140970708298E-2</v>
      </c>
      <c r="G324">
        <f t="shared" ref="G324:G387" ca="1" si="46">(C324-C323)/C323</f>
        <v>-5.1841304769917752E-2</v>
      </c>
      <c r="H324">
        <f t="shared" ref="H324:H387" ca="1" si="47">(D324-D323)/D323</f>
        <v>-3.320964749536174E-2</v>
      </c>
      <c r="I324">
        <f t="shared" ref="I324:I387" ca="1" si="48">(E324-E323)/E323</f>
        <v>-6.3083522583901085E-3</v>
      </c>
      <c r="O324">
        <f t="shared" ref="O324:O387" ca="1" si="49">O323*(1+F324)</f>
        <v>1.043909310793929</v>
      </c>
      <c r="P324">
        <f t="shared" ref="P324:P387" ca="1" si="50">P323*(1+G324)</f>
        <v>1.1171267347872511</v>
      </c>
      <c r="Q324">
        <f t="shared" ref="Q324:Q387" ca="1" si="51">Q323*(1+H324)</f>
        <v>1.0872105153348637</v>
      </c>
      <c r="R324">
        <f t="shared" ref="R324:R387" ca="1" si="52">R323*(1+I324)</f>
        <v>0.91143342076840128</v>
      </c>
    </row>
    <row r="325" spans="1:18" x14ac:dyDescent="0.3">
      <c r="A325" s="2">
        <f ca="1">IFERROR(__xludf.DUMMYFUNCTION("""COMPUTED_VALUE"""),44693.6666666666)</f>
        <v>44693.666666666599</v>
      </c>
      <c r="B325" s="1">
        <f ca="1">IFERROR(__xludf.DUMMYFUNCTION("""COMPUTED_VALUE"""),392.34)</f>
        <v>392.34</v>
      </c>
      <c r="C325" s="1">
        <f ca="1">IFERROR(__xludf.DUMMYFUNCTION("""COMPUTED_VALUE"""),142.56)</f>
        <v>142.56</v>
      </c>
      <c r="D325" s="1">
        <f ca="1">IFERROR(__xludf.DUMMYFUNCTION("""COMPUTED_VALUE"""),255.35)</f>
        <v>255.35</v>
      </c>
      <c r="E325" s="1">
        <f ca="1">IFERROR(__xludf.DUMMYFUNCTION("""COMPUTED_VALUE"""),118.04)</f>
        <v>118.04</v>
      </c>
      <c r="F325">
        <f t="shared" ca="1" si="45"/>
        <v>-1.0439210693826226E-3</v>
      </c>
      <c r="G325">
        <f t="shared" ca="1" si="46"/>
        <v>-2.6894197952218413E-2</v>
      </c>
      <c r="H325">
        <f t="shared" ca="1" si="47"/>
        <v>-1.995778161581277E-2</v>
      </c>
      <c r="I325">
        <f t="shared" ca="1" si="48"/>
        <v>-8.464533604197928E-4</v>
      </c>
      <c r="O325">
        <f t="shared" ca="1" si="49"/>
        <v>1.0428195518698664</v>
      </c>
      <c r="P325">
        <f t="shared" ca="1" si="50"/>
        <v>1.0870825072441674</v>
      </c>
      <c r="Q325">
        <f t="shared" ca="1" si="51"/>
        <v>1.0655122052993953</v>
      </c>
      <c r="R325">
        <f t="shared" ca="1" si="52"/>
        <v>0.91066193488659297</v>
      </c>
    </row>
    <row r="326" spans="1:18" x14ac:dyDescent="0.3">
      <c r="A326" s="2">
        <f ca="1">IFERROR(__xludf.DUMMYFUNCTION("""COMPUTED_VALUE"""),44694.6666666666)</f>
        <v>44694.666666666599</v>
      </c>
      <c r="B326" s="1">
        <f ca="1">IFERROR(__xludf.DUMMYFUNCTION("""COMPUTED_VALUE"""),401.72)</f>
        <v>401.72</v>
      </c>
      <c r="C326" s="1">
        <f ca="1">IFERROR(__xludf.DUMMYFUNCTION("""COMPUTED_VALUE"""),147.11)</f>
        <v>147.11000000000001</v>
      </c>
      <c r="D326" s="1">
        <f ca="1">IFERROR(__xludf.DUMMYFUNCTION("""COMPUTED_VALUE"""),261.12)</f>
        <v>261.12</v>
      </c>
      <c r="E326" s="1">
        <f ca="1">IFERROR(__xludf.DUMMYFUNCTION("""COMPUTED_VALUE"""),119.09)</f>
        <v>119.09</v>
      </c>
      <c r="F326">
        <f t="shared" ca="1" si="45"/>
        <v>2.3907835041035972E-2</v>
      </c>
      <c r="G326">
        <f t="shared" ca="1" si="46"/>
        <v>3.1916386083052826E-2</v>
      </c>
      <c r="H326">
        <f t="shared" ca="1" si="47"/>
        <v>2.259643626395148E-2</v>
      </c>
      <c r="I326">
        <f t="shared" ca="1" si="48"/>
        <v>8.8952897322941132E-3</v>
      </c>
      <c r="O326">
        <f t="shared" ca="1" si="49"/>
        <v>1.0677511096935384</v>
      </c>
      <c r="P326">
        <f t="shared" ca="1" si="50"/>
        <v>1.1217782522495054</v>
      </c>
      <c r="Q326">
        <f t="shared" ca="1" si="51"/>
        <v>1.0895889839349053</v>
      </c>
      <c r="R326">
        <f t="shared" ca="1" si="52"/>
        <v>0.91876253664558072</v>
      </c>
    </row>
    <row r="327" spans="1:18" x14ac:dyDescent="0.3">
      <c r="A327" s="2">
        <f ca="1">IFERROR(__xludf.DUMMYFUNCTION("""COMPUTED_VALUE"""),44697.6666666666)</f>
        <v>44697.666666666599</v>
      </c>
      <c r="B327" s="1">
        <f ca="1">IFERROR(__xludf.DUMMYFUNCTION("""COMPUTED_VALUE"""),400.09)</f>
        <v>400.09</v>
      </c>
      <c r="C327" s="1">
        <f ca="1">IFERROR(__xludf.DUMMYFUNCTION("""COMPUTED_VALUE"""),145.54)</f>
        <v>145.54</v>
      </c>
      <c r="D327" s="1">
        <f ca="1">IFERROR(__xludf.DUMMYFUNCTION("""COMPUTED_VALUE"""),261.5)</f>
        <v>261.5</v>
      </c>
      <c r="E327" s="1">
        <f ca="1">IFERROR(__xludf.DUMMYFUNCTION("""COMPUTED_VALUE"""),118.26)</f>
        <v>118.26</v>
      </c>
      <c r="F327">
        <f t="shared" ca="1" si="45"/>
        <v>-4.0575525241463017E-3</v>
      </c>
      <c r="G327">
        <f t="shared" ca="1" si="46"/>
        <v>-1.0672286044456676E-2</v>
      </c>
      <c r="H327">
        <f t="shared" ca="1" si="47"/>
        <v>1.4552696078431197E-3</v>
      </c>
      <c r="I327">
        <f t="shared" ca="1" si="48"/>
        <v>-6.9695188512889266E-3</v>
      </c>
      <c r="O327">
        <f t="shared" ca="1" si="49"/>
        <v>1.0634186534832413</v>
      </c>
      <c r="P327">
        <f t="shared" ca="1" si="50"/>
        <v>1.1098063138630481</v>
      </c>
      <c r="Q327">
        <f t="shared" ca="1" si="51"/>
        <v>1.0911746296682665</v>
      </c>
      <c r="R327">
        <f t="shared" ca="1" si="52"/>
        <v>0.91235920382657132</v>
      </c>
    </row>
    <row r="328" spans="1:18" x14ac:dyDescent="0.3">
      <c r="A328" s="2">
        <f ca="1">IFERROR(__xludf.DUMMYFUNCTION("""COMPUTED_VALUE"""),44698.6666666666)</f>
        <v>44698.666666666599</v>
      </c>
      <c r="B328" s="1">
        <f ca="1">IFERROR(__xludf.DUMMYFUNCTION("""COMPUTED_VALUE"""),408.32)</f>
        <v>408.32</v>
      </c>
      <c r="C328" s="1">
        <f ca="1">IFERROR(__xludf.DUMMYFUNCTION("""COMPUTED_VALUE"""),149.24)</f>
        <v>149.24</v>
      </c>
      <c r="D328" s="1">
        <f ca="1">IFERROR(__xludf.DUMMYFUNCTION("""COMPUTED_VALUE"""),266.82)</f>
        <v>266.82</v>
      </c>
      <c r="E328" s="1">
        <f ca="1">IFERROR(__xludf.DUMMYFUNCTION("""COMPUTED_VALUE"""),122.18)</f>
        <v>122.18</v>
      </c>
      <c r="F328">
        <f t="shared" ca="1" si="45"/>
        <v>2.0570371666375112E-2</v>
      </c>
      <c r="G328">
        <f t="shared" ca="1" si="46"/>
        <v>2.542256424350706E-2</v>
      </c>
      <c r="H328">
        <f t="shared" ca="1" si="47"/>
        <v>2.0344168260038216E-2</v>
      </c>
      <c r="I328">
        <f t="shared" ca="1" si="48"/>
        <v>3.314730255369526E-2</v>
      </c>
      <c r="O328">
        <f t="shared" ca="1" si="49"/>
        <v>1.0852935704223479</v>
      </c>
      <c r="P328">
        <f t="shared" ca="1" si="50"/>
        <v>1.1380204361750812</v>
      </c>
      <c r="Q328">
        <f t="shared" ca="1" si="51"/>
        <v>1.1133736699353227</v>
      </c>
      <c r="R328">
        <f t="shared" ca="1" si="52"/>
        <v>0.94260145039345922</v>
      </c>
    </row>
    <row r="329" spans="1:18" x14ac:dyDescent="0.3">
      <c r="A329" s="2">
        <f ca="1">IFERROR(__xludf.DUMMYFUNCTION("""COMPUTED_VALUE"""),44699.6666666666)</f>
        <v>44699.666666666599</v>
      </c>
      <c r="B329" s="1">
        <f ca="1">IFERROR(__xludf.DUMMYFUNCTION("""COMPUTED_VALUE"""),391.86)</f>
        <v>391.86</v>
      </c>
      <c r="C329" s="1">
        <f ca="1">IFERROR(__xludf.DUMMYFUNCTION("""COMPUTED_VALUE"""),140.82)</f>
        <v>140.82</v>
      </c>
      <c r="D329" s="1">
        <f ca="1">IFERROR(__xludf.DUMMYFUNCTION("""COMPUTED_VALUE"""),254.08)</f>
        <v>254.08</v>
      </c>
      <c r="E329" s="1">
        <f ca="1">IFERROR(__xludf.DUMMYFUNCTION("""COMPUTED_VALUE"""),120.09)</f>
        <v>120.09</v>
      </c>
      <c r="F329">
        <f t="shared" ca="1" si="45"/>
        <v>-4.0311520376175497E-2</v>
      </c>
      <c r="G329">
        <f t="shared" ca="1" si="46"/>
        <v>-5.6419190565532129E-2</v>
      </c>
      <c r="H329">
        <f t="shared" ca="1" si="47"/>
        <v>-4.7747545161532047E-2</v>
      </c>
      <c r="I329">
        <f t="shared" ca="1" si="48"/>
        <v>-1.7105909314126724E-2</v>
      </c>
      <c r="O329">
        <f t="shared" ca="1" si="49"/>
        <v>1.0415437365441351</v>
      </c>
      <c r="P329">
        <f t="shared" ca="1" si="50"/>
        <v>1.0738142443190493</v>
      </c>
      <c r="Q329">
        <f t="shared" ca="1" si="51"/>
        <v>1.0602128103484252</v>
      </c>
      <c r="R329">
        <f t="shared" ca="1" si="52"/>
        <v>0.92647739546366437</v>
      </c>
    </row>
    <row r="330" spans="1:18" x14ac:dyDescent="0.3">
      <c r="A330" s="2">
        <f ca="1">IFERROR(__xludf.DUMMYFUNCTION("""COMPUTED_VALUE"""),44700.6666666666)</f>
        <v>44700.666666666599</v>
      </c>
      <c r="B330" s="1">
        <f ca="1">IFERROR(__xludf.DUMMYFUNCTION("""COMPUTED_VALUE"""),389.46)</f>
        <v>389.46</v>
      </c>
      <c r="C330" s="1">
        <f ca="1">IFERROR(__xludf.DUMMYFUNCTION("""COMPUTED_VALUE"""),137.35)</f>
        <v>137.35</v>
      </c>
      <c r="D330" s="1">
        <f ca="1">IFERROR(__xludf.DUMMYFUNCTION("""COMPUTED_VALUE"""),253.14)</f>
        <v>253.14</v>
      </c>
      <c r="E330" s="1">
        <f ca="1">IFERROR(__xludf.DUMMYFUNCTION("""COMPUTED_VALUE"""),118.31)</f>
        <v>118.31</v>
      </c>
      <c r="F330">
        <f t="shared" ca="1" si="45"/>
        <v>-6.1246363497168225E-3</v>
      </c>
      <c r="G330">
        <f t="shared" ca="1" si="46"/>
        <v>-2.4641386166737674E-2</v>
      </c>
      <c r="H330">
        <f t="shared" ca="1" si="47"/>
        <v>-3.6996221662469542E-3</v>
      </c>
      <c r="I330">
        <f t="shared" ca="1" si="48"/>
        <v>-1.482221667083022E-2</v>
      </c>
      <c r="O330">
        <f t="shared" ca="1" si="49"/>
        <v>1.0351646599154771</v>
      </c>
      <c r="P330">
        <f t="shared" ca="1" si="50"/>
        <v>1.04735397285344</v>
      </c>
      <c r="Q330">
        <f t="shared" ca="1" si="51"/>
        <v>1.0562904235343211</v>
      </c>
      <c r="R330">
        <f t="shared" ca="1" si="52"/>
        <v>0.91274494676747553</v>
      </c>
    </row>
    <row r="331" spans="1:18" x14ac:dyDescent="0.3">
      <c r="A331" s="2">
        <f ca="1">IFERROR(__xludf.DUMMYFUNCTION("""COMPUTED_VALUE"""),44701.6666666666)</f>
        <v>44701.666666666599</v>
      </c>
      <c r="B331" s="1">
        <f ca="1">IFERROR(__xludf.DUMMYFUNCTION("""COMPUTED_VALUE"""),389.63)</f>
        <v>389.63</v>
      </c>
      <c r="C331" s="1">
        <f ca="1">IFERROR(__xludf.DUMMYFUNCTION("""COMPUTED_VALUE"""),137.59)</f>
        <v>137.59</v>
      </c>
      <c r="D331" s="1">
        <f ca="1">IFERROR(__xludf.DUMMYFUNCTION("""COMPUTED_VALUE"""),252.56)</f>
        <v>252.56</v>
      </c>
      <c r="E331" s="1">
        <f ca="1">IFERROR(__xludf.DUMMYFUNCTION("""COMPUTED_VALUE"""),117.34)</f>
        <v>117.34</v>
      </c>
      <c r="F331">
        <f t="shared" ca="1" si="45"/>
        <v>4.3650182303706651E-4</v>
      </c>
      <c r="G331">
        <f t="shared" ca="1" si="46"/>
        <v>1.7473607571897277E-3</v>
      </c>
      <c r="H331">
        <f t="shared" ca="1" si="47"/>
        <v>-2.2912222485580473E-3</v>
      </c>
      <c r="I331">
        <f t="shared" ca="1" si="48"/>
        <v>-8.1987997633336061E-3</v>
      </c>
      <c r="O331">
        <f t="shared" ca="1" si="49"/>
        <v>1.0356165111766737</v>
      </c>
      <c r="P331">
        <f t="shared" ca="1" si="50"/>
        <v>1.0491840780844908</v>
      </c>
      <c r="Q331">
        <f t="shared" ca="1" si="51"/>
        <v>1.0538702274149805</v>
      </c>
      <c r="R331">
        <f t="shared" ca="1" si="52"/>
        <v>0.90526153371393436</v>
      </c>
    </row>
    <row r="332" spans="1:18" x14ac:dyDescent="0.3">
      <c r="A332" s="2">
        <f ca="1">IFERROR(__xludf.DUMMYFUNCTION("""COMPUTED_VALUE"""),44704.6666666666)</f>
        <v>44704.666666666599</v>
      </c>
      <c r="B332" s="1">
        <f ca="1">IFERROR(__xludf.DUMMYFUNCTION("""COMPUTED_VALUE"""),396.92)</f>
        <v>396.92</v>
      </c>
      <c r="C332" s="1">
        <f ca="1">IFERROR(__xludf.DUMMYFUNCTION("""COMPUTED_VALUE"""),143.11)</f>
        <v>143.11000000000001</v>
      </c>
      <c r="D332" s="1">
        <f ca="1">IFERROR(__xludf.DUMMYFUNCTION("""COMPUTED_VALUE"""),260.65)</f>
        <v>260.64999999999998</v>
      </c>
      <c r="E332" s="1">
        <f ca="1">IFERROR(__xludf.DUMMYFUNCTION("""COMPUTED_VALUE"""),124.6)</f>
        <v>124.6</v>
      </c>
      <c r="F332">
        <f t="shared" ca="1" si="45"/>
        <v>1.8710058260400945E-2</v>
      </c>
      <c r="G332">
        <f t="shared" ca="1" si="46"/>
        <v>4.0119194708917873E-2</v>
      </c>
      <c r="H332">
        <f t="shared" ca="1" si="47"/>
        <v>3.203199239784596E-2</v>
      </c>
      <c r="I332">
        <f t="shared" ca="1" si="48"/>
        <v>6.1871484574739989E-2</v>
      </c>
      <c r="O332">
        <f t="shared" ca="1" si="49"/>
        <v>1.0549929564362226</v>
      </c>
      <c r="P332">
        <f t="shared" ca="1" si="50"/>
        <v>1.0912764983986589</v>
      </c>
      <c r="Q332">
        <f t="shared" ca="1" si="51"/>
        <v>1.0876277905278535</v>
      </c>
      <c r="R332">
        <f t="shared" ca="1" si="52"/>
        <v>0.96127140873322148</v>
      </c>
    </row>
    <row r="333" spans="1:18" x14ac:dyDescent="0.3">
      <c r="A333" s="2">
        <f ca="1">IFERROR(__xludf.DUMMYFUNCTION("""COMPUTED_VALUE"""),44705.6666666666)</f>
        <v>44705.666666666599</v>
      </c>
      <c r="B333" s="1">
        <f ca="1">IFERROR(__xludf.DUMMYFUNCTION("""COMPUTED_VALUE"""),393.89)</f>
        <v>393.89</v>
      </c>
      <c r="C333" s="1">
        <f ca="1">IFERROR(__xludf.DUMMYFUNCTION("""COMPUTED_VALUE"""),140.36)</f>
        <v>140.36000000000001</v>
      </c>
      <c r="D333" s="1">
        <f ca="1">IFERROR(__xludf.DUMMYFUNCTION("""COMPUTED_VALUE"""),259.62)</f>
        <v>259.62</v>
      </c>
      <c r="E333" s="1">
        <f ca="1">IFERROR(__xludf.DUMMYFUNCTION("""COMPUTED_VALUE"""),126.36)</f>
        <v>126.36</v>
      </c>
      <c r="F333">
        <f t="shared" ca="1" si="45"/>
        <v>-7.6337801068226078E-3</v>
      </c>
      <c r="G333">
        <f t="shared" ca="1" si="46"/>
        <v>-1.921598770176787E-2</v>
      </c>
      <c r="H333">
        <f t="shared" ca="1" si="47"/>
        <v>-3.9516593132552192E-3</v>
      </c>
      <c r="I333">
        <f t="shared" ca="1" si="48"/>
        <v>1.4125200642054617E-2</v>
      </c>
      <c r="O333">
        <f t="shared" ca="1" si="49"/>
        <v>1.0469393721925417</v>
      </c>
      <c r="P333">
        <f t="shared" ca="1" si="50"/>
        <v>1.070306542626202</v>
      </c>
      <c r="Q333">
        <f t="shared" ca="1" si="51"/>
        <v>1.0833298560400588</v>
      </c>
      <c r="R333">
        <f t="shared" ca="1" si="52"/>
        <v>0.97484956025304881</v>
      </c>
    </row>
    <row r="334" spans="1:18" x14ac:dyDescent="0.3">
      <c r="A334" s="2">
        <f ca="1">IFERROR(__xludf.DUMMYFUNCTION("""COMPUTED_VALUE"""),44706.6666666666)</f>
        <v>44706.666666666599</v>
      </c>
      <c r="B334" s="1">
        <f ca="1">IFERROR(__xludf.DUMMYFUNCTION("""COMPUTED_VALUE"""),397.37)</f>
        <v>397.37</v>
      </c>
      <c r="C334" s="1">
        <f ca="1">IFERROR(__xludf.DUMMYFUNCTION("""COMPUTED_VALUE"""),140.52)</f>
        <v>140.52000000000001</v>
      </c>
      <c r="D334" s="1">
        <f ca="1">IFERROR(__xludf.DUMMYFUNCTION("""COMPUTED_VALUE"""),262.52)</f>
        <v>262.52</v>
      </c>
      <c r="E334" s="1">
        <f ca="1">IFERROR(__xludf.DUMMYFUNCTION("""COMPUTED_VALUE"""),127.24)</f>
        <v>127.24</v>
      </c>
      <c r="F334">
        <f t="shared" ca="1" si="45"/>
        <v>8.8349539211455448E-3</v>
      </c>
      <c r="G334">
        <f t="shared" ca="1" si="46"/>
        <v>1.1399259048161625E-3</v>
      </c>
      <c r="H334">
        <f t="shared" ca="1" si="47"/>
        <v>1.1170171789538469E-2</v>
      </c>
      <c r="I334">
        <f t="shared" ca="1" si="48"/>
        <v>6.9642291864513723E-3</v>
      </c>
      <c r="O334">
        <f t="shared" ca="1" si="49"/>
        <v>1.056189033304096</v>
      </c>
      <c r="P334">
        <f t="shared" ca="1" si="50"/>
        <v>1.0715266127802359</v>
      </c>
      <c r="Q334">
        <f t="shared" ca="1" si="51"/>
        <v>1.0954308366367622</v>
      </c>
      <c r="R334">
        <f t="shared" ca="1" si="52"/>
        <v>0.98163863601296231</v>
      </c>
    </row>
    <row r="335" spans="1:18" x14ac:dyDescent="0.3">
      <c r="A335" s="2">
        <f ca="1">IFERROR(__xludf.DUMMYFUNCTION("""COMPUTED_VALUE"""),44707.6666666666)</f>
        <v>44707.666666666599</v>
      </c>
      <c r="B335" s="1">
        <f ca="1">IFERROR(__xludf.DUMMYFUNCTION("""COMPUTED_VALUE"""),405.31)</f>
        <v>405.31</v>
      </c>
      <c r="C335" s="1">
        <f ca="1">IFERROR(__xludf.DUMMYFUNCTION("""COMPUTED_VALUE"""),143.78)</f>
        <v>143.78</v>
      </c>
      <c r="D335" s="1">
        <f ca="1">IFERROR(__xludf.DUMMYFUNCTION("""COMPUTED_VALUE"""),265.9)</f>
        <v>265.89999999999998</v>
      </c>
      <c r="E335" s="1">
        <f ca="1">IFERROR(__xludf.DUMMYFUNCTION("""COMPUTED_VALUE"""),129.44)</f>
        <v>129.44</v>
      </c>
      <c r="F335">
        <f t="shared" ca="1" si="45"/>
        <v>1.9981377557440162E-2</v>
      </c>
      <c r="G335">
        <f t="shared" ca="1" si="46"/>
        <v>2.3199544548818608E-2</v>
      </c>
      <c r="H335">
        <f t="shared" ca="1" si="47"/>
        <v>1.2875209507847004E-2</v>
      </c>
      <c r="I335">
        <f t="shared" ca="1" si="48"/>
        <v>1.7290160326941237E-2</v>
      </c>
      <c r="O335">
        <f t="shared" ca="1" si="49"/>
        <v>1.077293145150573</v>
      </c>
      <c r="P335">
        <f t="shared" ca="1" si="50"/>
        <v>1.0963855421686757</v>
      </c>
      <c r="Q335">
        <f t="shared" ca="1" si="51"/>
        <v>1.1095347381598166</v>
      </c>
      <c r="R335">
        <f t="shared" ca="1" si="52"/>
        <v>0.99861132541274644</v>
      </c>
    </row>
    <row r="336" spans="1:18" x14ac:dyDescent="0.3">
      <c r="A336" s="2">
        <f ca="1">IFERROR(__xludf.DUMMYFUNCTION("""COMPUTED_VALUE"""),44708.6666666666)</f>
        <v>44708.666666666599</v>
      </c>
      <c r="B336" s="1">
        <f ca="1">IFERROR(__xludf.DUMMYFUNCTION("""COMPUTED_VALUE"""),415.26)</f>
        <v>415.26</v>
      </c>
      <c r="C336" s="1">
        <f ca="1">IFERROR(__xludf.DUMMYFUNCTION("""COMPUTED_VALUE"""),149.64)</f>
        <v>149.63999999999999</v>
      </c>
      <c r="D336" s="1">
        <f ca="1">IFERROR(__xludf.DUMMYFUNCTION("""COMPUTED_VALUE"""),273.24)</f>
        <v>273.24</v>
      </c>
      <c r="E336" s="1">
        <f ca="1">IFERROR(__xludf.DUMMYFUNCTION("""COMPUTED_VALUE"""),131.27)</f>
        <v>131.27000000000001</v>
      </c>
      <c r="F336">
        <f t="shared" ca="1" si="45"/>
        <v>2.4549110557351136E-2</v>
      </c>
      <c r="G336">
        <f t="shared" ca="1" si="46"/>
        <v>4.0756711642787491E-2</v>
      </c>
      <c r="H336">
        <f t="shared" ca="1" si="47"/>
        <v>2.760436254230926E-2</v>
      </c>
      <c r="I336">
        <f t="shared" ca="1" si="48"/>
        <v>1.4137824474660171E-2</v>
      </c>
      <c r="O336">
        <f t="shared" ca="1" si="49"/>
        <v>1.103739733673551</v>
      </c>
      <c r="P336">
        <f t="shared" ca="1" si="50"/>
        <v>1.1410706115601654</v>
      </c>
      <c r="Q336">
        <f t="shared" ca="1" si="51"/>
        <v>1.1401627373252663</v>
      </c>
      <c r="R336">
        <f t="shared" ca="1" si="52"/>
        <v>1.0127295170498396</v>
      </c>
    </row>
    <row r="337" spans="1:18" x14ac:dyDescent="0.3">
      <c r="A337" s="2">
        <f ca="1">IFERROR(__xludf.DUMMYFUNCTION("""COMPUTED_VALUE"""),44712.6666666666)</f>
        <v>44712.666666666599</v>
      </c>
      <c r="B337" s="1">
        <f ca="1">IFERROR(__xludf.DUMMYFUNCTION("""COMPUTED_VALUE"""),412.93)</f>
        <v>412.93</v>
      </c>
      <c r="C337" s="1">
        <f ca="1">IFERROR(__xludf.DUMMYFUNCTION("""COMPUTED_VALUE"""),148.84)</f>
        <v>148.84</v>
      </c>
      <c r="D337" s="1">
        <f ca="1">IFERROR(__xludf.DUMMYFUNCTION("""COMPUTED_VALUE"""),271.87)</f>
        <v>271.87</v>
      </c>
      <c r="E337" s="1">
        <f ca="1">IFERROR(__xludf.DUMMYFUNCTION("""COMPUTED_VALUE"""),132.23)</f>
        <v>132.22999999999999</v>
      </c>
      <c r="F337">
        <f t="shared" ca="1" si="45"/>
        <v>-5.6109425420218274E-3</v>
      </c>
      <c r="G337">
        <f t="shared" ca="1" si="46"/>
        <v>-5.3461641272385925E-3</v>
      </c>
      <c r="H337">
        <f t="shared" ca="1" si="47"/>
        <v>-5.0139071878202478E-3</v>
      </c>
      <c r="I337">
        <f t="shared" ca="1" si="48"/>
        <v>7.3131713262739352E-3</v>
      </c>
      <c r="O337">
        <f t="shared" ca="1" si="49"/>
        <v>1.0975467134465622</v>
      </c>
      <c r="P337">
        <f t="shared" ca="1" si="50"/>
        <v>1.1349702607899963</v>
      </c>
      <c r="Q337">
        <f t="shared" ca="1" si="51"/>
        <v>1.1344460671813064</v>
      </c>
      <c r="R337">
        <f t="shared" ca="1" si="52"/>
        <v>1.0201357815151997</v>
      </c>
    </row>
    <row r="338" spans="1:18" x14ac:dyDescent="0.3">
      <c r="A338" s="2">
        <f ca="1">IFERROR(__xludf.DUMMYFUNCTION("""COMPUTED_VALUE"""),44713.6666666666)</f>
        <v>44713.666666666599</v>
      </c>
      <c r="B338" s="1">
        <f ca="1">IFERROR(__xludf.DUMMYFUNCTION("""COMPUTED_VALUE"""),409.59)</f>
        <v>409.59</v>
      </c>
      <c r="C338" s="1">
        <f ca="1">IFERROR(__xludf.DUMMYFUNCTION("""COMPUTED_VALUE"""),148.71)</f>
        <v>148.71</v>
      </c>
      <c r="D338" s="1">
        <f ca="1">IFERROR(__xludf.DUMMYFUNCTION("""COMPUTED_VALUE"""),272.42)</f>
        <v>272.42</v>
      </c>
      <c r="E338" s="1">
        <f ca="1">IFERROR(__xludf.DUMMYFUNCTION("""COMPUTED_VALUE"""),129.91)</f>
        <v>129.91</v>
      </c>
      <c r="F338">
        <f t="shared" ca="1" si="45"/>
        <v>-8.0885380088635654E-3</v>
      </c>
      <c r="G338">
        <f t="shared" ca="1" si="46"/>
        <v>-8.734211233539065E-4</v>
      </c>
      <c r="H338">
        <f t="shared" ca="1" si="47"/>
        <v>2.0230257108177119E-3</v>
      </c>
      <c r="I338">
        <f t="shared" ca="1" si="48"/>
        <v>-1.7545186417605638E-2</v>
      </c>
      <c r="O338">
        <f t="shared" ca="1" si="49"/>
        <v>1.0886691651383464</v>
      </c>
      <c r="P338">
        <f t="shared" ca="1" si="50"/>
        <v>1.1339789537898439</v>
      </c>
      <c r="Q338">
        <f t="shared" ca="1" si="51"/>
        <v>1.1367410807427503</v>
      </c>
      <c r="R338">
        <f t="shared" ca="1" si="52"/>
        <v>1.0022373090572456</v>
      </c>
    </row>
    <row r="339" spans="1:18" x14ac:dyDescent="0.3">
      <c r="A339" s="2">
        <f ca="1">IFERROR(__xludf.DUMMYFUNCTION("""COMPUTED_VALUE"""),44714.6666666666)</f>
        <v>44714.666666666599</v>
      </c>
      <c r="B339" s="1">
        <f ca="1">IFERROR(__xludf.DUMMYFUNCTION("""COMPUTED_VALUE"""),417.39)</f>
        <v>417.39</v>
      </c>
      <c r="C339" s="1">
        <f ca="1">IFERROR(__xludf.DUMMYFUNCTION("""COMPUTED_VALUE"""),151.21)</f>
        <v>151.21</v>
      </c>
      <c r="D339" s="1">
        <f ca="1">IFERROR(__xludf.DUMMYFUNCTION("""COMPUTED_VALUE"""),274.58)</f>
        <v>274.58</v>
      </c>
      <c r="E339" s="1">
        <f ca="1">IFERROR(__xludf.DUMMYFUNCTION("""COMPUTED_VALUE"""),132)</f>
        <v>132</v>
      </c>
      <c r="F339">
        <f t="shared" ca="1" si="45"/>
        <v>1.904343367758005E-2</v>
      </c>
      <c r="G339">
        <f t="shared" ca="1" si="46"/>
        <v>1.6811243359558872E-2</v>
      </c>
      <c r="H339">
        <f t="shared" ca="1" si="47"/>
        <v>7.9289332648115711E-3</v>
      </c>
      <c r="I339">
        <f t="shared" ca="1" si="48"/>
        <v>1.6088060965283684E-2</v>
      </c>
      <c r="O339">
        <f t="shared" ca="1" si="49"/>
        <v>1.1094011641814849</v>
      </c>
      <c r="P339">
        <f t="shared" ca="1" si="50"/>
        <v>1.153042549946623</v>
      </c>
      <c r="Q339">
        <f t="shared" ca="1" si="51"/>
        <v>1.1457542249113293</v>
      </c>
      <c r="R339">
        <f t="shared" ca="1" si="52"/>
        <v>1.0183613639870404</v>
      </c>
    </row>
    <row r="340" spans="1:18" x14ac:dyDescent="0.3">
      <c r="A340" s="2">
        <f ca="1">IFERROR(__xludf.DUMMYFUNCTION("""COMPUTED_VALUE"""),44715.6666666666)</f>
        <v>44715.666666666599</v>
      </c>
      <c r="B340" s="1">
        <f ca="1">IFERROR(__xludf.DUMMYFUNCTION("""COMPUTED_VALUE"""),410.54)</f>
        <v>410.54</v>
      </c>
      <c r="C340" s="1">
        <f ca="1">IFERROR(__xludf.DUMMYFUNCTION("""COMPUTED_VALUE"""),145.38)</f>
        <v>145.38</v>
      </c>
      <c r="D340" s="1">
        <f ca="1">IFERROR(__xludf.DUMMYFUNCTION("""COMPUTED_VALUE"""),270.02)</f>
        <v>270.02</v>
      </c>
      <c r="E340" s="1">
        <f ca="1">IFERROR(__xludf.DUMMYFUNCTION("""COMPUTED_VALUE"""),130.16)</f>
        <v>130.16</v>
      </c>
      <c r="F340">
        <f t="shared" ca="1" si="45"/>
        <v>-1.6411509619300813E-2</v>
      </c>
      <c r="G340">
        <f t="shared" ca="1" si="46"/>
        <v>-3.8555651081277773E-2</v>
      </c>
      <c r="H340">
        <f t="shared" ca="1" si="47"/>
        <v>-1.6607181877776978E-2</v>
      </c>
      <c r="I340">
        <f t="shared" ca="1" si="48"/>
        <v>-1.3939393939393965E-2</v>
      </c>
      <c r="O340">
        <f t="shared" ca="1" si="49"/>
        <v>1.091194216303857</v>
      </c>
      <c r="P340">
        <f t="shared" ca="1" si="50"/>
        <v>1.1085862437090142</v>
      </c>
      <c r="Q340">
        <f t="shared" ca="1" si="51"/>
        <v>1.1267264761109954</v>
      </c>
      <c r="R340">
        <f t="shared" ca="1" si="52"/>
        <v>1.0041660237617664</v>
      </c>
    </row>
    <row r="341" spans="1:18" x14ac:dyDescent="0.3">
      <c r="A341" s="2">
        <f ca="1">IFERROR(__xludf.DUMMYFUNCTION("""COMPUTED_VALUE"""),44718.6666666666)</f>
        <v>44718.666666666599</v>
      </c>
      <c r="B341" s="1">
        <f ca="1">IFERROR(__xludf.DUMMYFUNCTION("""COMPUTED_VALUE"""),411.79)</f>
        <v>411.79</v>
      </c>
      <c r="C341" s="1">
        <f ca="1">IFERROR(__xludf.DUMMYFUNCTION("""COMPUTED_VALUE"""),146.14)</f>
        <v>146.13999999999999</v>
      </c>
      <c r="D341" s="1">
        <f ca="1">IFERROR(__xludf.DUMMYFUNCTION("""COMPUTED_VALUE"""),268.75)</f>
        <v>268.75</v>
      </c>
      <c r="E341" s="1">
        <f ca="1">IFERROR(__xludf.DUMMYFUNCTION("""COMPUTED_VALUE"""),129.73)</f>
        <v>129.72999999999999</v>
      </c>
      <c r="F341">
        <f t="shared" ca="1" si="45"/>
        <v>3.0447703025283769E-3</v>
      </c>
      <c r="G341">
        <f t="shared" ca="1" si="46"/>
        <v>5.2276791855825483E-3</v>
      </c>
      <c r="H341">
        <f t="shared" ca="1" si="47"/>
        <v>-4.7033553070142285E-3</v>
      </c>
      <c r="I341">
        <f t="shared" ca="1" si="48"/>
        <v>-3.303626306084871E-3</v>
      </c>
      <c r="O341">
        <f t="shared" ca="1" si="49"/>
        <v>1.0945166520479499</v>
      </c>
      <c r="P341">
        <f t="shared" ca="1" si="50"/>
        <v>1.1143815769406749</v>
      </c>
      <c r="Q341">
        <f t="shared" ca="1" si="51"/>
        <v>1.1214270811600253</v>
      </c>
      <c r="R341">
        <f t="shared" ca="1" si="52"/>
        <v>1.0008486344699905</v>
      </c>
    </row>
    <row r="342" spans="1:18" x14ac:dyDescent="0.3">
      <c r="A342" s="2">
        <f ca="1">IFERROR(__xludf.DUMMYFUNCTION("""COMPUTED_VALUE"""),44719.6666666666)</f>
        <v>44719.666666666599</v>
      </c>
      <c r="B342" s="1">
        <f ca="1">IFERROR(__xludf.DUMMYFUNCTION("""COMPUTED_VALUE"""),415.74)</f>
        <v>415.74</v>
      </c>
      <c r="C342" s="1">
        <f ca="1">IFERROR(__xludf.DUMMYFUNCTION("""COMPUTED_VALUE"""),148.71)</f>
        <v>148.71</v>
      </c>
      <c r="D342" s="1">
        <f ca="1">IFERROR(__xludf.DUMMYFUNCTION("""COMPUTED_VALUE"""),272.5)</f>
        <v>272.5</v>
      </c>
      <c r="E342" s="1">
        <f ca="1">IFERROR(__xludf.DUMMYFUNCTION("""COMPUTED_VALUE"""),130.07)</f>
        <v>130.07</v>
      </c>
      <c r="F342">
        <f t="shared" ca="1" si="45"/>
        <v>9.5922679035430405E-3</v>
      </c>
      <c r="G342">
        <f t="shared" ca="1" si="46"/>
        <v>1.7585876556726575E-2</v>
      </c>
      <c r="H342">
        <f t="shared" ca="1" si="47"/>
        <v>1.3953488372093023E-2</v>
      </c>
      <c r="I342">
        <f t="shared" ca="1" si="48"/>
        <v>2.6208278732752907E-3</v>
      </c>
      <c r="O342">
        <f t="shared" ca="1" si="49"/>
        <v>1.1050155489992828</v>
      </c>
      <c r="P342">
        <f t="shared" ca="1" si="50"/>
        <v>1.1339789537898437</v>
      </c>
      <c r="Q342">
        <f t="shared" ca="1" si="51"/>
        <v>1.1370749008971421</v>
      </c>
      <c r="R342">
        <f t="shared" ca="1" si="52"/>
        <v>1.003471686468139</v>
      </c>
    </row>
    <row r="343" spans="1:18" x14ac:dyDescent="0.3">
      <c r="A343" s="2">
        <f ca="1">IFERROR(__xludf.DUMMYFUNCTION("""COMPUTED_VALUE"""),44720.6666666666)</f>
        <v>44720.666666666599</v>
      </c>
      <c r="B343" s="1">
        <f ca="1">IFERROR(__xludf.DUMMYFUNCTION("""COMPUTED_VALUE"""),411.22)</f>
        <v>411.22</v>
      </c>
      <c r="C343" s="1">
        <f ca="1">IFERROR(__xludf.DUMMYFUNCTION("""COMPUTED_VALUE"""),147.96)</f>
        <v>147.96</v>
      </c>
      <c r="D343" s="1">
        <f ca="1">IFERROR(__xludf.DUMMYFUNCTION("""COMPUTED_VALUE"""),270.41)</f>
        <v>270.41000000000003</v>
      </c>
      <c r="E343" s="1">
        <f ca="1">IFERROR(__xludf.DUMMYFUNCTION("""COMPUTED_VALUE"""),128)</f>
        <v>128</v>
      </c>
      <c r="F343">
        <f t="shared" ca="1" si="45"/>
        <v>-1.0872179727714393E-2</v>
      </c>
      <c r="G343">
        <f t="shared" ca="1" si="46"/>
        <v>-5.0433730078676617E-3</v>
      </c>
      <c r="H343">
        <f t="shared" ca="1" si="47"/>
        <v>-7.6697247706421102E-3</v>
      </c>
      <c r="I343">
        <f t="shared" ca="1" si="48"/>
        <v>-1.5914507572845338E-2</v>
      </c>
      <c r="O343">
        <f t="shared" ca="1" si="49"/>
        <v>1.0930016213486435</v>
      </c>
      <c r="P343">
        <f t="shared" ca="1" si="50"/>
        <v>1.1282598749428101</v>
      </c>
      <c r="Q343">
        <f t="shared" ca="1" si="51"/>
        <v>1.128353849363656</v>
      </c>
      <c r="R343">
        <f t="shared" ca="1" si="52"/>
        <v>0.98750192871470599</v>
      </c>
    </row>
    <row r="344" spans="1:18" x14ac:dyDescent="0.3">
      <c r="A344" s="2">
        <f ca="1">IFERROR(__xludf.DUMMYFUNCTION("""COMPUTED_VALUE"""),44721.6666666666)</f>
        <v>44721.666666666599</v>
      </c>
      <c r="B344" s="1">
        <f ca="1">IFERROR(__xludf.DUMMYFUNCTION("""COMPUTED_VALUE"""),401.44)</f>
        <v>401.44</v>
      </c>
      <c r="C344" s="1">
        <f ca="1">IFERROR(__xludf.DUMMYFUNCTION("""COMPUTED_VALUE"""),142.64)</f>
        <v>142.63999999999999</v>
      </c>
      <c r="D344" s="1">
        <f ca="1">IFERROR(__xludf.DUMMYFUNCTION("""COMPUTED_VALUE"""),264.79)</f>
        <v>264.79000000000002</v>
      </c>
      <c r="E344" s="1">
        <f ca="1">IFERROR(__xludf.DUMMYFUNCTION("""COMPUTED_VALUE"""),125.31)</f>
        <v>125.31</v>
      </c>
      <c r="F344">
        <f t="shared" ca="1" si="45"/>
        <v>-2.3782889937259931E-2</v>
      </c>
      <c r="G344">
        <f t="shared" ca="1" si="46"/>
        <v>-3.5955663692890112E-2</v>
      </c>
      <c r="H344">
        <f t="shared" ca="1" si="47"/>
        <v>-2.0783255057135477E-2</v>
      </c>
      <c r="I344">
        <f t="shared" ca="1" si="48"/>
        <v>-2.1015624999999982E-2</v>
      </c>
      <c r="O344">
        <f t="shared" ca="1" si="49"/>
        <v>1.0670068840868621</v>
      </c>
      <c r="P344">
        <f t="shared" ca="1" si="50"/>
        <v>1.0876925423211841</v>
      </c>
      <c r="Q344">
        <f t="shared" ca="1" si="51"/>
        <v>1.1049029835176305</v>
      </c>
      <c r="R344">
        <f t="shared" ca="1" si="52"/>
        <v>0.96674895849406106</v>
      </c>
    </row>
    <row r="345" spans="1:18" x14ac:dyDescent="0.3">
      <c r="A345" s="2">
        <f ca="1">IFERROR(__xludf.DUMMYFUNCTION("""COMPUTED_VALUE"""),44722.6666666666)</f>
        <v>44722.666666666599</v>
      </c>
      <c r="B345" s="1">
        <f ca="1">IFERROR(__xludf.DUMMYFUNCTION("""COMPUTED_VALUE"""),389.8)</f>
        <v>389.8</v>
      </c>
      <c r="C345" s="1">
        <f ca="1">IFERROR(__xludf.DUMMYFUNCTION("""COMPUTED_VALUE"""),137.13)</f>
        <v>137.13</v>
      </c>
      <c r="D345" s="1">
        <f ca="1">IFERROR(__xludf.DUMMYFUNCTION("""COMPUTED_VALUE"""),252.99)</f>
        <v>252.99</v>
      </c>
      <c r="E345" s="1">
        <f ca="1">IFERROR(__xludf.DUMMYFUNCTION("""COMPUTED_VALUE"""),119.55)</f>
        <v>119.55</v>
      </c>
      <c r="F345">
        <f t="shared" ca="1" si="45"/>
        <v>-2.8995615783180516E-2</v>
      </c>
      <c r="G345">
        <f t="shared" ca="1" si="46"/>
        <v>-3.862871564778457E-2</v>
      </c>
      <c r="H345">
        <f t="shared" ca="1" si="47"/>
        <v>-4.456361645077235E-2</v>
      </c>
      <c r="I345">
        <f t="shared" ca="1" si="48"/>
        <v>-4.5966004309312941E-2</v>
      </c>
      <c r="O345">
        <f t="shared" ca="1" si="49"/>
        <v>1.0360683624378708</v>
      </c>
      <c r="P345">
        <f t="shared" ca="1" si="50"/>
        <v>1.0456763763916432</v>
      </c>
      <c r="Q345">
        <f t="shared" ca="1" si="51"/>
        <v>1.0556645107448368</v>
      </c>
      <c r="R345">
        <f t="shared" ca="1" si="52"/>
        <v>0.92231137170189925</v>
      </c>
    </row>
    <row r="346" spans="1:18" x14ac:dyDescent="0.3">
      <c r="A346" s="2">
        <f ca="1">IFERROR(__xludf.DUMMYFUNCTION("""COMPUTED_VALUE"""),44725.6666666666)</f>
        <v>44725.666666666599</v>
      </c>
      <c r="B346" s="1">
        <f ca="1">IFERROR(__xludf.DUMMYFUNCTION("""COMPUTED_VALUE"""),375)</f>
        <v>375</v>
      </c>
      <c r="C346" s="1">
        <f ca="1">IFERROR(__xludf.DUMMYFUNCTION("""COMPUTED_VALUE"""),131.88)</f>
        <v>131.88</v>
      </c>
      <c r="D346" s="1">
        <f ca="1">IFERROR(__xludf.DUMMYFUNCTION("""COMPUTED_VALUE"""),242.26)</f>
        <v>242.26</v>
      </c>
      <c r="E346" s="1">
        <f ca="1">IFERROR(__xludf.DUMMYFUNCTION("""COMPUTED_VALUE"""),115.99)</f>
        <v>115.99</v>
      </c>
      <c r="F346">
        <f t="shared" ca="1" si="45"/>
        <v>-3.7968188814776836E-2</v>
      </c>
      <c r="G346">
        <f t="shared" ca="1" si="46"/>
        <v>-3.8284839203675348E-2</v>
      </c>
      <c r="H346">
        <f t="shared" ca="1" si="47"/>
        <v>-4.2412743586703106E-2</v>
      </c>
      <c r="I346">
        <f t="shared" ca="1" si="48"/>
        <v>-2.9778335424508594E-2</v>
      </c>
      <c r="O346">
        <f t="shared" ca="1" si="49"/>
        <v>0.99673072322781309</v>
      </c>
      <c r="P346">
        <f t="shared" ca="1" si="50"/>
        <v>1.0056428244624074</v>
      </c>
      <c r="Q346">
        <f t="shared" ca="1" si="51"/>
        <v>1.0108908825370337</v>
      </c>
      <c r="R346">
        <f t="shared" ca="1" si="52"/>
        <v>0.89484647430952147</v>
      </c>
    </row>
    <row r="347" spans="1:18" x14ac:dyDescent="0.3">
      <c r="A347" s="2">
        <f ca="1">IFERROR(__xludf.DUMMYFUNCTION("""COMPUTED_VALUE"""),44726.6666666666)</f>
        <v>44726.666666666599</v>
      </c>
      <c r="B347" s="1">
        <f ca="1">IFERROR(__xludf.DUMMYFUNCTION("""COMPUTED_VALUE"""),373.87)</f>
        <v>373.87</v>
      </c>
      <c r="C347" s="1">
        <f ca="1">IFERROR(__xludf.DUMMYFUNCTION("""COMPUTED_VALUE"""),132.76)</f>
        <v>132.76</v>
      </c>
      <c r="D347" s="1">
        <f ca="1">IFERROR(__xludf.DUMMYFUNCTION("""COMPUTED_VALUE"""),244.49)</f>
        <v>244.49</v>
      </c>
      <c r="E347" s="1">
        <f ca="1">IFERROR(__xludf.DUMMYFUNCTION("""COMPUTED_VALUE"""),114.06)</f>
        <v>114.06</v>
      </c>
      <c r="F347">
        <f t="shared" ca="1" si="45"/>
        <v>-3.013333333333321E-3</v>
      </c>
      <c r="G347">
        <f t="shared" ca="1" si="46"/>
        <v>6.6727327873824351E-3</v>
      </c>
      <c r="H347">
        <f t="shared" ca="1" si="47"/>
        <v>9.2049863782713535E-3</v>
      </c>
      <c r="I347">
        <f t="shared" ca="1" si="48"/>
        <v>-1.6639365462539812E-2</v>
      </c>
      <c r="O347">
        <f t="shared" ca="1" si="49"/>
        <v>0.99372724131515333</v>
      </c>
      <c r="P347">
        <f t="shared" ca="1" si="50"/>
        <v>1.0123532103095936</v>
      </c>
      <c r="Q347">
        <f t="shared" ca="1" si="51"/>
        <v>1.0201961193407059</v>
      </c>
      <c r="R347">
        <f t="shared" ca="1" si="52"/>
        <v>0.87995679679062011</v>
      </c>
    </row>
    <row r="348" spans="1:18" x14ac:dyDescent="0.3">
      <c r="A348" s="2">
        <f ca="1">IFERROR(__xludf.DUMMYFUNCTION("""COMPUTED_VALUE"""),44727.6666666666)</f>
        <v>44727.666666666599</v>
      </c>
      <c r="B348" s="1">
        <f ca="1">IFERROR(__xludf.DUMMYFUNCTION("""COMPUTED_VALUE"""),379.2)</f>
        <v>379.2</v>
      </c>
      <c r="C348" s="1">
        <f ca="1">IFERROR(__xludf.DUMMYFUNCTION("""COMPUTED_VALUE"""),135.43)</f>
        <v>135.43</v>
      </c>
      <c r="D348" s="1">
        <f ca="1">IFERROR(__xludf.DUMMYFUNCTION("""COMPUTED_VALUE"""),251.76)</f>
        <v>251.76</v>
      </c>
      <c r="E348" s="1">
        <f ca="1">IFERROR(__xludf.DUMMYFUNCTION("""COMPUTED_VALUE"""),115.41)</f>
        <v>115.41</v>
      </c>
      <c r="F348">
        <f t="shared" ca="1" si="45"/>
        <v>1.4256292294112884E-2</v>
      </c>
      <c r="G348">
        <f t="shared" ca="1" si="46"/>
        <v>2.0111479361253511E-2</v>
      </c>
      <c r="H348">
        <f t="shared" ca="1" si="47"/>
        <v>2.9735367499693164E-2</v>
      </c>
      <c r="I348">
        <f t="shared" ca="1" si="48"/>
        <v>1.1835875854813206E-2</v>
      </c>
      <c r="O348">
        <f t="shared" ca="1" si="49"/>
        <v>1.0078941073279646</v>
      </c>
      <c r="P348">
        <f t="shared" ca="1" si="50"/>
        <v>1.0327131310050337</v>
      </c>
      <c r="Q348">
        <f t="shared" ca="1" si="51"/>
        <v>1.0505320258710626</v>
      </c>
      <c r="R348">
        <f t="shared" ca="1" si="52"/>
        <v>0.8903718561950329</v>
      </c>
    </row>
    <row r="349" spans="1:18" x14ac:dyDescent="0.3">
      <c r="A349" s="2">
        <f ca="1">IFERROR(__xludf.DUMMYFUNCTION("""COMPUTED_VALUE"""),44728.6666666666)</f>
        <v>44728.666666666599</v>
      </c>
      <c r="B349" s="1">
        <f ca="1">IFERROR(__xludf.DUMMYFUNCTION("""COMPUTED_VALUE"""),366.65)</f>
        <v>366.65</v>
      </c>
      <c r="C349" s="1">
        <f ca="1">IFERROR(__xludf.DUMMYFUNCTION("""COMPUTED_VALUE"""),130.06)</f>
        <v>130.06</v>
      </c>
      <c r="D349" s="1">
        <f ca="1">IFERROR(__xludf.DUMMYFUNCTION("""COMPUTED_VALUE"""),244.97)</f>
        <v>244.97</v>
      </c>
      <c r="E349" s="1">
        <f ca="1">IFERROR(__xludf.DUMMYFUNCTION("""COMPUTED_VALUE"""),113.43)</f>
        <v>113.43</v>
      </c>
      <c r="F349">
        <f t="shared" ca="1" si="45"/>
        <v>-3.3095991561181468E-2</v>
      </c>
      <c r="G349">
        <f t="shared" ca="1" si="46"/>
        <v>-3.9651480469615329E-2</v>
      </c>
      <c r="H349">
        <f t="shared" ca="1" si="47"/>
        <v>-2.6970130282808993E-2</v>
      </c>
      <c r="I349">
        <f t="shared" ca="1" si="48"/>
        <v>-1.7156225630361233E-2</v>
      </c>
      <c r="O349">
        <f t="shared" ca="1" si="49"/>
        <v>0.97453685245727373</v>
      </c>
      <c r="P349">
        <f t="shared" ca="1" si="50"/>
        <v>0.99176452646027236</v>
      </c>
      <c r="Q349">
        <f t="shared" ca="1" si="51"/>
        <v>1.0221990402670569</v>
      </c>
      <c r="R349">
        <f t="shared" ca="1" si="52"/>
        <v>0.87509643573522733</v>
      </c>
    </row>
    <row r="350" spans="1:18" x14ac:dyDescent="0.3">
      <c r="A350" s="2">
        <f ca="1">IFERROR(__xludf.DUMMYFUNCTION("""COMPUTED_VALUE"""),44729.6666666666)</f>
        <v>44729.666666666599</v>
      </c>
      <c r="B350" s="1">
        <f ca="1">IFERROR(__xludf.DUMMYFUNCTION("""COMPUTED_VALUE"""),365.86)</f>
        <v>365.86</v>
      </c>
      <c r="C350" s="1">
        <f ca="1">IFERROR(__xludf.DUMMYFUNCTION("""COMPUTED_VALUE"""),131.56)</f>
        <v>131.56</v>
      </c>
      <c r="D350" s="1">
        <f ca="1">IFERROR(__xludf.DUMMYFUNCTION("""COMPUTED_VALUE"""),247.65)</f>
        <v>247.65</v>
      </c>
      <c r="E350" s="1">
        <f ca="1">IFERROR(__xludf.DUMMYFUNCTION("""COMPUTED_VALUE"""),113.03)</f>
        <v>113.03</v>
      </c>
      <c r="F350">
        <f t="shared" ca="1" si="45"/>
        <v>-2.1546433928813953E-3</v>
      </c>
      <c r="G350">
        <f t="shared" ca="1" si="46"/>
        <v>1.1533138551437798E-2</v>
      </c>
      <c r="H350">
        <f t="shared" ca="1" si="47"/>
        <v>1.0940115116136698E-2</v>
      </c>
      <c r="I350">
        <f t="shared" ca="1" si="48"/>
        <v>-3.5264039495724736E-3</v>
      </c>
      <c r="O350">
        <f t="shared" ca="1" si="49"/>
        <v>0.97243707306700722</v>
      </c>
      <c r="P350">
        <f t="shared" ca="1" si="50"/>
        <v>1.0032026841543398</v>
      </c>
      <c r="Q350">
        <f t="shared" ca="1" si="51"/>
        <v>1.0333820154391831</v>
      </c>
      <c r="R350">
        <f t="shared" ca="1" si="52"/>
        <v>0.87201049220799387</v>
      </c>
    </row>
    <row r="351" spans="1:18" x14ac:dyDescent="0.3">
      <c r="A351" s="2">
        <f ca="1">IFERROR(__xludf.DUMMYFUNCTION("""COMPUTED_VALUE"""),44733.6666666666)</f>
        <v>44733.666666666599</v>
      </c>
      <c r="B351" s="1">
        <f ca="1">IFERROR(__xludf.DUMMYFUNCTION("""COMPUTED_VALUE"""),375.07)</f>
        <v>375.07</v>
      </c>
      <c r="C351" s="1">
        <f ca="1">IFERROR(__xludf.DUMMYFUNCTION("""COMPUTED_VALUE"""),135.87)</f>
        <v>135.87</v>
      </c>
      <c r="D351" s="1">
        <f ca="1">IFERROR(__xludf.DUMMYFUNCTION("""COMPUTED_VALUE"""),253.74)</f>
        <v>253.74</v>
      </c>
      <c r="E351" s="1">
        <f ca="1">IFERROR(__xludf.DUMMYFUNCTION("""COMPUTED_VALUE"""),115.83)</f>
        <v>115.83</v>
      </c>
      <c r="F351">
        <f t="shared" ca="1" si="45"/>
        <v>2.5173563658229866E-2</v>
      </c>
      <c r="G351">
        <f t="shared" ca="1" si="46"/>
        <v>3.2760717543326254E-2</v>
      </c>
      <c r="H351">
        <f t="shared" ca="1" si="47"/>
        <v>2.4591156874621455E-2</v>
      </c>
      <c r="I351">
        <f t="shared" ca="1" si="48"/>
        <v>2.4772184375829401E-2</v>
      </c>
      <c r="O351">
        <f t="shared" ca="1" si="49"/>
        <v>0.99691677962948211</v>
      </c>
      <c r="P351">
        <f t="shared" ca="1" si="50"/>
        <v>1.0360683239286268</v>
      </c>
      <c r="Q351">
        <f t="shared" ca="1" si="51"/>
        <v>1.0587940746922606</v>
      </c>
      <c r="R351">
        <f t="shared" ca="1" si="52"/>
        <v>0.89361209689862808</v>
      </c>
    </row>
    <row r="352" spans="1:18" x14ac:dyDescent="0.3">
      <c r="A352" s="2">
        <f ca="1">IFERROR(__xludf.DUMMYFUNCTION("""COMPUTED_VALUE"""),44734.6666666666)</f>
        <v>44734.666666666599</v>
      </c>
      <c r="B352" s="1">
        <f ca="1">IFERROR(__xludf.DUMMYFUNCTION("""COMPUTED_VALUE"""),374.39)</f>
        <v>374.39</v>
      </c>
      <c r="C352" s="1">
        <f ca="1">IFERROR(__xludf.DUMMYFUNCTION("""COMPUTED_VALUE"""),135.35)</f>
        <v>135.35</v>
      </c>
      <c r="D352" s="1">
        <f ca="1">IFERROR(__xludf.DUMMYFUNCTION("""COMPUTED_VALUE"""),253.13)</f>
        <v>253.13</v>
      </c>
      <c r="E352" s="1">
        <f ca="1">IFERROR(__xludf.DUMMYFUNCTION("""COMPUTED_VALUE"""),115.18)</f>
        <v>115.18</v>
      </c>
      <c r="F352">
        <f t="shared" ca="1" si="45"/>
        <v>-1.8129949076172631E-3</v>
      </c>
      <c r="G352">
        <f t="shared" ca="1" si="46"/>
        <v>-3.8271877529992655E-3</v>
      </c>
      <c r="H352">
        <f t="shared" ca="1" si="47"/>
        <v>-2.4040356270198376E-3</v>
      </c>
      <c r="I352">
        <f t="shared" ca="1" si="48"/>
        <v>-5.6116722783388718E-3</v>
      </c>
      <c r="O352">
        <f t="shared" ca="1" si="49"/>
        <v>0.99510937458469573</v>
      </c>
      <c r="P352">
        <f t="shared" ca="1" si="50"/>
        <v>1.0321030959280166</v>
      </c>
      <c r="Q352">
        <f t="shared" ca="1" si="51"/>
        <v>1.0562486960150228</v>
      </c>
      <c r="R352">
        <f t="shared" ca="1" si="52"/>
        <v>0.88859743866687368</v>
      </c>
    </row>
    <row r="353" spans="1:18" x14ac:dyDescent="0.3">
      <c r="A353" s="2">
        <f ca="1">IFERROR(__xludf.DUMMYFUNCTION("""COMPUTED_VALUE"""),44735.6666666666)</f>
        <v>44735.666666666599</v>
      </c>
      <c r="B353" s="1">
        <f ca="1">IFERROR(__xludf.DUMMYFUNCTION("""COMPUTED_VALUE"""),378.06)</f>
        <v>378.06</v>
      </c>
      <c r="C353" s="1">
        <f ca="1">IFERROR(__xludf.DUMMYFUNCTION("""COMPUTED_VALUE"""),138.27)</f>
        <v>138.27000000000001</v>
      </c>
      <c r="D353" s="1">
        <f ca="1">IFERROR(__xludf.DUMMYFUNCTION("""COMPUTED_VALUE"""),258.86)</f>
        <v>258.86</v>
      </c>
      <c r="E353" s="1">
        <f ca="1">IFERROR(__xludf.DUMMYFUNCTION("""COMPUTED_VALUE"""),113.92)</f>
        <v>113.92</v>
      </c>
      <c r="F353">
        <f t="shared" ca="1" si="45"/>
        <v>9.802612249258838E-3</v>
      </c>
      <c r="G353">
        <f t="shared" ca="1" si="46"/>
        <v>2.1573697820465577E-2</v>
      </c>
      <c r="H353">
        <f t="shared" ca="1" si="47"/>
        <v>2.2636589894520675E-2</v>
      </c>
      <c r="I353">
        <f t="shared" ca="1" si="48"/>
        <v>-1.093939920125026E-2</v>
      </c>
      <c r="O353">
        <f t="shared" ca="1" si="49"/>
        <v>1.0048640459293521</v>
      </c>
      <c r="P353">
        <f t="shared" ca="1" si="50"/>
        <v>1.0543693762391346</v>
      </c>
      <c r="Q353">
        <f t="shared" ca="1" si="51"/>
        <v>1.0801585645733371</v>
      </c>
      <c r="R353">
        <f t="shared" ca="1" si="52"/>
        <v>0.87887671655608823</v>
      </c>
    </row>
    <row r="354" spans="1:18" x14ac:dyDescent="0.3">
      <c r="A354" s="2">
        <f ca="1">IFERROR(__xludf.DUMMYFUNCTION("""COMPUTED_VALUE"""),44736.6666666666)</f>
        <v>44736.666666666599</v>
      </c>
      <c r="B354" s="1">
        <f ca="1">IFERROR(__xludf.DUMMYFUNCTION("""COMPUTED_VALUE"""),390.08)</f>
        <v>390.08</v>
      </c>
      <c r="C354" s="1">
        <f ca="1">IFERROR(__xludf.DUMMYFUNCTION("""COMPUTED_VALUE"""),141.66)</f>
        <v>141.66</v>
      </c>
      <c r="D354" s="1">
        <f ca="1">IFERROR(__xludf.DUMMYFUNCTION("""COMPUTED_VALUE"""),267.7)</f>
        <v>267.7</v>
      </c>
      <c r="E354" s="1">
        <f ca="1">IFERROR(__xludf.DUMMYFUNCTION("""COMPUTED_VALUE"""),117.32)</f>
        <v>117.32</v>
      </c>
      <c r="F354">
        <f t="shared" ca="1" si="45"/>
        <v>3.179389514891811E-2</v>
      </c>
      <c r="G354">
        <f t="shared" ca="1" si="46"/>
        <v>2.4517248860924178E-2</v>
      </c>
      <c r="H354">
        <f t="shared" ca="1" si="47"/>
        <v>3.41497334466506E-2</v>
      </c>
      <c r="I354">
        <f t="shared" ca="1" si="48"/>
        <v>2.9845505617977452E-2</v>
      </c>
      <c r="O354">
        <f t="shared" ca="1" si="49"/>
        <v>1.0368125880445476</v>
      </c>
      <c r="P354">
        <f t="shared" ca="1" si="50"/>
        <v>1.0802196126277268</v>
      </c>
      <c r="Q354">
        <f t="shared" ca="1" si="51"/>
        <v>1.1170456916336333</v>
      </c>
      <c r="R354">
        <f t="shared" ca="1" si="52"/>
        <v>0.90510723653757252</v>
      </c>
    </row>
    <row r="355" spans="1:18" x14ac:dyDescent="0.3">
      <c r="A355" s="2">
        <f ca="1">IFERROR(__xludf.DUMMYFUNCTION("""COMPUTED_VALUE"""),44739.6666666666)</f>
        <v>44739.666666666599</v>
      </c>
      <c r="B355" s="1">
        <f ca="1">IFERROR(__xludf.DUMMYFUNCTION("""COMPUTED_VALUE"""),388.59)</f>
        <v>388.59</v>
      </c>
      <c r="C355" s="1">
        <f ca="1">IFERROR(__xludf.DUMMYFUNCTION("""COMPUTED_VALUE"""),141.66)</f>
        <v>141.66</v>
      </c>
      <c r="D355" s="1">
        <f ca="1">IFERROR(__xludf.DUMMYFUNCTION("""COMPUTED_VALUE"""),264.89)</f>
        <v>264.89</v>
      </c>
      <c r="E355" s="1">
        <f ca="1">IFERROR(__xludf.DUMMYFUNCTION("""COMPUTED_VALUE"""),116.38)</f>
        <v>116.38</v>
      </c>
      <c r="F355">
        <f t="shared" ca="1" si="45"/>
        <v>-3.8197292863002695E-3</v>
      </c>
      <c r="G355">
        <f t="shared" ca="1" si="46"/>
        <v>0</v>
      </c>
      <c r="H355">
        <f t="shared" ca="1" si="47"/>
        <v>-1.0496824803884955E-2</v>
      </c>
      <c r="I355">
        <f t="shared" ca="1" si="48"/>
        <v>-8.0122741220593052E-3</v>
      </c>
      <c r="O355">
        <f t="shared" ca="1" si="49"/>
        <v>1.032852244637589</v>
      </c>
      <c r="P355">
        <f t="shared" ca="1" si="50"/>
        <v>1.0802196126277268</v>
      </c>
      <c r="Q355">
        <f t="shared" ca="1" si="51"/>
        <v>1.1053202587106206</v>
      </c>
      <c r="R355">
        <f t="shared" ca="1" si="52"/>
        <v>0.89785526924857395</v>
      </c>
    </row>
    <row r="356" spans="1:18" x14ac:dyDescent="0.3">
      <c r="A356" s="2">
        <f ca="1">IFERROR(__xludf.DUMMYFUNCTION("""COMPUTED_VALUE"""),44740.6666666666)</f>
        <v>44740.666666666599</v>
      </c>
      <c r="B356" s="1">
        <f ca="1">IFERROR(__xludf.DUMMYFUNCTION("""COMPUTED_VALUE"""),380.65)</f>
        <v>380.65</v>
      </c>
      <c r="C356" s="1">
        <f ca="1">IFERROR(__xludf.DUMMYFUNCTION("""COMPUTED_VALUE"""),137.44)</f>
        <v>137.44</v>
      </c>
      <c r="D356" s="1">
        <f ca="1">IFERROR(__xludf.DUMMYFUNCTION("""COMPUTED_VALUE"""),256.48)</f>
        <v>256.48</v>
      </c>
      <c r="E356" s="1">
        <f ca="1">IFERROR(__xludf.DUMMYFUNCTION("""COMPUTED_VALUE"""),115.82)</f>
        <v>115.82</v>
      </c>
      <c r="F356">
        <f t="shared" ca="1" si="45"/>
        <v>-2.0432846959520311E-2</v>
      </c>
      <c r="G356">
        <f t="shared" ca="1" si="46"/>
        <v>-2.978963715939573E-2</v>
      </c>
      <c r="H356">
        <f t="shared" ca="1" si="47"/>
        <v>-3.1749027898372792E-2</v>
      </c>
      <c r="I356">
        <f t="shared" ca="1" si="48"/>
        <v>-4.8118233373432061E-3</v>
      </c>
      <c r="O356">
        <f t="shared" ca="1" si="49"/>
        <v>1.011748132791112</v>
      </c>
      <c r="P356">
        <f t="shared" ca="1" si="50"/>
        <v>1.0480402623150837</v>
      </c>
      <c r="Q356">
        <f t="shared" ca="1" si="51"/>
        <v>1.0702274149801805</v>
      </c>
      <c r="R356">
        <f t="shared" ca="1" si="52"/>
        <v>0.89353494831044711</v>
      </c>
    </row>
    <row r="357" spans="1:18" x14ac:dyDescent="0.3">
      <c r="A357" s="2">
        <f ca="1">IFERROR(__xludf.DUMMYFUNCTION("""COMPUTED_VALUE"""),44741.6666666666)</f>
        <v>44741.666666666599</v>
      </c>
      <c r="B357" s="1">
        <f ca="1">IFERROR(__xludf.DUMMYFUNCTION("""COMPUTED_VALUE"""),380.34)</f>
        <v>380.34</v>
      </c>
      <c r="C357" s="1">
        <f ca="1">IFERROR(__xludf.DUMMYFUNCTION("""COMPUTED_VALUE"""),139.23)</f>
        <v>139.22999999999999</v>
      </c>
      <c r="D357" s="1">
        <f ca="1">IFERROR(__xludf.DUMMYFUNCTION("""COMPUTED_VALUE"""),260.26)</f>
        <v>260.26</v>
      </c>
      <c r="E357" s="1">
        <f ca="1">IFERROR(__xludf.DUMMYFUNCTION("""COMPUTED_VALUE"""),115.3)</f>
        <v>115.3</v>
      </c>
      <c r="F357">
        <f t="shared" ca="1" si="45"/>
        <v>-8.1439642716406746E-4</v>
      </c>
      <c r="G357">
        <f t="shared" ca="1" si="46"/>
        <v>1.302386495925489E-2</v>
      </c>
      <c r="H357">
        <f t="shared" ca="1" si="47"/>
        <v>1.4737991266375438E-2</v>
      </c>
      <c r="I357">
        <f t="shared" ca="1" si="48"/>
        <v>-4.4897254360213787E-3</v>
      </c>
      <c r="O357">
        <f t="shared" ca="1" si="49"/>
        <v>1.0109241687265769</v>
      </c>
      <c r="P357">
        <f t="shared" ca="1" si="50"/>
        <v>1.0616897971633374</v>
      </c>
      <c r="Q357">
        <f t="shared" ca="1" si="51"/>
        <v>1.086000417275194</v>
      </c>
      <c r="R357">
        <f t="shared" ca="1" si="52"/>
        <v>0.88952322172504372</v>
      </c>
    </row>
    <row r="358" spans="1:18" x14ac:dyDescent="0.3">
      <c r="A358" s="2">
        <f ca="1">IFERROR(__xludf.DUMMYFUNCTION("""COMPUTED_VALUE"""),44742.6666666666)</f>
        <v>44742.666666666599</v>
      </c>
      <c r="B358" s="1">
        <f ca="1">IFERROR(__xludf.DUMMYFUNCTION("""COMPUTED_VALUE"""),377.25)</f>
        <v>377.25</v>
      </c>
      <c r="C358" s="1">
        <f ca="1">IFERROR(__xludf.DUMMYFUNCTION("""COMPUTED_VALUE"""),136.72)</f>
        <v>136.72</v>
      </c>
      <c r="D358" s="1">
        <f ca="1">IFERROR(__xludf.DUMMYFUNCTION("""COMPUTED_VALUE"""),256.83)</f>
        <v>256.83</v>
      </c>
      <c r="E358" s="1">
        <f ca="1">IFERROR(__xludf.DUMMYFUNCTION("""COMPUTED_VALUE"""),112.61)</f>
        <v>112.61</v>
      </c>
      <c r="F358">
        <f t="shared" ca="1" si="45"/>
        <v>-8.1243098280485235E-3</v>
      </c>
      <c r="G358">
        <f t="shared" ca="1" si="46"/>
        <v>-1.8027723910076787E-2</v>
      </c>
      <c r="H358">
        <f t="shared" ca="1" si="47"/>
        <v>-1.3179128563743975E-2</v>
      </c>
      <c r="I358">
        <f t="shared" ca="1" si="48"/>
        <v>-2.3330442324371186E-2</v>
      </c>
      <c r="O358">
        <f t="shared" ca="1" si="49"/>
        <v>1.0027111075671797</v>
      </c>
      <c r="P358">
        <f t="shared" ca="1" si="50"/>
        <v>1.0425499466219315</v>
      </c>
      <c r="Q358">
        <f t="shared" ca="1" si="51"/>
        <v>1.0716878781556447</v>
      </c>
      <c r="R358">
        <f t="shared" ca="1" si="52"/>
        <v>0.86877025150439868</v>
      </c>
    </row>
    <row r="359" spans="1:18" x14ac:dyDescent="0.3">
      <c r="A359" s="2">
        <f ca="1">IFERROR(__xludf.DUMMYFUNCTION("""COMPUTED_VALUE"""),44743.6666666666)</f>
        <v>44743.666666666599</v>
      </c>
      <c r="B359" s="1">
        <f ca="1">IFERROR(__xludf.DUMMYFUNCTION("""COMPUTED_VALUE"""),381.24)</f>
        <v>381.24</v>
      </c>
      <c r="C359" s="1">
        <f ca="1">IFERROR(__xludf.DUMMYFUNCTION("""COMPUTED_VALUE"""),138.93)</f>
        <v>138.93</v>
      </c>
      <c r="D359" s="1">
        <f ca="1">IFERROR(__xludf.DUMMYFUNCTION("""COMPUTED_VALUE"""),259.58)</f>
        <v>259.58</v>
      </c>
      <c r="E359" s="1">
        <f ca="1">IFERROR(__xludf.DUMMYFUNCTION("""COMPUTED_VALUE"""),114.05)</f>
        <v>114.05</v>
      </c>
      <c r="F359">
        <f t="shared" ca="1" si="45"/>
        <v>1.0576540755467221E-2</v>
      </c>
      <c r="G359">
        <f t="shared" ca="1" si="46"/>
        <v>1.6164423639555354E-2</v>
      </c>
      <c r="H359">
        <f t="shared" ca="1" si="47"/>
        <v>1.0707471868551182E-2</v>
      </c>
      <c r="I359">
        <f t="shared" ca="1" si="48"/>
        <v>1.2787496669922722E-2</v>
      </c>
      <c r="O359">
        <f t="shared" ca="1" si="49"/>
        <v>1.0133163224623236</v>
      </c>
      <c r="P359">
        <f t="shared" ca="1" si="50"/>
        <v>1.0594021656245241</v>
      </c>
      <c r="Q359">
        <f t="shared" ca="1" si="51"/>
        <v>1.0831629459628636</v>
      </c>
      <c r="R359">
        <f t="shared" ca="1" si="52"/>
        <v>0.87987964820243902</v>
      </c>
    </row>
    <row r="360" spans="1:18" x14ac:dyDescent="0.3">
      <c r="A360" s="2">
        <f ca="1">IFERROR(__xludf.DUMMYFUNCTION("""COMPUTED_VALUE"""),44747.6666666666)</f>
        <v>44747.666666666599</v>
      </c>
      <c r="B360" s="1">
        <f ca="1">IFERROR(__xludf.DUMMYFUNCTION("""COMPUTED_VALUE"""),381.96)</f>
        <v>381.96</v>
      </c>
      <c r="C360" s="1">
        <f ca="1">IFERROR(__xludf.DUMMYFUNCTION("""COMPUTED_VALUE"""),141.56)</f>
        <v>141.56</v>
      </c>
      <c r="D360" s="1">
        <f ca="1">IFERROR(__xludf.DUMMYFUNCTION("""COMPUTED_VALUE"""),262.85)</f>
        <v>262.85000000000002</v>
      </c>
      <c r="E360" s="1">
        <f ca="1">IFERROR(__xludf.DUMMYFUNCTION("""COMPUTED_VALUE"""),112.62)</f>
        <v>112.62</v>
      </c>
      <c r="F360">
        <f t="shared" ca="1" si="45"/>
        <v>1.8885741265343889E-3</v>
      </c>
      <c r="G360">
        <f t="shared" ca="1" si="46"/>
        <v>1.8930396602605596E-2</v>
      </c>
      <c r="H360">
        <f t="shared" ca="1" si="47"/>
        <v>1.2597272517143227E-2</v>
      </c>
      <c r="I360">
        <f t="shared" ca="1" si="48"/>
        <v>-1.2538360368259472E-2</v>
      </c>
      <c r="O360">
        <f t="shared" ca="1" si="49"/>
        <v>1.0152300454509209</v>
      </c>
      <c r="P360">
        <f t="shared" ca="1" si="50"/>
        <v>1.0794570687814555</v>
      </c>
      <c r="Q360">
        <f t="shared" ca="1" si="51"/>
        <v>1.0968078447736296</v>
      </c>
      <c r="R360">
        <f t="shared" ca="1" si="52"/>
        <v>0.86884740009257944</v>
      </c>
    </row>
    <row r="361" spans="1:18" x14ac:dyDescent="0.3">
      <c r="A361" s="2">
        <f ca="1">IFERROR(__xludf.DUMMYFUNCTION("""COMPUTED_VALUE"""),44748.6666666666)</f>
        <v>44748.666666666599</v>
      </c>
      <c r="B361" s="1">
        <f ca="1">IFERROR(__xludf.DUMMYFUNCTION("""COMPUTED_VALUE"""),383.25)</f>
        <v>383.25</v>
      </c>
      <c r="C361" s="1">
        <f ca="1">IFERROR(__xludf.DUMMYFUNCTION("""COMPUTED_VALUE"""),142.92)</f>
        <v>142.91999999999999</v>
      </c>
      <c r="D361" s="1">
        <f ca="1">IFERROR(__xludf.DUMMYFUNCTION("""COMPUTED_VALUE"""),266.21)</f>
        <v>266.20999999999998</v>
      </c>
      <c r="E361" s="1">
        <f ca="1">IFERROR(__xludf.DUMMYFUNCTION("""COMPUTED_VALUE"""),111.89)</f>
        <v>111.89</v>
      </c>
      <c r="F361">
        <f t="shared" ca="1" si="45"/>
        <v>3.3773169965441944E-3</v>
      </c>
      <c r="G361">
        <f t="shared" ca="1" si="46"/>
        <v>9.6072336818309213E-3</v>
      </c>
      <c r="H361">
        <f t="shared" ca="1" si="47"/>
        <v>1.2782956058588384E-2</v>
      </c>
      <c r="I361">
        <f t="shared" ca="1" si="48"/>
        <v>-6.4819747824543059E-3</v>
      </c>
      <c r="O361">
        <f t="shared" ca="1" si="49"/>
        <v>1.0186587991388245</v>
      </c>
      <c r="P361">
        <f t="shared" ca="1" si="50"/>
        <v>1.0898276650907432</v>
      </c>
      <c r="Q361">
        <f t="shared" ca="1" si="51"/>
        <v>1.1108282912580858</v>
      </c>
      <c r="R361">
        <f t="shared" ca="1" si="52"/>
        <v>0.86321555315537835</v>
      </c>
    </row>
    <row r="362" spans="1:18" x14ac:dyDescent="0.3">
      <c r="A362" s="2">
        <f ca="1">IFERROR(__xludf.DUMMYFUNCTION("""COMPUTED_VALUE"""),44749.6666666666)</f>
        <v>44749.666666666599</v>
      </c>
      <c r="B362" s="1">
        <f ca="1">IFERROR(__xludf.DUMMYFUNCTION("""COMPUTED_VALUE"""),388.99)</f>
        <v>388.99</v>
      </c>
      <c r="C362" s="1">
        <f ca="1">IFERROR(__xludf.DUMMYFUNCTION("""COMPUTED_VALUE"""),146.35)</f>
        <v>146.35</v>
      </c>
      <c r="D362" s="1">
        <f ca="1">IFERROR(__xludf.DUMMYFUNCTION("""COMPUTED_VALUE"""),268.4)</f>
        <v>268.39999999999998</v>
      </c>
      <c r="E362" s="1">
        <f ca="1">IFERROR(__xludf.DUMMYFUNCTION("""COMPUTED_VALUE"""),114.72)</f>
        <v>114.72</v>
      </c>
      <c r="F362">
        <f t="shared" ca="1" si="45"/>
        <v>1.4977168949771713E-2</v>
      </c>
      <c r="G362">
        <f t="shared" ca="1" si="46"/>
        <v>2.3999440246291682E-2</v>
      </c>
      <c r="H362">
        <f t="shared" ca="1" si="47"/>
        <v>8.2265880320047998E-3</v>
      </c>
      <c r="I362">
        <f t="shared" ca="1" si="48"/>
        <v>2.5292698185718099E-2</v>
      </c>
      <c r="O362">
        <f t="shared" ca="1" si="49"/>
        <v>1.0339154240756983</v>
      </c>
      <c r="P362">
        <f t="shared" ca="1" si="50"/>
        <v>1.1159829190178443</v>
      </c>
      <c r="Q362">
        <f t="shared" ca="1" si="51"/>
        <v>1.1199666179845618</v>
      </c>
      <c r="R362">
        <f t="shared" ca="1" si="52"/>
        <v>0.88504860361055493</v>
      </c>
    </row>
    <row r="363" spans="1:18" x14ac:dyDescent="0.3">
      <c r="A363" s="2">
        <f ca="1">IFERROR(__xludf.DUMMYFUNCTION("""COMPUTED_VALUE"""),44750.6666666666)</f>
        <v>44750.666666666599</v>
      </c>
      <c r="B363" s="1">
        <f ca="1">IFERROR(__xludf.DUMMYFUNCTION("""COMPUTED_VALUE"""),388.67)</f>
        <v>388.67</v>
      </c>
      <c r="C363" s="1">
        <f ca="1">IFERROR(__xludf.DUMMYFUNCTION("""COMPUTED_VALUE"""),147.04)</f>
        <v>147.04</v>
      </c>
      <c r="D363" s="1">
        <f ca="1">IFERROR(__xludf.DUMMYFUNCTION("""COMPUTED_VALUE"""),267.66)</f>
        <v>267.66000000000003</v>
      </c>
      <c r="E363" s="1">
        <f ca="1">IFERROR(__xludf.DUMMYFUNCTION("""COMPUTED_VALUE"""),114.36)</f>
        <v>114.36</v>
      </c>
      <c r="F363">
        <f t="shared" ca="1" si="45"/>
        <v>-8.2264325561066649E-4</v>
      </c>
      <c r="G363">
        <f t="shared" ca="1" si="46"/>
        <v>4.7147249743764797E-3</v>
      </c>
      <c r="H363">
        <f t="shared" ca="1" si="47"/>
        <v>-2.7570789865870057E-3</v>
      </c>
      <c r="I363">
        <f t="shared" ca="1" si="48"/>
        <v>-3.1380753138075266E-3</v>
      </c>
      <c r="O363">
        <f t="shared" ca="1" si="49"/>
        <v>1.0330648805252105</v>
      </c>
      <c r="P363">
        <f t="shared" ca="1" si="50"/>
        <v>1.1212444715571153</v>
      </c>
      <c r="Q363">
        <f t="shared" ca="1" si="51"/>
        <v>1.1168787815564376</v>
      </c>
      <c r="R363">
        <f t="shared" ca="1" si="52"/>
        <v>0.88227125443604482</v>
      </c>
    </row>
    <row r="364" spans="1:18" x14ac:dyDescent="0.3">
      <c r="A364" s="2">
        <f ca="1">IFERROR(__xludf.DUMMYFUNCTION("""COMPUTED_VALUE"""),44753.6666666666)</f>
        <v>44753.666666666599</v>
      </c>
      <c r="B364" s="1">
        <f ca="1">IFERROR(__xludf.DUMMYFUNCTION("""COMPUTED_VALUE"""),384.23)</f>
        <v>384.23</v>
      </c>
      <c r="C364" s="1">
        <f ca="1">IFERROR(__xludf.DUMMYFUNCTION("""COMPUTED_VALUE"""),144.87)</f>
        <v>144.87</v>
      </c>
      <c r="D364" s="1">
        <f ca="1">IFERROR(__xludf.DUMMYFUNCTION("""COMPUTED_VALUE"""),264.51)</f>
        <v>264.51</v>
      </c>
      <c r="E364" s="1">
        <f ca="1">IFERROR(__xludf.DUMMYFUNCTION("""COMPUTED_VALUE"""),112.86)</f>
        <v>112.86</v>
      </c>
      <c r="F364">
        <f t="shared" ca="1" si="45"/>
        <v>-1.1423572696632097E-2</v>
      </c>
      <c r="G364">
        <f t="shared" ca="1" si="46"/>
        <v>-1.4757889009793169E-2</v>
      </c>
      <c r="H364">
        <f t="shared" ca="1" si="47"/>
        <v>-1.1768661735037114E-2</v>
      </c>
      <c r="I364">
        <f t="shared" ca="1" si="48"/>
        <v>-1.3116474291710388E-2</v>
      </c>
      <c r="O364">
        <f t="shared" ca="1" si="49"/>
        <v>1.0212635887621933</v>
      </c>
      <c r="P364">
        <f t="shared" ca="1" si="50"/>
        <v>1.1046972700930311</v>
      </c>
      <c r="Q364">
        <f t="shared" ca="1" si="51"/>
        <v>1.1037346129772594</v>
      </c>
      <c r="R364">
        <f t="shared" ca="1" si="52"/>
        <v>0.8706989662089194</v>
      </c>
    </row>
    <row r="365" spans="1:18" x14ac:dyDescent="0.3">
      <c r="A365" s="2">
        <f ca="1">IFERROR(__xludf.DUMMYFUNCTION("""COMPUTED_VALUE"""),44754.6666666666)</f>
        <v>44754.666666666599</v>
      </c>
      <c r="B365" s="1">
        <f ca="1">IFERROR(__xludf.DUMMYFUNCTION("""COMPUTED_VALUE"""),380.83)</f>
        <v>380.83</v>
      </c>
      <c r="C365" s="1">
        <f ca="1">IFERROR(__xludf.DUMMYFUNCTION("""COMPUTED_VALUE"""),145.86)</f>
        <v>145.86000000000001</v>
      </c>
      <c r="D365" s="1">
        <f ca="1">IFERROR(__xludf.DUMMYFUNCTION("""COMPUTED_VALUE"""),253.67)</f>
        <v>253.67</v>
      </c>
      <c r="E365" s="1">
        <f ca="1">IFERROR(__xludf.DUMMYFUNCTION("""COMPUTED_VALUE"""),112.97)</f>
        <v>112.97</v>
      </c>
      <c r="F365">
        <f t="shared" ca="1" si="45"/>
        <v>-8.8488665642975136E-3</v>
      </c>
      <c r="G365">
        <f t="shared" ca="1" si="46"/>
        <v>6.8337129840547323E-3</v>
      </c>
      <c r="H365">
        <f t="shared" ca="1" si="47"/>
        <v>-4.0981437374768455E-2</v>
      </c>
      <c r="I365">
        <f t="shared" ca="1" si="48"/>
        <v>9.7465886939570646E-4</v>
      </c>
      <c r="O365">
        <f t="shared" ca="1" si="49"/>
        <v>1.012226563538261</v>
      </c>
      <c r="P365">
        <f t="shared" ca="1" si="50"/>
        <v>1.1122464541711157</v>
      </c>
      <c r="Q365">
        <f t="shared" ca="1" si="51"/>
        <v>1.0585019820571675</v>
      </c>
      <c r="R365">
        <f t="shared" ca="1" si="52"/>
        <v>0.87154760067890857</v>
      </c>
    </row>
    <row r="366" spans="1:18" x14ac:dyDescent="0.3">
      <c r="A366" s="2">
        <f ca="1">IFERROR(__xludf.DUMMYFUNCTION("""COMPUTED_VALUE"""),44755.6666666666)</f>
        <v>44755.666666666599</v>
      </c>
      <c r="B366" s="1">
        <f ca="1">IFERROR(__xludf.DUMMYFUNCTION("""COMPUTED_VALUE"""),378.83)</f>
        <v>378.83</v>
      </c>
      <c r="C366" s="1">
        <f ca="1">IFERROR(__xludf.DUMMYFUNCTION("""COMPUTED_VALUE"""),145.49)</f>
        <v>145.49</v>
      </c>
      <c r="D366" s="1">
        <f ca="1">IFERROR(__xludf.DUMMYFUNCTION("""COMPUTED_VALUE"""),252.72)</f>
        <v>252.72</v>
      </c>
      <c r="E366" s="1">
        <f ca="1">IFERROR(__xludf.DUMMYFUNCTION("""COMPUTED_VALUE"""),111.91)</f>
        <v>111.91</v>
      </c>
      <c r="F366">
        <f t="shared" ca="1" si="45"/>
        <v>-5.2516871044823148E-3</v>
      </c>
      <c r="G366">
        <f t="shared" ca="1" si="46"/>
        <v>-2.5366790072672736E-3</v>
      </c>
      <c r="H366">
        <f t="shared" ca="1" si="47"/>
        <v>-3.7450230614577548E-3</v>
      </c>
      <c r="I366">
        <f t="shared" ca="1" si="48"/>
        <v>-9.3830220412499093E-3</v>
      </c>
      <c r="O366">
        <f t="shared" ca="1" si="49"/>
        <v>1.0069106663477128</v>
      </c>
      <c r="P366">
        <f t="shared" ca="1" si="50"/>
        <v>1.1094250419399123</v>
      </c>
      <c r="Q366">
        <f t="shared" ca="1" si="51"/>
        <v>1.0545378677237647</v>
      </c>
      <c r="R366">
        <f t="shared" ca="1" si="52"/>
        <v>0.86336985033173996</v>
      </c>
    </row>
    <row r="367" spans="1:18" x14ac:dyDescent="0.3">
      <c r="A367" s="2">
        <f ca="1">IFERROR(__xludf.DUMMYFUNCTION("""COMPUTED_VALUE"""),44756.6666666666)</f>
        <v>44756.666666666599</v>
      </c>
      <c r="B367" s="1">
        <f ca="1">IFERROR(__xludf.DUMMYFUNCTION("""COMPUTED_VALUE"""),377.91)</f>
        <v>377.91</v>
      </c>
      <c r="C367" s="1">
        <f ca="1">IFERROR(__xludf.DUMMYFUNCTION("""COMPUTED_VALUE"""),148.47)</f>
        <v>148.47</v>
      </c>
      <c r="D367" s="1">
        <f ca="1">IFERROR(__xludf.DUMMYFUNCTION("""COMPUTED_VALUE"""),254.08)</f>
        <v>254.08</v>
      </c>
      <c r="E367" s="1">
        <f ca="1">IFERROR(__xludf.DUMMYFUNCTION("""COMPUTED_VALUE"""),108)</f>
        <v>108</v>
      </c>
      <c r="F367">
        <f t="shared" ca="1" si="45"/>
        <v>-2.4285299474697333E-3</v>
      </c>
      <c r="G367">
        <f t="shared" ca="1" si="46"/>
        <v>2.0482507388823904E-2</v>
      </c>
      <c r="H367">
        <f t="shared" ca="1" si="47"/>
        <v>5.3814498258943242E-3</v>
      </c>
      <c r="I367">
        <f t="shared" ca="1" si="48"/>
        <v>-3.4938790099186816E-2</v>
      </c>
      <c r="O367">
        <f t="shared" ca="1" si="49"/>
        <v>1.0044653536400605</v>
      </c>
      <c r="P367">
        <f t="shared" ca="1" si="50"/>
        <v>1.1321488485587929</v>
      </c>
      <c r="Q367">
        <f t="shared" ca="1" si="51"/>
        <v>1.0602128103484258</v>
      </c>
      <c r="R367">
        <f t="shared" ca="1" si="52"/>
        <v>0.83320475235303304</v>
      </c>
    </row>
    <row r="368" spans="1:18" x14ac:dyDescent="0.3">
      <c r="A368" s="2">
        <f ca="1">IFERROR(__xludf.DUMMYFUNCTION("""COMPUTED_VALUE"""),44757.6666666666)</f>
        <v>44757.666666666599</v>
      </c>
      <c r="B368" s="1">
        <f ca="1">IFERROR(__xludf.DUMMYFUNCTION("""COMPUTED_VALUE"""),385.13)</f>
        <v>385.13</v>
      </c>
      <c r="C368" s="1">
        <f ca="1">IFERROR(__xludf.DUMMYFUNCTION("""COMPUTED_VALUE"""),150.17)</f>
        <v>150.16999999999999</v>
      </c>
      <c r="D368" s="1">
        <f ca="1">IFERROR(__xludf.DUMMYFUNCTION("""COMPUTED_VALUE"""),256.72)</f>
        <v>256.72000000000003</v>
      </c>
      <c r="E368" s="1">
        <f ca="1">IFERROR(__xludf.DUMMYFUNCTION("""COMPUTED_VALUE"""),112.95)</f>
        <v>112.95</v>
      </c>
      <c r="F368">
        <f t="shared" ca="1" si="45"/>
        <v>1.9105077928607262E-2</v>
      </c>
      <c r="G368">
        <f t="shared" ca="1" si="46"/>
        <v>1.1450124604297087E-2</v>
      </c>
      <c r="H368">
        <f t="shared" ca="1" si="47"/>
        <v>1.039042821158696E-2</v>
      </c>
      <c r="I368">
        <f t="shared" ca="1" si="48"/>
        <v>4.5833333333333358E-2</v>
      </c>
      <c r="O368">
        <f t="shared" ca="1" si="49"/>
        <v>1.02365574249794</v>
      </c>
      <c r="P368">
        <f t="shared" ca="1" si="50"/>
        <v>1.1451120939454025</v>
      </c>
      <c r="Q368">
        <f t="shared" ca="1" si="51"/>
        <v>1.0712288754433561</v>
      </c>
      <c r="R368">
        <f t="shared" ca="1" si="52"/>
        <v>0.87139330350254707</v>
      </c>
    </row>
    <row r="369" spans="1:18" x14ac:dyDescent="0.3">
      <c r="A369" s="2">
        <f ca="1">IFERROR(__xludf.DUMMYFUNCTION("""COMPUTED_VALUE"""),44760.6666666666)</f>
        <v>44760.666666666599</v>
      </c>
      <c r="B369" s="1">
        <f ca="1">IFERROR(__xludf.DUMMYFUNCTION("""COMPUTED_VALUE"""),381.95)</f>
        <v>381.95</v>
      </c>
      <c r="C369" s="1">
        <f ca="1">IFERROR(__xludf.DUMMYFUNCTION("""COMPUTED_VALUE"""),147.07)</f>
        <v>147.07</v>
      </c>
      <c r="D369" s="1">
        <f ca="1">IFERROR(__xludf.DUMMYFUNCTION("""COMPUTED_VALUE"""),254.25)</f>
        <v>254.25</v>
      </c>
      <c r="E369" s="1">
        <f ca="1">IFERROR(__xludf.DUMMYFUNCTION("""COMPUTED_VALUE"""),111.79)</f>
        <v>111.79</v>
      </c>
      <c r="F369">
        <f t="shared" ca="1" si="45"/>
        <v>-8.2569521979591488E-3</v>
      </c>
      <c r="G369">
        <f t="shared" ca="1" si="46"/>
        <v>-2.0643270959579109E-2</v>
      </c>
      <c r="H369">
        <f t="shared" ca="1" si="47"/>
        <v>-9.6213773761297406E-3</v>
      </c>
      <c r="I369">
        <f t="shared" ca="1" si="48"/>
        <v>-1.0270030987162431E-2</v>
      </c>
      <c r="O369">
        <f t="shared" ca="1" si="49"/>
        <v>1.015203465964968</v>
      </c>
      <c r="P369">
        <f t="shared" ca="1" si="50"/>
        <v>1.1214732347109966</v>
      </c>
      <c r="Q369">
        <f t="shared" ca="1" si="51"/>
        <v>1.0609221781765084</v>
      </c>
      <c r="R369">
        <f t="shared" ca="1" si="52"/>
        <v>0.86244406727357015</v>
      </c>
    </row>
    <row r="370" spans="1:18" x14ac:dyDescent="0.3">
      <c r="A370" s="2">
        <f ca="1">IFERROR(__xludf.DUMMYFUNCTION("""COMPUTED_VALUE"""),44761.6666666666)</f>
        <v>44761.666666666599</v>
      </c>
      <c r="B370" s="1">
        <f ca="1">IFERROR(__xludf.DUMMYFUNCTION("""COMPUTED_VALUE"""),392.27)</f>
        <v>392.27</v>
      </c>
      <c r="C370" s="1">
        <f ca="1">IFERROR(__xludf.DUMMYFUNCTION("""COMPUTED_VALUE"""),151)</f>
        <v>151</v>
      </c>
      <c r="D370" s="1">
        <f ca="1">IFERROR(__xludf.DUMMYFUNCTION("""COMPUTED_VALUE"""),259.53)</f>
        <v>259.52999999999997</v>
      </c>
      <c r="E370" s="1">
        <f ca="1">IFERROR(__xludf.DUMMYFUNCTION("""COMPUTED_VALUE"""),114.56)</f>
        <v>114.56</v>
      </c>
      <c r="F370">
        <f t="shared" ca="1" si="45"/>
        <v>2.7019243356460252E-2</v>
      </c>
      <c r="G370">
        <f t="shared" ca="1" si="46"/>
        <v>2.6721969130346142E-2</v>
      </c>
      <c r="H370">
        <f t="shared" ca="1" si="47"/>
        <v>2.0766961651917298E-2</v>
      </c>
      <c r="I370">
        <f t="shared" ca="1" si="48"/>
        <v>2.477860273727521E-2</v>
      </c>
      <c r="O370">
        <f t="shared" ca="1" si="49"/>
        <v>1.0426334954681973</v>
      </c>
      <c r="P370">
        <f t="shared" ca="1" si="50"/>
        <v>1.1514412078694534</v>
      </c>
      <c r="Q370">
        <f t="shared" ca="1" si="51"/>
        <v>1.0829543083663684</v>
      </c>
      <c r="R370">
        <f t="shared" ca="1" si="52"/>
        <v>0.88381422619966177</v>
      </c>
    </row>
    <row r="371" spans="1:18" x14ac:dyDescent="0.3">
      <c r="A371" s="2">
        <f ca="1">IFERROR(__xludf.DUMMYFUNCTION("""COMPUTED_VALUE"""),44762.6666666666)</f>
        <v>44762.666666666599</v>
      </c>
      <c r="B371" s="1">
        <f ca="1">IFERROR(__xludf.DUMMYFUNCTION("""COMPUTED_VALUE"""),394.77)</f>
        <v>394.77</v>
      </c>
      <c r="C371" s="1">
        <f ca="1">IFERROR(__xludf.DUMMYFUNCTION("""COMPUTED_VALUE"""),153.04)</f>
        <v>153.04</v>
      </c>
      <c r="D371" s="1">
        <f ca="1">IFERROR(__xludf.DUMMYFUNCTION("""COMPUTED_VALUE"""),262.27)</f>
        <v>262.27</v>
      </c>
      <c r="E371" s="1">
        <f ca="1">IFERROR(__xludf.DUMMYFUNCTION("""COMPUTED_VALUE"""),114.54)</f>
        <v>114.54</v>
      </c>
      <c r="F371">
        <f t="shared" ca="1" si="45"/>
        <v>6.3731613429525583E-3</v>
      </c>
      <c r="G371">
        <f t="shared" ca="1" si="46"/>
        <v>1.3509933774834384E-2</v>
      </c>
      <c r="H371">
        <f t="shared" ca="1" si="47"/>
        <v>1.0557546333757212E-2</v>
      </c>
      <c r="I371">
        <f t="shared" ca="1" si="48"/>
        <v>-1.7458100558655744E-4</v>
      </c>
      <c r="O371">
        <f t="shared" ca="1" si="49"/>
        <v>1.0492783669563825</v>
      </c>
      <c r="P371">
        <f t="shared" ca="1" si="50"/>
        <v>1.1669971023333849</v>
      </c>
      <c r="Q371">
        <f t="shared" ca="1" si="51"/>
        <v>1.0943876486542885</v>
      </c>
      <c r="R371">
        <f t="shared" ca="1" si="52"/>
        <v>0.88365992902330015</v>
      </c>
    </row>
    <row r="372" spans="1:18" x14ac:dyDescent="0.3">
      <c r="A372" s="2">
        <f ca="1">IFERROR(__xludf.DUMMYFUNCTION("""COMPUTED_VALUE"""),44763.6666666666)</f>
        <v>44763.666666666599</v>
      </c>
      <c r="B372" s="1">
        <f ca="1">IFERROR(__xludf.DUMMYFUNCTION("""COMPUTED_VALUE"""),398.79)</f>
        <v>398.79</v>
      </c>
      <c r="C372" s="1">
        <f ca="1">IFERROR(__xludf.DUMMYFUNCTION("""COMPUTED_VALUE"""),155.35)</f>
        <v>155.35</v>
      </c>
      <c r="D372" s="1">
        <f ca="1">IFERROR(__xludf.DUMMYFUNCTION("""COMPUTED_VALUE"""),264.84)</f>
        <v>264.83999999999997</v>
      </c>
      <c r="E372" s="1">
        <f ca="1">IFERROR(__xludf.DUMMYFUNCTION("""COMPUTED_VALUE"""),115.32)</f>
        <v>115.32</v>
      </c>
      <c r="F372">
        <f t="shared" ca="1" si="45"/>
        <v>1.0183144615852367E-2</v>
      </c>
      <c r="G372">
        <f t="shared" ca="1" si="46"/>
        <v>1.5094093047569278E-2</v>
      </c>
      <c r="H372">
        <f t="shared" ca="1" si="47"/>
        <v>9.7990620353071017E-3</v>
      </c>
      <c r="I372">
        <f t="shared" ca="1" si="48"/>
        <v>6.8098480880040765E-3</v>
      </c>
      <c r="O372">
        <f t="shared" ca="1" si="49"/>
        <v>1.0599633203093848</v>
      </c>
      <c r="P372">
        <f t="shared" ca="1" si="50"/>
        <v>1.1846118651822488</v>
      </c>
      <c r="Q372">
        <f t="shared" ca="1" si="51"/>
        <v>1.1051116211141256</v>
      </c>
      <c r="R372">
        <f t="shared" ca="1" si="52"/>
        <v>0.88967751890140534</v>
      </c>
    </row>
    <row r="373" spans="1:18" x14ac:dyDescent="0.3">
      <c r="A373" s="2">
        <f ca="1">IFERROR(__xludf.DUMMYFUNCTION("""COMPUTED_VALUE"""),44764.6666666666)</f>
        <v>44764.666666666599</v>
      </c>
      <c r="B373" s="1">
        <f ca="1">IFERROR(__xludf.DUMMYFUNCTION("""COMPUTED_VALUE"""),395.09)</f>
        <v>395.09</v>
      </c>
      <c r="C373" s="1">
        <f ca="1">IFERROR(__xludf.DUMMYFUNCTION("""COMPUTED_VALUE"""),154.09)</f>
        <v>154.09</v>
      </c>
      <c r="D373" s="1">
        <f ca="1">IFERROR(__xludf.DUMMYFUNCTION("""COMPUTED_VALUE"""),260.36)</f>
        <v>260.36</v>
      </c>
      <c r="E373" s="1">
        <f ca="1">IFERROR(__xludf.DUMMYFUNCTION("""COMPUTED_VALUE"""),114.76)</f>
        <v>114.76</v>
      </c>
      <c r="F373">
        <f t="shared" ca="1" si="45"/>
        <v>-9.2780661501041788E-3</v>
      </c>
      <c r="G373">
        <f t="shared" ca="1" si="46"/>
        <v>-8.1107177341486376E-3</v>
      </c>
      <c r="H373">
        <f t="shared" ca="1" si="47"/>
        <v>-1.6915873735085189E-2</v>
      </c>
      <c r="I373">
        <f t="shared" ca="1" si="48"/>
        <v>-4.8560527228580308E-3</v>
      </c>
      <c r="O373">
        <f t="shared" ca="1" si="49"/>
        <v>1.0501289105068703</v>
      </c>
      <c r="P373">
        <f t="shared" ca="1" si="50"/>
        <v>1.1750038127192324</v>
      </c>
      <c r="Q373">
        <f t="shared" ca="1" si="51"/>
        <v>1.0864176924681839</v>
      </c>
      <c r="R373">
        <f t="shared" ca="1" si="52"/>
        <v>0.88535719796327861</v>
      </c>
    </row>
    <row r="374" spans="1:18" x14ac:dyDescent="0.3">
      <c r="A374" s="2">
        <f ca="1">IFERROR(__xludf.DUMMYFUNCTION("""COMPUTED_VALUE"""),44767.6666666666)</f>
        <v>44767.666666666599</v>
      </c>
      <c r="B374" s="1">
        <f ca="1">IFERROR(__xludf.DUMMYFUNCTION("""COMPUTED_VALUE"""),395.57)</f>
        <v>395.57</v>
      </c>
      <c r="C374" s="1">
        <f ca="1">IFERROR(__xludf.DUMMYFUNCTION("""COMPUTED_VALUE"""),152.95)</f>
        <v>152.94999999999999</v>
      </c>
      <c r="D374" s="1">
        <f ca="1">IFERROR(__xludf.DUMMYFUNCTION("""COMPUTED_VALUE"""),258.83)</f>
        <v>258.83</v>
      </c>
      <c r="E374" s="1">
        <f ca="1">IFERROR(__xludf.DUMMYFUNCTION("""COMPUTED_VALUE"""),115.22)</f>
        <v>115.22</v>
      </c>
      <c r="F374">
        <f t="shared" ca="1" si="45"/>
        <v>1.2149130577843485E-3</v>
      </c>
      <c r="G374">
        <f t="shared" ca="1" si="46"/>
        <v>-7.3982737361283323E-3</v>
      </c>
      <c r="H374">
        <f t="shared" ca="1" si="47"/>
        <v>-5.8764787217699703E-3</v>
      </c>
      <c r="I374">
        <f t="shared" ca="1" si="48"/>
        <v>4.0083652840710504E-3</v>
      </c>
      <c r="O374">
        <f t="shared" ca="1" si="49"/>
        <v>1.0514047258326018</v>
      </c>
      <c r="P374">
        <f t="shared" ca="1" si="50"/>
        <v>1.166310812871741</v>
      </c>
      <c r="Q374">
        <f t="shared" ca="1" si="51"/>
        <v>1.0800333820154402</v>
      </c>
      <c r="R374">
        <f t="shared" ca="1" si="52"/>
        <v>0.88890603301959703</v>
      </c>
    </row>
    <row r="375" spans="1:18" x14ac:dyDescent="0.3">
      <c r="A375" s="2">
        <f ca="1">IFERROR(__xludf.DUMMYFUNCTION("""COMPUTED_VALUE"""),44768.6666666666)</f>
        <v>44768.666666666599</v>
      </c>
      <c r="B375" s="1">
        <f ca="1">IFERROR(__xludf.DUMMYFUNCTION("""COMPUTED_VALUE"""),390.89)</f>
        <v>390.89</v>
      </c>
      <c r="C375" s="1">
        <f ca="1">IFERROR(__xludf.DUMMYFUNCTION("""COMPUTED_VALUE"""),151.6)</f>
        <v>151.6</v>
      </c>
      <c r="D375" s="1">
        <f ca="1">IFERROR(__xludf.DUMMYFUNCTION("""COMPUTED_VALUE"""),251.9)</f>
        <v>251.9</v>
      </c>
      <c r="E375" s="1">
        <f ca="1">IFERROR(__xludf.DUMMYFUNCTION("""COMPUTED_VALUE"""),113.42)</f>
        <v>113.42</v>
      </c>
      <c r="F375">
        <f t="shared" ca="1" si="45"/>
        <v>-1.1831028642212521E-2</v>
      </c>
      <c r="G375">
        <f t="shared" ca="1" si="46"/>
        <v>-8.8264138607387667E-3</v>
      </c>
      <c r="H375">
        <f t="shared" ca="1" si="47"/>
        <v>-2.6774330641733873E-2</v>
      </c>
      <c r="I375">
        <f t="shared" ca="1" si="48"/>
        <v>-1.5622287797257396E-2</v>
      </c>
      <c r="O375">
        <f t="shared" ca="1" si="49"/>
        <v>1.0389655264067186</v>
      </c>
      <c r="P375">
        <f t="shared" ca="1" si="50"/>
        <v>1.1560164709470804</v>
      </c>
      <c r="Q375">
        <f t="shared" ca="1" si="51"/>
        <v>1.0511162111412486</v>
      </c>
      <c r="R375">
        <f t="shared" ca="1" si="52"/>
        <v>0.87501928714704647</v>
      </c>
    </row>
    <row r="376" spans="1:18" x14ac:dyDescent="0.3">
      <c r="A376" s="2">
        <f ca="1">IFERROR(__xludf.DUMMYFUNCTION("""COMPUTED_VALUE"""),44769.6666666666)</f>
        <v>44769.666666666599</v>
      </c>
      <c r="B376" s="1">
        <f ca="1">IFERROR(__xludf.DUMMYFUNCTION("""COMPUTED_VALUE"""),401.04)</f>
        <v>401.04</v>
      </c>
      <c r="C376" s="1">
        <f ca="1">IFERROR(__xludf.DUMMYFUNCTION("""COMPUTED_VALUE"""),156.79)</f>
        <v>156.79</v>
      </c>
      <c r="D376" s="1">
        <f ca="1">IFERROR(__xludf.DUMMYFUNCTION("""COMPUTED_VALUE"""),268.74)</f>
        <v>268.74</v>
      </c>
      <c r="E376" s="1">
        <f ca="1">IFERROR(__xludf.DUMMYFUNCTION("""COMPUTED_VALUE"""),115.24)</f>
        <v>115.24</v>
      </c>
      <c r="F376">
        <f t="shared" ca="1" si="45"/>
        <v>2.5966384404819857E-2</v>
      </c>
      <c r="G376">
        <f t="shared" ca="1" si="46"/>
        <v>3.4234828496042202E-2</v>
      </c>
      <c r="H376">
        <f t="shared" ca="1" si="47"/>
        <v>6.6851925367209228E-2</v>
      </c>
      <c r="I376">
        <f t="shared" ca="1" si="48"/>
        <v>1.6046552636219302E-2</v>
      </c>
      <c r="O376">
        <f t="shared" ca="1" si="49"/>
        <v>1.0659437046487514</v>
      </c>
      <c r="P376">
        <f t="shared" ca="1" si="50"/>
        <v>1.1955924965685536</v>
      </c>
      <c r="Q376">
        <f t="shared" ca="1" si="51"/>
        <v>1.1213853536407272</v>
      </c>
      <c r="R376">
        <f t="shared" ca="1" si="52"/>
        <v>0.88906033019595854</v>
      </c>
    </row>
    <row r="377" spans="1:18" x14ac:dyDescent="0.3">
      <c r="A377" s="2">
        <f ca="1">IFERROR(__xludf.DUMMYFUNCTION("""COMPUTED_VALUE"""),44770.6666666666)</f>
        <v>44770.666666666599</v>
      </c>
      <c r="B377" s="1">
        <f ca="1">IFERROR(__xludf.DUMMYFUNCTION("""COMPUTED_VALUE"""),406.07)</f>
        <v>406.07</v>
      </c>
      <c r="C377" s="1">
        <f ca="1">IFERROR(__xludf.DUMMYFUNCTION("""COMPUTED_VALUE"""),157.35)</f>
        <v>157.35</v>
      </c>
      <c r="D377" s="1">
        <f ca="1">IFERROR(__xludf.DUMMYFUNCTION("""COMPUTED_VALUE"""),276.41)</f>
        <v>276.41000000000003</v>
      </c>
      <c r="E377" s="1">
        <f ca="1">IFERROR(__xludf.DUMMYFUNCTION("""COMPUTED_VALUE"""),114.81)</f>
        <v>114.81</v>
      </c>
      <c r="F377">
        <f t="shared" ca="1" si="45"/>
        <v>1.2542389786554888E-2</v>
      </c>
      <c r="G377">
        <f t="shared" ca="1" si="46"/>
        <v>3.5716563556349402E-3</v>
      </c>
      <c r="H377">
        <f t="shared" ca="1" si="47"/>
        <v>2.8540596859418083E-2</v>
      </c>
      <c r="I377">
        <f t="shared" ca="1" si="48"/>
        <v>-3.7313432835820257E-3</v>
      </c>
      <c r="O377">
        <f t="shared" ca="1" si="49"/>
        <v>1.0793131860829803</v>
      </c>
      <c r="P377">
        <f t="shared" ca="1" si="50"/>
        <v>1.1998627421076722</v>
      </c>
      <c r="Q377">
        <f t="shared" ca="1" si="51"/>
        <v>1.1533903609430431</v>
      </c>
      <c r="R377">
        <f t="shared" ca="1" si="52"/>
        <v>0.8857429409041826</v>
      </c>
    </row>
    <row r="378" spans="1:18" x14ac:dyDescent="0.3">
      <c r="A378" s="2">
        <f ca="1">IFERROR(__xludf.DUMMYFUNCTION("""COMPUTED_VALUE"""),44771.6666666666)</f>
        <v>44771.666666666599</v>
      </c>
      <c r="B378" s="1">
        <f ca="1">IFERROR(__xludf.DUMMYFUNCTION("""COMPUTED_VALUE"""),411.99)</f>
        <v>411.99</v>
      </c>
      <c r="C378" s="1">
        <f ca="1">IFERROR(__xludf.DUMMYFUNCTION("""COMPUTED_VALUE"""),162.51)</f>
        <v>162.51</v>
      </c>
      <c r="D378" s="1">
        <f ca="1">IFERROR(__xludf.DUMMYFUNCTION("""COMPUTED_VALUE"""),280.74)</f>
        <v>280.74</v>
      </c>
      <c r="E378" s="1">
        <f ca="1">IFERROR(__xludf.DUMMYFUNCTION("""COMPUTED_VALUE"""),115.36)</f>
        <v>115.36</v>
      </c>
      <c r="F378">
        <f t="shared" ca="1" si="45"/>
        <v>1.4578767207624341E-2</v>
      </c>
      <c r="G378">
        <f t="shared" ca="1" si="46"/>
        <v>3.2793136320305033E-2</v>
      </c>
      <c r="H378">
        <f t="shared" ca="1" si="47"/>
        <v>1.56651351253572E-2</v>
      </c>
      <c r="I378">
        <f t="shared" ca="1" si="48"/>
        <v>4.7905234735649959E-3</v>
      </c>
      <c r="O378">
        <f t="shared" ca="1" si="49"/>
        <v>1.0950482417670033</v>
      </c>
      <c r="P378">
        <f t="shared" ca="1" si="50"/>
        <v>1.2392100045752641</v>
      </c>
      <c r="Q378">
        <f t="shared" ca="1" si="51"/>
        <v>1.1714583767995004</v>
      </c>
      <c r="R378">
        <f t="shared" ca="1" si="52"/>
        <v>0.88998611325412857</v>
      </c>
    </row>
    <row r="379" spans="1:18" x14ac:dyDescent="0.3">
      <c r="A379" s="2">
        <f ca="1">IFERROR(__xludf.DUMMYFUNCTION("""COMPUTED_VALUE"""),44774.6666666666)</f>
        <v>44774.666666666599</v>
      </c>
      <c r="B379" s="1">
        <f ca="1">IFERROR(__xludf.DUMMYFUNCTION("""COMPUTED_VALUE"""),410.77)</f>
        <v>410.77</v>
      </c>
      <c r="C379" s="1">
        <f ca="1">IFERROR(__xludf.DUMMYFUNCTION("""COMPUTED_VALUE"""),161.51)</f>
        <v>161.51</v>
      </c>
      <c r="D379" s="1">
        <f ca="1">IFERROR(__xludf.DUMMYFUNCTION("""COMPUTED_VALUE"""),278.01)</f>
        <v>278.01</v>
      </c>
      <c r="E379" s="1">
        <f ca="1">IFERROR(__xludf.DUMMYFUNCTION("""COMPUTED_VALUE"""),114.21)</f>
        <v>114.21</v>
      </c>
      <c r="F379">
        <f t="shared" ca="1" si="45"/>
        <v>-2.9612369232263581E-3</v>
      </c>
      <c r="G379">
        <f t="shared" ca="1" si="46"/>
        <v>-6.1534674789243743E-3</v>
      </c>
      <c r="H379">
        <f t="shared" ca="1" si="47"/>
        <v>-9.7243000641163285E-3</v>
      </c>
      <c r="I379">
        <f t="shared" ca="1" si="48"/>
        <v>-9.9687933425797997E-3</v>
      </c>
      <c r="O379">
        <f t="shared" ca="1" si="49"/>
        <v>1.0918055444807688</v>
      </c>
      <c r="P379">
        <f t="shared" ca="1" si="50"/>
        <v>1.2315845661125524</v>
      </c>
      <c r="Q379">
        <f t="shared" ca="1" si="51"/>
        <v>1.1600667640308795</v>
      </c>
      <c r="R379">
        <f t="shared" ca="1" si="52"/>
        <v>0.8811140256133323</v>
      </c>
    </row>
    <row r="380" spans="1:18" x14ac:dyDescent="0.3">
      <c r="A380" s="2">
        <f ca="1">IFERROR(__xludf.DUMMYFUNCTION("""COMPUTED_VALUE"""),44775.6666666666)</f>
        <v>44775.666666666599</v>
      </c>
      <c r="B380" s="1">
        <f ca="1">IFERROR(__xludf.DUMMYFUNCTION("""COMPUTED_VALUE"""),408.06)</f>
        <v>408.06</v>
      </c>
      <c r="C380" s="1">
        <f ca="1">IFERROR(__xludf.DUMMYFUNCTION("""COMPUTED_VALUE"""),160.01)</f>
        <v>160.01</v>
      </c>
      <c r="D380" s="1">
        <f ca="1">IFERROR(__xludf.DUMMYFUNCTION("""COMPUTED_VALUE"""),274.82)</f>
        <v>274.82</v>
      </c>
      <c r="E380" s="1">
        <f ca="1">IFERROR(__xludf.DUMMYFUNCTION("""COMPUTED_VALUE"""),112.43)</f>
        <v>112.43</v>
      </c>
      <c r="F380">
        <f t="shared" ca="1" si="45"/>
        <v>-6.5973659225356763E-3</v>
      </c>
      <c r="G380">
        <f t="shared" ca="1" si="46"/>
        <v>-9.2873506284440605E-3</v>
      </c>
      <c r="H380">
        <f t="shared" ca="1" si="47"/>
        <v>-1.1474407395417423E-2</v>
      </c>
      <c r="I380">
        <f t="shared" ca="1" si="48"/>
        <v>-1.5585325277996559E-2</v>
      </c>
      <c r="O380">
        <f t="shared" ca="1" si="49"/>
        <v>1.0846025037875759</v>
      </c>
      <c r="P380">
        <f t="shared" ca="1" si="50"/>
        <v>1.220146408418485</v>
      </c>
      <c r="Q380">
        <f t="shared" ca="1" si="51"/>
        <v>1.1467556853745056</v>
      </c>
      <c r="R380">
        <f t="shared" ca="1" si="52"/>
        <v>0.86738157691714346</v>
      </c>
    </row>
    <row r="381" spans="1:18" x14ac:dyDescent="0.3">
      <c r="A381" s="2">
        <f ca="1">IFERROR(__xludf.DUMMYFUNCTION("""COMPUTED_VALUE"""),44776.6666666666)</f>
        <v>44776.666666666599</v>
      </c>
      <c r="B381" s="1">
        <f ca="1">IFERROR(__xludf.DUMMYFUNCTION("""COMPUTED_VALUE"""),414.45)</f>
        <v>414.45</v>
      </c>
      <c r="C381" s="1">
        <f ca="1">IFERROR(__xludf.DUMMYFUNCTION("""COMPUTED_VALUE"""),166.13)</f>
        <v>166.13</v>
      </c>
      <c r="D381" s="1">
        <f ca="1">IFERROR(__xludf.DUMMYFUNCTION("""COMPUTED_VALUE"""),282.47)</f>
        <v>282.47000000000003</v>
      </c>
      <c r="E381" s="1">
        <f ca="1">IFERROR(__xludf.DUMMYFUNCTION("""COMPUTED_VALUE"""),113.61)</f>
        <v>113.61</v>
      </c>
      <c r="F381">
        <f t="shared" ca="1" si="45"/>
        <v>1.5659461843846461E-2</v>
      </c>
      <c r="G381">
        <f t="shared" ca="1" si="46"/>
        <v>3.8247609524404758E-2</v>
      </c>
      <c r="H381">
        <f t="shared" ca="1" si="47"/>
        <v>2.7836402008587564E-2</v>
      </c>
      <c r="I381">
        <f t="shared" ca="1" si="48"/>
        <v>1.0495419372053656E-2</v>
      </c>
      <c r="O381">
        <f t="shared" ca="1" si="49"/>
        <v>1.1015867953113778</v>
      </c>
      <c r="P381">
        <f t="shared" ca="1" si="50"/>
        <v>1.2668140918102802</v>
      </c>
      <c r="Q381">
        <f t="shared" ca="1" si="51"/>
        <v>1.1786772376382235</v>
      </c>
      <c r="R381">
        <f t="shared" ca="1" si="52"/>
        <v>0.87648511032248211</v>
      </c>
    </row>
    <row r="382" spans="1:18" x14ac:dyDescent="0.3">
      <c r="A382" s="2">
        <f ca="1">IFERROR(__xludf.DUMMYFUNCTION("""COMPUTED_VALUE"""),44777.6666666666)</f>
        <v>44777.666666666599</v>
      </c>
      <c r="B382" s="1">
        <f ca="1">IFERROR(__xludf.DUMMYFUNCTION("""COMPUTED_VALUE"""),414.17)</f>
        <v>414.17</v>
      </c>
      <c r="C382" s="1">
        <f ca="1">IFERROR(__xludf.DUMMYFUNCTION("""COMPUTED_VALUE"""),165.81)</f>
        <v>165.81</v>
      </c>
      <c r="D382" s="1">
        <f ca="1">IFERROR(__xludf.DUMMYFUNCTION("""COMPUTED_VALUE"""),283.65)</f>
        <v>283.64999999999998</v>
      </c>
      <c r="E382" s="1">
        <f ca="1">IFERROR(__xludf.DUMMYFUNCTION("""COMPUTED_VALUE"""),112.36)</f>
        <v>112.36</v>
      </c>
      <c r="F382">
        <f t="shared" ca="1" si="45"/>
        <v>-6.7559416093611465E-4</v>
      </c>
      <c r="G382">
        <f t="shared" ca="1" si="46"/>
        <v>-1.9262023716366291E-3</v>
      </c>
      <c r="H382">
        <f t="shared" ca="1" si="47"/>
        <v>4.1774347718339993E-3</v>
      </c>
      <c r="I382">
        <f t="shared" ca="1" si="48"/>
        <v>-1.1002552592201391E-2</v>
      </c>
      <c r="O382">
        <f t="shared" ca="1" si="49"/>
        <v>1.1008425697047011</v>
      </c>
      <c r="P382">
        <f t="shared" ca="1" si="50"/>
        <v>1.2643739515022125</v>
      </c>
      <c r="Q382">
        <f t="shared" ca="1" si="51"/>
        <v>1.1836010849155025</v>
      </c>
      <c r="R382">
        <f t="shared" ca="1" si="52"/>
        <v>0.86684153679987752</v>
      </c>
    </row>
    <row r="383" spans="1:18" x14ac:dyDescent="0.3">
      <c r="A383" s="2">
        <f ca="1">IFERROR(__xludf.DUMMYFUNCTION("""COMPUTED_VALUE"""),44778.6666666666)</f>
        <v>44778.666666666599</v>
      </c>
      <c r="B383" s="1">
        <f ca="1">IFERROR(__xludf.DUMMYFUNCTION("""COMPUTED_VALUE"""),413.47)</f>
        <v>413.47</v>
      </c>
      <c r="C383" s="1">
        <f ca="1">IFERROR(__xludf.DUMMYFUNCTION("""COMPUTED_VALUE"""),165.35)</f>
        <v>165.35</v>
      </c>
      <c r="D383" s="1">
        <f ca="1">IFERROR(__xludf.DUMMYFUNCTION("""COMPUTED_VALUE"""),282.91)</f>
        <v>282.91000000000003</v>
      </c>
      <c r="E383" s="1">
        <f ca="1">IFERROR(__xludf.DUMMYFUNCTION("""COMPUTED_VALUE"""),115.76)</f>
        <v>115.76</v>
      </c>
      <c r="F383">
        <f t="shared" ca="1" si="45"/>
        <v>-1.690127242436653E-3</v>
      </c>
      <c r="G383">
        <f t="shared" ca="1" si="46"/>
        <v>-2.7742596948314817E-3</v>
      </c>
      <c r="H383">
        <f t="shared" ca="1" si="47"/>
        <v>-2.6088489335446934E-3</v>
      </c>
      <c r="I383">
        <f t="shared" ca="1" si="48"/>
        <v>3.025987896048421E-2</v>
      </c>
      <c r="O383">
        <f t="shared" ca="1" si="49"/>
        <v>1.0989820056880091</v>
      </c>
      <c r="P383">
        <f t="shared" ca="1" si="50"/>
        <v>1.2608662498093652</v>
      </c>
      <c r="Q383">
        <f t="shared" ca="1" si="51"/>
        <v>1.1805132484873784</v>
      </c>
      <c r="R383">
        <f t="shared" ca="1" si="52"/>
        <v>0.89307205678136192</v>
      </c>
    </row>
    <row r="384" spans="1:18" x14ac:dyDescent="0.3">
      <c r="A384" s="2">
        <f ca="1">IFERROR(__xludf.DUMMYFUNCTION("""COMPUTED_VALUE"""),44781.6666666666)</f>
        <v>44781.666666666599</v>
      </c>
      <c r="B384" s="1">
        <f ca="1">IFERROR(__xludf.DUMMYFUNCTION("""COMPUTED_VALUE"""),412.99)</f>
        <v>412.99</v>
      </c>
      <c r="C384" s="1">
        <f ca="1">IFERROR(__xludf.DUMMYFUNCTION("""COMPUTED_VALUE"""),164.87)</f>
        <v>164.87</v>
      </c>
      <c r="D384" s="1">
        <f ca="1">IFERROR(__xludf.DUMMYFUNCTION("""COMPUTED_VALUE"""),280.32)</f>
        <v>280.32</v>
      </c>
      <c r="E384" s="1">
        <f ca="1">IFERROR(__xludf.DUMMYFUNCTION("""COMPUTED_VALUE"""),114.35)</f>
        <v>114.35</v>
      </c>
      <c r="F384">
        <f t="shared" ca="1" si="45"/>
        <v>-1.1609064744721944E-3</v>
      </c>
      <c r="G384">
        <f t="shared" ca="1" si="46"/>
        <v>-2.9029331720592066E-3</v>
      </c>
      <c r="H384">
        <f t="shared" ca="1" si="47"/>
        <v>-9.1548549008519733E-3</v>
      </c>
      <c r="I384">
        <f t="shared" ca="1" si="48"/>
        <v>-1.2180373185901958E-2</v>
      </c>
      <c r="O384">
        <f t="shared" ca="1" si="49"/>
        <v>1.0977061903622773</v>
      </c>
      <c r="P384">
        <f t="shared" ca="1" si="50"/>
        <v>1.2572060393472637</v>
      </c>
      <c r="Q384">
        <f t="shared" ca="1" si="51"/>
        <v>1.169705820988943</v>
      </c>
      <c r="R384">
        <f t="shared" ca="1" si="52"/>
        <v>0.88219410584786395</v>
      </c>
    </row>
    <row r="385" spans="1:18" x14ac:dyDescent="0.3">
      <c r="A385" s="2">
        <f ca="1">IFERROR(__xludf.DUMMYFUNCTION("""COMPUTED_VALUE"""),44782.6666666666)</f>
        <v>44782.666666666599</v>
      </c>
      <c r="B385" s="1">
        <f ca="1">IFERROR(__xludf.DUMMYFUNCTION("""COMPUTED_VALUE"""),411.35)</f>
        <v>411.35</v>
      </c>
      <c r="C385" s="1">
        <f ca="1">IFERROR(__xludf.DUMMYFUNCTION("""COMPUTED_VALUE"""),164.92)</f>
        <v>164.92</v>
      </c>
      <c r="D385" s="1">
        <f ca="1">IFERROR(__xludf.DUMMYFUNCTION("""COMPUTED_VALUE"""),282.3)</f>
        <v>282.3</v>
      </c>
      <c r="E385" s="1">
        <f ca="1">IFERROR(__xludf.DUMMYFUNCTION("""COMPUTED_VALUE"""),115.38)</f>
        <v>115.38</v>
      </c>
      <c r="F385">
        <f t="shared" ca="1" si="45"/>
        <v>-3.9710404610280789E-3</v>
      </c>
      <c r="G385">
        <f t="shared" ca="1" si="46"/>
        <v>3.0326924243332895E-4</v>
      </c>
      <c r="H385">
        <f t="shared" ca="1" si="47"/>
        <v>7.0633561643836263E-3</v>
      </c>
      <c r="I385">
        <f t="shared" ca="1" si="48"/>
        <v>9.0074333187582095E-3</v>
      </c>
      <c r="O385">
        <f t="shared" ca="1" si="49"/>
        <v>1.0933471546660278</v>
      </c>
      <c r="P385">
        <f t="shared" ca="1" si="50"/>
        <v>1.2575873112703992</v>
      </c>
      <c r="Q385">
        <f t="shared" ca="1" si="51"/>
        <v>1.1779678698101406</v>
      </c>
      <c r="R385">
        <f t="shared" ca="1" si="52"/>
        <v>0.89014041043049008</v>
      </c>
    </row>
    <row r="386" spans="1:18" x14ac:dyDescent="0.3">
      <c r="A386" s="2">
        <f ca="1">IFERROR(__xludf.DUMMYFUNCTION("""COMPUTED_VALUE"""),44783.6666666666)</f>
        <v>44783.666666666599</v>
      </c>
      <c r="B386" s="1">
        <f ca="1">IFERROR(__xludf.DUMMYFUNCTION("""COMPUTED_VALUE"""),419.99)</f>
        <v>419.99</v>
      </c>
      <c r="C386" s="1">
        <f ca="1">IFERROR(__xludf.DUMMYFUNCTION("""COMPUTED_VALUE"""),169.24)</f>
        <v>169.24</v>
      </c>
      <c r="D386" s="1">
        <f ca="1">IFERROR(__xludf.DUMMYFUNCTION("""COMPUTED_VALUE"""),289.16)</f>
        <v>289.16000000000003</v>
      </c>
      <c r="E386" s="1">
        <f ca="1">IFERROR(__xludf.DUMMYFUNCTION("""COMPUTED_VALUE"""),118.39)</f>
        <v>118.39</v>
      </c>
      <c r="F386">
        <f t="shared" ca="1" si="45"/>
        <v>2.1004011182691105E-2</v>
      </c>
      <c r="G386">
        <f t="shared" ca="1" si="46"/>
        <v>2.6194518554450777E-2</v>
      </c>
      <c r="H386">
        <f t="shared" ca="1" si="47"/>
        <v>2.4300389656393955E-2</v>
      </c>
      <c r="I386">
        <f t="shared" ca="1" si="48"/>
        <v>2.6087710175073716E-2</v>
      </c>
      <c r="O386">
        <f t="shared" ca="1" si="49"/>
        <v>1.1163118305291966</v>
      </c>
      <c r="P386">
        <f t="shared" ca="1" si="50"/>
        <v>1.2905292054293136</v>
      </c>
      <c r="Q386">
        <f t="shared" ca="1" si="51"/>
        <v>1.2065929480492394</v>
      </c>
      <c r="R386">
        <f t="shared" ca="1" si="52"/>
        <v>0.91336213547292178</v>
      </c>
    </row>
    <row r="387" spans="1:18" x14ac:dyDescent="0.3">
      <c r="A387" s="2">
        <f ca="1">IFERROR(__xludf.DUMMYFUNCTION("""COMPUTED_VALUE"""),44784.6666666666)</f>
        <v>44784.666666666599</v>
      </c>
      <c r="B387" s="1">
        <f ca="1">IFERROR(__xludf.DUMMYFUNCTION("""COMPUTED_VALUE"""),419.99)</f>
        <v>419.99</v>
      </c>
      <c r="C387" s="1">
        <f ca="1">IFERROR(__xludf.DUMMYFUNCTION("""COMPUTED_VALUE"""),168.49)</f>
        <v>168.49</v>
      </c>
      <c r="D387" s="1">
        <f ca="1">IFERROR(__xludf.DUMMYFUNCTION("""COMPUTED_VALUE"""),287.02)</f>
        <v>287.02</v>
      </c>
      <c r="E387" s="1">
        <f ca="1">IFERROR(__xludf.DUMMYFUNCTION("""COMPUTED_VALUE"""),120.14)</f>
        <v>120.14</v>
      </c>
      <c r="F387">
        <f t="shared" ca="1" si="45"/>
        <v>0</v>
      </c>
      <c r="G387">
        <f t="shared" ca="1" si="46"/>
        <v>-4.4315764594658469E-3</v>
      </c>
      <c r="H387">
        <f t="shared" ca="1" si="47"/>
        <v>-7.4007469912852506E-3</v>
      </c>
      <c r="I387">
        <f t="shared" ca="1" si="48"/>
        <v>1.4781653855899992E-2</v>
      </c>
      <c r="O387">
        <f t="shared" ca="1" si="49"/>
        <v>1.1163118305291966</v>
      </c>
      <c r="P387">
        <f t="shared" ca="1" si="50"/>
        <v>1.28481012658228</v>
      </c>
      <c r="Q387">
        <f t="shared" ca="1" si="51"/>
        <v>1.197663258919258</v>
      </c>
      <c r="R387">
        <f t="shared" ca="1" si="52"/>
        <v>0.92686313840456813</v>
      </c>
    </row>
    <row r="388" spans="1:18" x14ac:dyDescent="0.3">
      <c r="A388" s="2">
        <f ca="1">IFERROR(__xludf.DUMMYFUNCTION("""COMPUTED_VALUE"""),44785.6666666666)</f>
        <v>44785.666666666599</v>
      </c>
      <c r="B388" s="1">
        <f ca="1">IFERROR(__xludf.DUMMYFUNCTION("""COMPUTED_VALUE"""),427.1)</f>
        <v>427.1</v>
      </c>
      <c r="C388" s="1">
        <f ca="1">IFERROR(__xludf.DUMMYFUNCTION("""COMPUTED_VALUE"""),172.1)</f>
        <v>172.1</v>
      </c>
      <c r="D388" s="1">
        <f ca="1">IFERROR(__xludf.DUMMYFUNCTION("""COMPUTED_VALUE"""),291.91)</f>
        <v>291.91000000000003</v>
      </c>
      <c r="E388" s="1">
        <f ca="1">IFERROR(__xludf.DUMMYFUNCTION("""COMPUTED_VALUE"""),122.13)</f>
        <v>122.13</v>
      </c>
      <c r="F388">
        <f t="shared" ref="F388:F451" ca="1" si="53">(B388-B387)/B387</f>
        <v>1.6928974499392874E-2</v>
      </c>
      <c r="G388">
        <f t="shared" ref="G388:G451" ca="1" si="54">(C388-C387)/C387</f>
        <v>2.1425603893406048E-2</v>
      </c>
      <c r="H388">
        <f t="shared" ref="H388:H451" ca="1" si="55">(D388-D387)/D387</f>
        <v>1.7037140268970956E-2</v>
      </c>
      <c r="I388">
        <f t="shared" ref="I388:I451" ca="1" si="56">(E388-E387)/E387</f>
        <v>1.6564008656567295E-2</v>
      </c>
      <c r="O388">
        <f t="shared" ref="O388:O451" ca="1" si="57">O387*(1+F388)</f>
        <v>1.1352098450415959</v>
      </c>
      <c r="P388">
        <f t="shared" ref="P388:P451" ca="1" si="58">P387*(1+G388)</f>
        <v>1.3123379594326687</v>
      </c>
      <c r="Q388">
        <f t="shared" ref="Q388:Q451" ca="1" si="59">Q387*(1+H388)</f>
        <v>1.2180680158564581</v>
      </c>
      <c r="R388">
        <f t="shared" ref="R388:R451" ca="1" si="60">R387*(1+I388)</f>
        <v>0.94221570745255445</v>
      </c>
    </row>
    <row r="389" spans="1:18" x14ac:dyDescent="0.3">
      <c r="A389" s="2">
        <f ca="1">IFERROR(__xludf.DUMMYFUNCTION("""COMPUTED_VALUE"""),44788.6666666666)</f>
        <v>44788.666666666599</v>
      </c>
      <c r="B389" s="1">
        <f ca="1">IFERROR(__xludf.DUMMYFUNCTION("""COMPUTED_VALUE"""),428.86)</f>
        <v>428.86</v>
      </c>
      <c r="C389" s="1">
        <f ca="1">IFERROR(__xludf.DUMMYFUNCTION("""COMPUTED_VALUE"""),173.19)</f>
        <v>173.19</v>
      </c>
      <c r="D389" s="1">
        <f ca="1">IFERROR(__xludf.DUMMYFUNCTION("""COMPUTED_VALUE"""),293.47)</f>
        <v>293.47000000000003</v>
      </c>
      <c r="E389" s="1">
        <f ca="1">IFERROR(__xludf.DUMMYFUNCTION("""COMPUTED_VALUE"""),122.46)</f>
        <v>122.46</v>
      </c>
      <c r="F389">
        <f t="shared" ca="1" si="53"/>
        <v>4.1208147974712969E-3</v>
      </c>
      <c r="G389">
        <f t="shared" ca="1" si="54"/>
        <v>6.333527019174918E-3</v>
      </c>
      <c r="H389">
        <f t="shared" ca="1" si="55"/>
        <v>5.3441129115138304E-3</v>
      </c>
      <c r="I389">
        <f t="shared" ca="1" si="56"/>
        <v>2.7020388111029092E-3</v>
      </c>
      <c r="O389">
        <f t="shared" ca="1" si="57"/>
        <v>1.1398878345692787</v>
      </c>
      <c r="P389">
        <f t="shared" ca="1" si="58"/>
        <v>1.3206496873570244</v>
      </c>
      <c r="Q389">
        <f t="shared" ca="1" si="59"/>
        <v>1.2245775088670987</v>
      </c>
      <c r="R389">
        <f t="shared" ca="1" si="60"/>
        <v>0.94476161086252208</v>
      </c>
    </row>
    <row r="390" spans="1:18" x14ac:dyDescent="0.3">
      <c r="A390" s="2">
        <f ca="1">IFERROR(__xludf.DUMMYFUNCTION("""COMPUTED_VALUE"""),44789.6666666666)</f>
        <v>44789.666666666599</v>
      </c>
      <c r="B390" s="1">
        <f ca="1">IFERROR(__xludf.DUMMYFUNCTION("""COMPUTED_VALUE"""),429.7)</f>
        <v>429.7</v>
      </c>
      <c r="C390" s="1">
        <f ca="1">IFERROR(__xludf.DUMMYFUNCTION("""COMPUTED_VALUE"""),173.03)</f>
        <v>173.03</v>
      </c>
      <c r="D390" s="1">
        <f ca="1">IFERROR(__xludf.DUMMYFUNCTION("""COMPUTED_VALUE"""),292.71)</f>
        <v>292.70999999999998</v>
      </c>
      <c r="E390" s="1">
        <f ca="1">IFERROR(__xludf.DUMMYFUNCTION("""COMPUTED_VALUE"""),123.63)</f>
        <v>123.63</v>
      </c>
      <c r="F390">
        <f t="shared" ca="1" si="53"/>
        <v>1.9586811546891177E-3</v>
      </c>
      <c r="G390">
        <f t="shared" ca="1" si="54"/>
        <v>-9.2384086841039664E-4</v>
      </c>
      <c r="H390">
        <f t="shared" ca="1" si="55"/>
        <v>-2.5897025249601241E-3</v>
      </c>
      <c r="I390">
        <f t="shared" ca="1" si="56"/>
        <v>9.5541401273885503E-3</v>
      </c>
      <c r="O390">
        <f t="shared" ca="1" si="57"/>
        <v>1.1421205113893089</v>
      </c>
      <c r="P390">
        <f t="shared" ca="1" si="58"/>
        <v>1.3194296172029907</v>
      </c>
      <c r="Q390">
        <f t="shared" ca="1" si="59"/>
        <v>1.2214062174003761</v>
      </c>
      <c r="R390">
        <f t="shared" ca="1" si="60"/>
        <v>0.95378799567968009</v>
      </c>
    </row>
    <row r="391" spans="1:18" x14ac:dyDescent="0.3">
      <c r="A391" s="2">
        <f ca="1">IFERROR(__xludf.DUMMYFUNCTION("""COMPUTED_VALUE"""),44790.6666666666)</f>
        <v>44790.666666666599</v>
      </c>
      <c r="B391" s="1">
        <f ca="1">IFERROR(__xludf.DUMMYFUNCTION("""COMPUTED_VALUE"""),426.65)</f>
        <v>426.65</v>
      </c>
      <c r="C391" s="1">
        <f ca="1">IFERROR(__xludf.DUMMYFUNCTION("""COMPUTED_VALUE"""),174.55)</f>
        <v>174.55</v>
      </c>
      <c r="D391" s="1">
        <f ca="1">IFERROR(__xludf.DUMMYFUNCTION("""COMPUTED_VALUE"""),291.32)</f>
        <v>291.32</v>
      </c>
      <c r="E391" s="1">
        <f ca="1">IFERROR(__xludf.DUMMYFUNCTION("""COMPUTED_VALUE"""),122.59)</f>
        <v>122.59</v>
      </c>
      <c r="F391">
        <f t="shared" ca="1" si="53"/>
        <v>-7.0979753316267429E-3</v>
      </c>
      <c r="G391">
        <f t="shared" ca="1" si="54"/>
        <v>8.7846038259261992E-3</v>
      </c>
      <c r="H391">
        <f t="shared" ca="1" si="55"/>
        <v>-4.7487274093812523E-3</v>
      </c>
      <c r="I391">
        <f t="shared" ca="1" si="56"/>
        <v>-8.4121976866455717E-3</v>
      </c>
      <c r="O391">
        <f t="shared" ca="1" si="57"/>
        <v>1.1340137681737228</v>
      </c>
      <c r="P391">
        <f t="shared" ca="1" si="58"/>
        <v>1.3310202836663125</v>
      </c>
      <c r="Q391">
        <f t="shared" ca="1" si="59"/>
        <v>1.2156060922178182</v>
      </c>
      <c r="R391">
        <f t="shared" ca="1" si="60"/>
        <v>0.94576454250887321</v>
      </c>
    </row>
    <row r="392" spans="1:18" x14ac:dyDescent="0.3">
      <c r="A392" s="2">
        <f ca="1">IFERROR(__xludf.DUMMYFUNCTION("""COMPUTED_VALUE"""),44791.6666666666)</f>
        <v>44791.666666666599</v>
      </c>
      <c r="B392" s="1">
        <f ca="1">IFERROR(__xludf.DUMMYFUNCTION("""COMPUTED_VALUE"""),427.89)</f>
        <v>427.89</v>
      </c>
      <c r="C392" s="1">
        <f ca="1">IFERROR(__xludf.DUMMYFUNCTION("""COMPUTED_VALUE"""),174.15)</f>
        <v>174.15</v>
      </c>
      <c r="D392" s="1">
        <f ca="1">IFERROR(__xludf.DUMMYFUNCTION("""COMPUTED_VALUE"""),290.17)</f>
        <v>290.17</v>
      </c>
      <c r="E392" s="1">
        <f ca="1">IFERROR(__xludf.DUMMYFUNCTION("""COMPUTED_VALUE"""),121.64)</f>
        <v>121.64</v>
      </c>
      <c r="F392">
        <f t="shared" ca="1" si="53"/>
        <v>2.9063635298254053E-3</v>
      </c>
      <c r="G392">
        <f t="shared" ca="1" si="54"/>
        <v>-2.2916069894013502E-3</v>
      </c>
      <c r="H392">
        <f t="shared" ca="1" si="55"/>
        <v>-3.947549086914655E-3</v>
      </c>
      <c r="I392">
        <f t="shared" ca="1" si="56"/>
        <v>-7.7494085977649306E-3</v>
      </c>
      <c r="O392">
        <f t="shared" ca="1" si="57"/>
        <v>1.1373096244318628</v>
      </c>
      <c r="P392">
        <f t="shared" ca="1" si="58"/>
        <v>1.3279701082812279</v>
      </c>
      <c r="Q392">
        <f t="shared" ca="1" si="59"/>
        <v>1.210807427498436</v>
      </c>
      <c r="R392">
        <f t="shared" ca="1" si="60"/>
        <v>0.93843542663169366</v>
      </c>
    </row>
    <row r="393" spans="1:18" x14ac:dyDescent="0.3">
      <c r="A393" s="2">
        <f ca="1">IFERROR(__xludf.DUMMYFUNCTION("""COMPUTED_VALUE"""),44792.6666666666)</f>
        <v>44792.666666666599</v>
      </c>
      <c r="B393" s="1">
        <f ca="1">IFERROR(__xludf.DUMMYFUNCTION("""COMPUTED_VALUE"""),422.14)</f>
        <v>422.14</v>
      </c>
      <c r="C393" s="1">
        <f ca="1">IFERROR(__xludf.DUMMYFUNCTION("""COMPUTED_VALUE"""),171.52)</f>
        <v>171.52</v>
      </c>
      <c r="D393" s="1">
        <f ca="1">IFERROR(__xludf.DUMMYFUNCTION("""COMPUTED_VALUE"""),286.15)</f>
        <v>286.14999999999998</v>
      </c>
      <c r="E393" s="1">
        <f ca="1">IFERROR(__xludf.DUMMYFUNCTION("""COMPUTED_VALUE"""),118.63)</f>
        <v>118.63</v>
      </c>
      <c r="F393">
        <f t="shared" ca="1" si="53"/>
        <v>-1.3438033139358247E-2</v>
      </c>
      <c r="G393">
        <f t="shared" ca="1" si="54"/>
        <v>-1.5101923629055386E-2</v>
      </c>
      <c r="H393">
        <f t="shared" ca="1" si="55"/>
        <v>-1.3853947685839469E-2</v>
      </c>
      <c r="I393">
        <f t="shared" ca="1" si="56"/>
        <v>-2.4745149621834963E-2</v>
      </c>
      <c r="O393">
        <f t="shared" ca="1" si="57"/>
        <v>1.1220264200090364</v>
      </c>
      <c r="P393">
        <f t="shared" ca="1" si="58"/>
        <v>1.3079152051242964</v>
      </c>
      <c r="Q393">
        <f t="shared" ca="1" si="59"/>
        <v>1.1940329647402468</v>
      </c>
      <c r="R393">
        <f t="shared" ca="1" si="60"/>
        <v>0.91521370158926185</v>
      </c>
    </row>
    <row r="394" spans="1:18" x14ac:dyDescent="0.3">
      <c r="A394" s="2">
        <f ca="1">IFERROR(__xludf.DUMMYFUNCTION("""COMPUTED_VALUE"""),44795.6666666666)</f>
        <v>44795.666666666599</v>
      </c>
      <c r="B394" s="1">
        <f ca="1">IFERROR(__xludf.DUMMYFUNCTION("""COMPUTED_VALUE"""),413.35)</f>
        <v>413.35</v>
      </c>
      <c r="C394" s="1">
        <f ca="1">IFERROR(__xludf.DUMMYFUNCTION("""COMPUTED_VALUE"""),167.57)</f>
        <v>167.57</v>
      </c>
      <c r="D394" s="1">
        <f ca="1">IFERROR(__xludf.DUMMYFUNCTION("""COMPUTED_VALUE"""),277.75)</f>
        <v>277.75</v>
      </c>
      <c r="E394" s="1">
        <f ca="1">IFERROR(__xludf.DUMMYFUNCTION("""COMPUTED_VALUE"""),116.67)</f>
        <v>116.67</v>
      </c>
      <c r="F394">
        <f t="shared" ca="1" si="53"/>
        <v>-2.0822475955843946E-2</v>
      </c>
      <c r="G394">
        <f t="shared" ca="1" si="54"/>
        <v>-2.3029384328358306E-2</v>
      </c>
      <c r="H394">
        <f t="shared" ca="1" si="55"/>
        <v>-2.9355233269264296E-2</v>
      </c>
      <c r="I394">
        <f t="shared" ca="1" si="56"/>
        <v>-1.6521959032285205E-2</v>
      </c>
      <c r="O394">
        <f t="shared" ca="1" si="57"/>
        <v>1.0986630518565765</v>
      </c>
      <c r="P394">
        <f t="shared" ca="1" si="58"/>
        <v>1.2777947231965854</v>
      </c>
      <c r="Q394">
        <f t="shared" ca="1" si="59"/>
        <v>1.1589818485291057</v>
      </c>
      <c r="R394">
        <f t="shared" ca="1" si="60"/>
        <v>0.90009257830581801</v>
      </c>
    </row>
    <row r="395" spans="1:18" x14ac:dyDescent="0.3">
      <c r="A395" s="2">
        <f ca="1">IFERROR(__xludf.DUMMYFUNCTION("""COMPUTED_VALUE"""),44796.6666666666)</f>
        <v>44796.666666666599</v>
      </c>
      <c r="B395" s="1">
        <f ca="1">IFERROR(__xludf.DUMMYFUNCTION("""COMPUTED_VALUE"""),412.35)</f>
        <v>412.35</v>
      </c>
      <c r="C395" s="1">
        <f ca="1">IFERROR(__xludf.DUMMYFUNCTION("""COMPUTED_VALUE"""),167.23)</f>
        <v>167.23</v>
      </c>
      <c r="D395" s="1">
        <f ca="1">IFERROR(__xludf.DUMMYFUNCTION("""COMPUTED_VALUE"""),276.44)</f>
        <v>276.44</v>
      </c>
      <c r="E395" s="1">
        <f ca="1">IFERROR(__xludf.DUMMYFUNCTION("""COMPUTED_VALUE"""),115.52)</f>
        <v>115.52</v>
      </c>
      <c r="F395">
        <f t="shared" ca="1" si="53"/>
        <v>-2.4192572880125801E-3</v>
      </c>
      <c r="G395">
        <f t="shared" ca="1" si="54"/>
        <v>-2.0290028047980154E-3</v>
      </c>
      <c r="H395">
        <f t="shared" ca="1" si="55"/>
        <v>-4.7164716471647244E-3</v>
      </c>
      <c r="I395">
        <f t="shared" ca="1" si="56"/>
        <v>-9.8568612325362626E-3</v>
      </c>
      <c r="O395">
        <f t="shared" ca="1" si="57"/>
        <v>1.0960051032613023</v>
      </c>
      <c r="P395">
        <f t="shared" ca="1" si="58"/>
        <v>1.2752020741192633</v>
      </c>
      <c r="Q395">
        <f t="shared" ca="1" si="59"/>
        <v>1.1535155435009397</v>
      </c>
      <c r="R395">
        <f t="shared" ca="1" si="60"/>
        <v>0.89122049066502174</v>
      </c>
    </row>
    <row r="396" spans="1:18" x14ac:dyDescent="0.3">
      <c r="A396" s="2">
        <f ca="1">IFERROR(__xludf.DUMMYFUNCTION("""COMPUTED_VALUE"""),44797.6666666666)</f>
        <v>44797.666666666599</v>
      </c>
      <c r="B396" s="1">
        <f ca="1">IFERROR(__xludf.DUMMYFUNCTION("""COMPUTED_VALUE"""),413.67)</f>
        <v>413.67</v>
      </c>
      <c r="C396" s="1">
        <f ca="1">IFERROR(__xludf.DUMMYFUNCTION("""COMPUTED_VALUE"""),167.53)</f>
        <v>167.53</v>
      </c>
      <c r="D396" s="1">
        <f ca="1">IFERROR(__xludf.DUMMYFUNCTION("""COMPUTED_VALUE"""),275.79)</f>
        <v>275.79000000000002</v>
      </c>
      <c r="E396" s="1">
        <f ca="1">IFERROR(__xludf.DUMMYFUNCTION("""COMPUTED_VALUE"""),115.8)</f>
        <v>115.8</v>
      </c>
      <c r="F396">
        <f t="shared" ca="1" si="53"/>
        <v>3.2011640596580409E-3</v>
      </c>
      <c r="G396">
        <f t="shared" ca="1" si="54"/>
        <v>1.7939364946481576E-3</v>
      </c>
      <c r="H396">
        <f t="shared" ca="1" si="55"/>
        <v>-2.3513239762696326E-3</v>
      </c>
      <c r="I396">
        <f t="shared" ca="1" si="56"/>
        <v>2.4238227146814503E-3</v>
      </c>
      <c r="O396">
        <f t="shared" ca="1" si="57"/>
        <v>1.0995135954070643</v>
      </c>
      <c r="P396">
        <f t="shared" ca="1" si="58"/>
        <v>1.277489705658077</v>
      </c>
      <c r="Q396">
        <f t="shared" ca="1" si="59"/>
        <v>1.1508032547465064</v>
      </c>
      <c r="R396">
        <f t="shared" ca="1" si="60"/>
        <v>0.89338065113408527</v>
      </c>
    </row>
    <row r="397" spans="1:18" x14ac:dyDescent="0.3">
      <c r="A397" s="2">
        <f ca="1">IFERROR(__xludf.DUMMYFUNCTION("""COMPUTED_VALUE"""),44798.6666666666)</f>
        <v>44798.666666666599</v>
      </c>
      <c r="B397" s="1">
        <f ca="1">IFERROR(__xludf.DUMMYFUNCTION("""COMPUTED_VALUE"""),419.51)</f>
        <v>419.51</v>
      </c>
      <c r="C397" s="1">
        <f ca="1">IFERROR(__xludf.DUMMYFUNCTION("""COMPUTED_VALUE"""),170.03)</f>
        <v>170.03</v>
      </c>
      <c r="D397" s="1">
        <f ca="1">IFERROR(__xludf.DUMMYFUNCTION("""COMPUTED_VALUE"""),278.85)</f>
        <v>278.85000000000002</v>
      </c>
      <c r="E397" s="1">
        <f ca="1">IFERROR(__xludf.DUMMYFUNCTION("""COMPUTED_VALUE"""),118.55)</f>
        <v>118.55</v>
      </c>
      <c r="F397">
        <f t="shared" ca="1" si="53"/>
        <v>1.411753329948987E-2</v>
      </c>
      <c r="G397">
        <f t="shared" ca="1" si="54"/>
        <v>1.4922700411866531E-2</v>
      </c>
      <c r="H397">
        <f t="shared" ca="1" si="55"/>
        <v>1.1095398672903304E-2</v>
      </c>
      <c r="I397">
        <f t="shared" ca="1" si="56"/>
        <v>2.3747841105354061E-2</v>
      </c>
      <c r="O397">
        <f t="shared" ca="1" si="57"/>
        <v>1.1150360152034653</v>
      </c>
      <c r="P397">
        <f t="shared" ca="1" si="58"/>
        <v>1.2965533018148561</v>
      </c>
      <c r="Q397">
        <f t="shared" ca="1" si="59"/>
        <v>1.1635718756519935</v>
      </c>
      <c r="R397">
        <f t="shared" ca="1" si="60"/>
        <v>0.91459651288381527</v>
      </c>
    </row>
    <row r="398" spans="1:18" x14ac:dyDescent="0.3">
      <c r="A398" s="2">
        <f ca="1">IFERROR(__xludf.DUMMYFUNCTION("""COMPUTED_VALUE"""),44799.6666666666)</f>
        <v>44799.666666666599</v>
      </c>
      <c r="B398" s="1">
        <f ca="1">IFERROR(__xludf.DUMMYFUNCTION("""COMPUTED_VALUE"""),405.31)</f>
        <v>405.31</v>
      </c>
      <c r="C398" s="1">
        <f ca="1">IFERROR(__xludf.DUMMYFUNCTION("""COMPUTED_VALUE"""),163.62)</f>
        <v>163.62</v>
      </c>
      <c r="D398" s="1">
        <f ca="1">IFERROR(__xludf.DUMMYFUNCTION("""COMPUTED_VALUE"""),268.09)</f>
        <v>268.08999999999997</v>
      </c>
      <c r="E398" s="1">
        <f ca="1">IFERROR(__xludf.DUMMYFUNCTION("""COMPUTED_VALUE"""),114.67)</f>
        <v>114.67</v>
      </c>
      <c r="F398">
        <f t="shared" ca="1" si="53"/>
        <v>-3.3849014326237728E-2</v>
      </c>
      <c r="G398">
        <f t="shared" ca="1" si="54"/>
        <v>-3.7699229547726851E-2</v>
      </c>
      <c r="H398">
        <f t="shared" ca="1" si="55"/>
        <v>-3.8587053971669526E-2</v>
      </c>
      <c r="I398">
        <f t="shared" ca="1" si="56"/>
        <v>-3.2728806410797097E-2</v>
      </c>
      <c r="O398">
        <f t="shared" ca="1" si="57"/>
        <v>1.0772931451505721</v>
      </c>
      <c r="P398">
        <f t="shared" ca="1" si="58"/>
        <v>1.2476742412688746</v>
      </c>
      <c r="Q398">
        <f t="shared" ca="1" si="59"/>
        <v>1.1186730648862933</v>
      </c>
      <c r="R398">
        <f t="shared" ca="1" si="60"/>
        <v>0.88466286066965072</v>
      </c>
    </row>
    <row r="399" spans="1:18" x14ac:dyDescent="0.3">
      <c r="A399" s="2">
        <f ca="1">IFERROR(__xludf.DUMMYFUNCTION("""COMPUTED_VALUE"""),44802.6666666666)</f>
        <v>44802.666666666599</v>
      </c>
      <c r="B399" s="1">
        <f ca="1">IFERROR(__xludf.DUMMYFUNCTION("""COMPUTED_VALUE"""),402.63)</f>
        <v>402.63</v>
      </c>
      <c r="C399" s="1">
        <f ca="1">IFERROR(__xludf.DUMMYFUNCTION("""COMPUTED_VALUE"""),161.38)</f>
        <v>161.38</v>
      </c>
      <c r="D399" s="1">
        <f ca="1">IFERROR(__xludf.DUMMYFUNCTION("""COMPUTED_VALUE"""),265.23)</f>
        <v>265.23</v>
      </c>
      <c r="E399" s="1">
        <f ca="1">IFERROR(__xludf.DUMMYFUNCTION("""COMPUTED_VALUE"""),114.39)</f>
        <v>114.39</v>
      </c>
      <c r="F399">
        <f t="shared" ca="1" si="53"/>
        <v>-6.6122227430855558E-3</v>
      </c>
      <c r="G399">
        <f t="shared" ca="1" si="54"/>
        <v>-1.3690257914680412E-2</v>
      </c>
      <c r="H399">
        <f t="shared" ca="1" si="55"/>
        <v>-1.0668059233839223E-2</v>
      </c>
      <c r="I399">
        <f t="shared" ca="1" si="56"/>
        <v>-2.4417894828638802E-3</v>
      </c>
      <c r="O399">
        <f t="shared" ca="1" si="57"/>
        <v>1.0701698429152373</v>
      </c>
      <c r="P399">
        <f t="shared" ca="1" si="58"/>
        <v>1.2305932591124005</v>
      </c>
      <c r="Q399">
        <f t="shared" ca="1" si="59"/>
        <v>1.1067389943667858</v>
      </c>
      <c r="R399">
        <f t="shared" ca="1" si="60"/>
        <v>0.8825027002005873</v>
      </c>
    </row>
    <row r="400" spans="1:18" x14ac:dyDescent="0.3">
      <c r="A400" s="2">
        <f ca="1">IFERROR(__xludf.DUMMYFUNCTION("""COMPUTED_VALUE"""),44803.6666666666)</f>
        <v>44803.666666666599</v>
      </c>
      <c r="B400" s="1">
        <f ca="1">IFERROR(__xludf.DUMMYFUNCTION("""COMPUTED_VALUE"""),398.21)</f>
        <v>398.21</v>
      </c>
      <c r="C400" s="1">
        <f ca="1">IFERROR(__xludf.DUMMYFUNCTION("""COMPUTED_VALUE"""),158.91)</f>
        <v>158.91</v>
      </c>
      <c r="D400" s="1">
        <f ca="1">IFERROR(__xludf.DUMMYFUNCTION("""COMPUTED_VALUE"""),262.97)</f>
        <v>262.97000000000003</v>
      </c>
      <c r="E400" s="1">
        <f ca="1">IFERROR(__xludf.DUMMYFUNCTION("""COMPUTED_VALUE"""),114.41)</f>
        <v>114.41</v>
      </c>
      <c r="F400">
        <f t="shared" ca="1" si="53"/>
        <v>-1.0977820828055575E-2</v>
      </c>
      <c r="G400">
        <f t="shared" ca="1" si="54"/>
        <v>-1.5305490147477995E-2</v>
      </c>
      <c r="H400">
        <f t="shared" ca="1" si="55"/>
        <v>-8.520906383139128E-3</v>
      </c>
      <c r="I400">
        <f t="shared" ca="1" si="56"/>
        <v>1.748404580819654E-4</v>
      </c>
      <c r="O400">
        <f t="shared" ca="1" si="57"/>
        <v>1.0584217101241256</v>
      </c>
      <c r="P400">
        <f t="shared" ca="1" si="58"/>
        <v>1.2117584261095029</v>
      </c>
      <c r="Q400">
        <f t="shared" ca="1" si="59"/>
        <v>1.0973085750052167</v>
      </c>
      <c r="R400">
        <f t="shared" ca="1" si="60"/>
        <v>0.88265699737694892</v>
      </c>
    </row>
    <row r="401" spans="1:18" x14ac:dyDescent="0.3">
      <c r="A401" s="2">
        <f ca="1">IFERROR(__xludf.DUMMYFUNCTION("""COMPUTED_VALUE"""),44804.6666666666)</f>
        <v>44804.666666666599</v>
      </c>
      <c r="B401" s="1">
        <f ca="1">IFERROR(__xludf.DUMMYFUNCTION("""COMPUTED_VALUE"""),395.18)</f>
        <v>395.18</v>
      </c>
      <c r="C401" s="1">
        <f ca="1">IFERROR(__xludf.DUMMYFUNCTION("""COMPUTED_VALUE"""),157.22)</f>
        <v>157.22</v>
      </c>
      <c r="D401" s="1">
        <f ca="1">IFERROR(__xludf.DUMMYFUNCTION("""COMPUTED_VALUE"""),261.47)</f>
        <v>261.47000000000003</v>
      </c>
      <c r="E401" s="1">
        <f ca="1">IFERROR(__xludf.DUMMYFUNCTION("""COMPUTED_VALUE"""),113.73)</f>
        <v>113.73</v>
      </c>
      <c r="F401">
        <f t="shared" ca="1" si="53"/>
        <v>-7.6090505009918704E-3</v>
      </c>
      <c r="G401">
        <f t="shared" ca="1" si="54"/>
        <v>-1.0634950600969088E-2</v>
      </c>
      <c r="H401">
        <f t="shared" ca="1" si="55"/>
        <v>-5.7040727079134493E-3</v>
      </c>
      <c r="I401">
        <f t="shared" ca="1" si="56"/>
        <v>-5.943536404160411E-3</v>
      </c>
      <c r="O401">
        <f t="shared" ca="1" si="57"/>
        <v>1.0503681258804449</v>
      </c>
      <c r="P401">
        <f t="shared" ca="1" si="58"/>
        <v>1.1988714351075203</v>
      </c>
      <c r="Q401">
        <f t="shared" ca="1" si="59"/>
        <v>1.0910494471103702</v>
      </c>
      <c r="R401">
        <f t="shared" ca="1" si="60"/>
        <v>0.87741089338065203</v>
      </c>
    </row>
    <row r="402" spans="1:18" x14ac:dyDescent="0.3">
      <c r="A402" s="2">
        <f ca="1">IFERROR(__xludf.DUMMYFUNCTION("""COMPUTED_VALUE"""),44805.6666666666)</f>
        <v>44805.666666666599</v>
      </c>
      <c r="B402" s="1">
        <f ca="1">IFERROR(__xludf.DUMMYFUNCTION("""COMPUTED_VALUE"""),396.42)</f>
        <v>396.42</v>
      </c>
      <c r="C402" s="1">
        <f ca="1">IFERROR(__xludf.DUMMYFUNCTION("""COMPUTED_VALUE"""),157.96)</f>
        <v>157.96</v>
      </c>
      <c r="D402" s="1">
        <f ca="1">IFERROR(__xludf.DUMMYFUNCTION("""COMPUTED_VALUE"""),260.4)</f>
        <v>260.39999999999998</v>
      </c>
      <c r="E402" s="1">
        <f ca="1">IFERROR(__xludf.DUMMYFUNCTION("""COMPUTED_VALUE"""),114.51)</f>
        <v>114.51</v>
      </c>
      <c r="F402">
        <f t="shared" ca="1" si="53"/>
        <v>3.1378106179462753E-3</v>
      </c>
      <c r="G402">
        <f t="shared" ca="1" si="54"/>
        <v>4.7067803078489319E-3</v>
      </c>
      <c r="H402">
        <f t="shared" ca="1" si="55"/>
        <v>-4.0922476765978882E-3</v>
      </c>
      <c r="I402">
        <f t="shared" ca="1" si="56"/>
        <v>6.8583487206541911E-3</v>
      </c>
      <c r="O402">
        <f t="shared" ca="1" si="57"/>
        <v>1.0536639821385849</v>
      </c>
      <c r="P402">
        <f t="shared" ca="1" si="58"/>
        <v>1.2045142595699267</v>
      </c>
      <c r="Q402">
        <f t="shared" ca="1" si="59"/>
        <v>1.0865846025453794</v>
      </c>
      <c r="R402">
        <f t="shared" ca="1" si="60"/>
        <v>0.88342848325875722</v>
      </c>
    </row>
    <row r="403" spans="1:18" x14ac:dyDescent="0.3">
      <c r="A403" s="2">
        <f ca="1">IFERROR(__xludf.DUMMYFUNCTION("""COMPUTED_VALUE"""),44806.6666666666)</f>
        <v>44806.666666666599</v>
      </c>
      <c r="B403" s="1">
        <f ca="1">IFERROR(__xludf.DUMMYFUNCTION("""COMPUTED_VALUE"""),392.24)</f>
        <v>392.24</v>
      </c>
      <c r="C403" s="1">
        <f ca="1">IFERROR(__xludf.DUMMYFUNCTION("""COMPUTED_VALUE"""),155.81)</f>
        <v>155.81</v>
      </c>
      <c r="D403" s="1">
        <f ca="1">IFERROR(__xludf.DUMMYFUNCTION("""COMPUTED_VALUE"""),256.06)</f>
        <v>256.06</v>
      </c>
      <c r="E403" s="1">
        <f ca="1">IFERROR(__xludf.DUMMYFUNCTION("""COMPUTED_VALUE"""),113.71)</f>
        <v>113.71</v>
      </c>
      <c r="F403">
        <f t="shared" ca="1" si="53"/>
        <v>-1.0544372130568606E-2</v>
      </c>
      <c r="G403">
        <f t="shared" ca="1" si="54"/>
        <v>-1.3611040769815178E-2</v>
      </c>
      <c r="H403">
        <f t="shared" ca="1" si="55"/>
        <v>-1.6666666666666573E-2</v>
      </c>
      <c r="I403">
        <f t="shared" ca="1" si="56"/>
        <v>-6.9862894070387852E-3</v>
      </c>
      <c r="O403">
        <f t="shared" ca="1" si="57"/>
        <v>1.0425537570103389</v>
      </c>
      <c r="P403">
        <f t="shared" ca="1" si="58"/>
        <v>1.1881195668750966</v>
      </c>
      <c r="Q403">
        <f t="shared" ca="1" si="59"/>
        <v>1.0684748591696231</v>
      </c>
      <c r="R403">
        <f t="shared" ca="1" si="60"/>
        <v>0.8772565962042902</v>
      </c>
    </row>
    <row r="404" spans="1:18" x14ac:dyDescent="0.3">
      <c r="A404" s="2">
        <f ca="1">IFERROR(__xludf.DUMMYFUNCTION("""COMPUTED_VALUE"""),44810.6666666666)</f>
        <v>44810.666666666599</v>
      </c>
      <c r="B404" s="1">
        <f ca="1">IFERROR(__xludf.DUMMYFUNCTION("""COMPUTED_VALUE"""),390.76)</f>
        <v>390.76</v>
      </c>
      <c r="C404" s="1">
        <f ca="1">IFERROR(__xludf.DUMMYFUNCTION("""COMPUTED_VALUE"""),154.53)</f>
        <v>154.53</v>
      </c>
      <c r="D404" s="1">
        <f ca="1">IFERROR(__xludf.DUMMYFUNCTION("""COMPUTED_VALUE"""),253.25)</f>
        <v>253.25</v>
      </c>
      <c r="E404" s="1">
        <f ca="1">IFERROR(__xludf.DUMMYFUNCTION("""COMPUTED_VALUE"""),113.74)</f>
        <v>113.74</v>
      </c>
      <c r="F404">
        <f t="shared" ca="1" si="53"/>
        <v>-3.773200081582751E-3</v>
      </c>
      <c r="G404">
        <f t="shared" ca="1" si="54"/>
        <v>-8.2151338168281948E-3</v>
      </c>
      <c r="H404">
        <f t="shared" ca="1" si="55"/>
        <v>-1.0973990470983372E-2</v>
      </c>
      <c r="I404">
        <f t="shared" ca="1" si="56"/>
        <v>2.6382903878287869E-4</v>
      </c>
      <c r="O404">
        <f t="shared" ca="1" si="57"/>
        <v>1.0386199930893332</v>
      </c>
      <c r="P404">
        <f t="shared" ca="1" si="58"/>
        <v>1.1783590056428257</v>
      </c>
      <c r="Q404">
        <f t="shared" ca="1" si="59"/>
        <v>1.0567494262466104</v>
      </c>
      <c r="R404">
        <f t="shared" ca="1" si="60"/>
        <v>0.87748804196883268</v>
      </c>
    </row>
    <row r="405" spans="1:18" x14ac:dyDescent="0.3">
      <c r="A405" s="2">
        <f ca="1">IFERROR(__xludf.DUMMYFUNCTION("""COMPUTED_VALUE"""),44811.6666666666)</f>
        <v>44811.666666666599</v>
      </c>
      <c r="B405" s="1">
        <f ca="1">IFERROR(__xludf.DUMMYFUNCTION("""COMPUTED_VALUE"""),397.78)</f>
        <v>397.78</v>
      </c>
      <c r="C405" s="1">
        <f ca="1">IFERROR(__xludf.DUMMYFUNCTION("""COMPUTED_VALUE"""),155.96)</f>
        <v>155.96</v>
      </c>
      <c r="D405" s="1">
        <f ca="1">IFERROR(__xludf.DUMMYFUNCTION("""COMPUTED_VALUE"""),258.09)</f>
        <v>258.08999999999997</v>
      </c>
      <c r="E405" s="1">
        <f ca="1">IFERROR(__xludf.DUMMYFUNCTION("""COMPUTED_VALUE"""),115.9)</f>
        <v>115.9</v>
      </c>
      <c r="F405">
        <f t="shared" ca="1" si="53"/>
        <v>1.7964991299007017E-2</v>
      </c>
      <c r="G405">
        <f t="shared" ca="1" si="54"/>
        <v>9.2538665631269456E-3</v>
      </c>
      <c r="H405">
        <f t="shared" ca="1" si="55"/>
        <v>1.9111549851924876E-2</v>
      </c>
      <c r="I405">
        <f t="shared" ca="1" si="56"/>
        <v>1.8990680499384658E-2</v>
      </c>
      <c r="O405">
        <f t="shared" ca="1" si="57"/>
        <v>1.0572787922281577</v>
      </c>
      <c r="P405">
        <f t="shared" ca="1" si="58"/>
        <v>1.1892633826445034</v>
      </c>
      <c r="Q405">
        <f t="shared" ca="1" si="59"/>
        <v>1.0769455455873156</v>
      </c>
      <c r="R405">
        <f t="shared" ca="1" si="60"/>
        <v>0.89415213701589347</v>
      </c>
    </row>
    <row r="406" spans="1:18" x14ac:dyDescent="0.3">
      <c r="A406" s="2">
        <f ca="1">IFERROR(__xludf.DUMMYFUNCTION("""COMPUTED_VALUE"""),44812.6666666666)</f>
        <v>44812.666666666599</v>
      </c>
      <c r="B406" s="1">
        <f ca="1">IFERROR(__xludf.DUMMYFUNCTION("""COMPUTED_VALUE"""),400.38)</f>
        <v>400.38</v>
      </c>
      <c r="C406" s="1">
        <f ca="1">IFERROR(__xludf.DUMMYFUNCTION("""COMPUTED_VALUE"""),154.46)</f>
        <v>154.46</v>
      </c>
      <c r="D406" s="1">
        <f ca="1">IFERROR(__xludf.DUMMYFUNCTION("""COMPUTED_VALUE"""),258.52)</f>
        <v>258.52</v>
      </c>
      <c r="E406" s="1">
        <f ca="1">IFERROR(__xludf.DUMMYFUNCTION("""COMPUTED_VALUE"""),118.6)</f>
        <v>118.6</v>
      </c>
      <c r="F406">
        <f t="shared" ca="1" si="53"/>
        <v>6.5362763336518246E-3</v>
      </c>
      <c r="G406">
        <f t="shared" ca="1" si="54"/>
        <v>-9.6178507309566553E-3</v>
      </c>
      <c r="H406">
        <f t="shared" ca="1" si="55"/>
        <v>1.6660854740594632E-3</v>
      </c>
      <c r="I406">
        <f t="shared" ca="1" si="56"/>
        <v>2.3295944779982643E-2</v>
      </c>
      <c r="O406">
        <f t="shared" ca="1" si="57"/>
        <v>1.0641894585758707</v>
      </c>
      <c r="P406">
        <f t="shared" ca="1" si="58"/>
        <v>1.177825224950436</v>
      </c>
      <c r="Q406">
        <f t="shared" ca="1" si="59"/>
        <v>1.0787398289171717</v>
      </c>
      <c r="R406">
        <f t="shared" ca="1" si="60"/>
        <v>0.91498225582471915</v>
      </c>
    </row>
    <row r="407" spans="1:18" x14ac:dyDescent="0.3">
      <c r="A407" s="2">
        <f ca="1">IFERROR(__xludf.DUMMYFUNCTION("""COMPUTED_VALUE"""),44813.6666666666)</f>
        <v>44813.666666666599</v>
      </c>
      <c r="B407" s="1">
        <f ca="1">IFERROR(__xludf.DUMMYFUNCTION("""COMPUTED_VALUE"""),406.6)</f>
        <v>406.6</v>
      </c>
      <c r="C407" s="1">
        <f ca="1">IFERROR(__xludf.DUMMYFUNCTION("""COMPUTED_VALUE"""),157.37)</f>
        <v>157.37</v>
      </c>
      <c r="D407" s="1">
        <f ca="1">IFERROR(__xludf.DUMMYFUNCTION("""COMPUTED_VALUE"""),264.46)</f>
        <v>264.45999999999998</v>
      </c>
      <c r="E407" s="1">
        <f ca="1">IFERROR(__xludf.DUMMYFUNCTION("""COMPUTED_VALUE"""),119.17)</f>
        <v>119.17</v>
      </c>
      <c r="F407">
        <f t="shared" ca="1" si="53"/>
        <v>1.5535241520555541E-2</v>
      </c>
      <c r="G407">
        <f t="shared" ca="1" si="54"/>
        <v>1.8839829081962946E-2</v>
      </c>
      <c r="H407">
        <f t="shared" ca="1" si="55"/>
        <v>2.2976945690855632E-2</v>
      </c>
      <c r="I407">
        <f t="shared" ca="1" si="56"/>
        <v>4.8060708263069768E-3</v>
      </c>
      <c r="O407">
        <f t="shared" ca="1" si="57"/>
        <v>1.0807218988384761</v>
      </c>
      <c r="P407">
        <f t="shared" ca="1" si="58"/>
        <v>1.2000152508769266</v>
      </c>
      <c r="Q407">
        <f t="shared" ca="1" si="59"/>
        <v>1.1035259753807645</v>
      </c>
      <c r="R407">
        <f t="shared" ca="1" si="60"/>
        <v>0.91937972535102686</v>
      </c>
    </row>
    <row r="408" spans="1:18" x14ac:dyDescent="0.3">
      <c r="A408" s="2">
        <f ca="1">IFERROR(__xludf.DUMMYFUNCTION("""COMPUTED_VALUE"""),44816.6666666666)</f>
        <v>44816.666666666599</v>
      </c>
      <c r="B408" s="1">
        <f ca="1">IFERROR(__xludf.DUMMYFUNCTION("""COMPUTED_VALUE"""),410.97)</f>
        <v>410.97</v>
      </c>
      <c r="C408" s="1">
        <f ca="1">IFERROR(__xludf.DUMMYFUNCTION("""COMPUTED_VALUE"""),163.43)</f>
        <v>163.43</v>
      </c>
      <c r="D408" s="1">
        <f ca="1">IFERROR(__xludf.DUMMYFUNCTION("""COMPUTED_VALUE"""),266.65)</f>
        <v>266.64999999999998</v>
      </c>
      <c r="E408" s="1">
        <f ca="1">IFERROR(__xludf.DUMMYFUNCTION("""COMPUTED_VALUE"""),120.58)</f>
        <v>120.58</v>
      </c>
      <c r="F408">
        <f t="shared" ca="1" si="53"/>
        <v>1.074766355140188E-2</v>
      </c>
      <c r="G408">
        <f t="shared" ca="1" si="54"/>
        <v>3.8507974836372895E-2</v>
      </c>
      <c r="H408">
        <f t="shared" ca="1" si="55"/>
        <v>8.2810254858957794E-3</v>
      </c>
      <c r="I408">
        <f t="shared" ca="1" si="56"/>
        <v>1.1831836871695868E-2</v>
      </c>
      <c r="O408">
        <f t="shared" ca="1" si="57"/>
        <v>1.0923371341998243</v>
      </c>
      <c r="P408">
        <f t="shared" ca="1" si="58"/>
        <v>1.2462254079609589</v>
      </c>
      <c r="Q408">
        <f t="shared" ca="1" si="59"/>
        <v>1.1126643021072407</v>
      </c>
      <c r="R408">
        <f t="shared" ca="1" si="60"/>
        <v>0.93025767628452471</v>
      </c>
    </row>
    <row r="409" spans="1:18" x14ac:dyDescent="0.3">
      <c r="A409" s="2">
        <f ca="1">IFERROR(__xludf.DUMMYFUNCTION("""COMPUTED_VALUE"""),44817.6666666666)</f>
        <v>44817.666666666599</v>
      </c>
      <c r="B409" s="1">
        <f ca="1">IFERROR(__xludf.DUMMYFUNCTION("""COMPUTED_VALUE"""),393.1)</f>
        <v>393.1</v>
      </c>
      <c r="C409" s="1">
        <f ca="1">IFERROR(__xludf.DUMMYFUNCTION("""COMPUTED_VALUE"""),153.84)</f>
        <v>153.84</v>
      </c>
      <c r="D409" s="1">
        <f ca="1">IFERROR(__xludf.DUMMYFUNCTION("""COMPUTED_VALUE"""),251.99)</f>
        <v>251.99</v>
      </c>
      <c r="E409" s="1">
        <f ca="1">IFERROR(__xludf.DUMMYFUNCTION("""COMPUTED_VALUE"""),116.39)</f>
        <v>116.39</v>
      </c>
      <c r="F409">
        <f t="shared" ca="1" si="53"/>
        <v>-4.3482492639365412E-2</v>
      </c>
      <c r="G409">
        <f t="shared" ca="1" si="54"/>
        <v>-5.8679556996879413E-2</v>
      </c>
      <c r="H409">
        <f t="shared" ca="1" si="55"/>
        <v>-5.4978436152259398E-2</v>
      </c>
      <c r="I409">
        <f t="shared" ca="1" si="56"/>
        <v>-3.4748714546359243E-2</v>
      </c>
      <c r="O409">
        <f t="shared" ca="1" si="57"/>
        <v>1.0448395928022749</v>
      </c>
      <c r="P409">
        <f t="shared" ca="1" si="58"/>
        <v>1.1730974531035545</v>
      </c>
      <c r="Q409">
        <f t="shared" ca="1" si="59"/>
        <v>1.0514917588149395</v>
      </c>
      <c r="R409">
        <f t="shared" ca="1" si="60"/>
        <v>0.89793241783675437</v>
      </c>
    </row>
    <row r="410" spans="1:18" x14ac:dyDescent="0.3">
      <c r="A410" s="2">
        <f ca="1">IFERROR(__xludf.DUMMYFUNCTION("""COMPUTED_VALUE"""),44818.6666666666)</f>
        <v>44818.666666666599</v>
      </c>
      <c r="B410" s="1">
        <f ca="1">IFERROR(__xludf.DUMMYFUNCTION("""COMPUTED_VALUE"""),394.6)</f>
        <v>394.6</v>
      </c>
      <c r="C410" s="1">
        <f ca="1">IFERROR(__xludf.DUMMYFUNCTION("""COMPUTED_VALUE"""),155.31)</f>
        <v>155.31</v>
      </c>
      <c r="D410" s="1">
        <f ca="1">IFERROR(__xludf.DUMMYFUNCTION("""COMPUTED_VALUE"""),252.22)</f>
        <v>252.22</v>
      </c>
      <c r="E410" s="1">
        <f ca="1">IFERROR(__xludf.DUMMYFUNCTION("""COMPUTED_VALUE"""),116.12)</f>
        <v>116.12</v>
      </c>
      <c r="F410">
        <f t="shared" ca="1" si="53"/>
        <v>3.8158229458153141E-3</v>
      </c>
      <c r="G410">
        <f t="shared" ca="1" si="54"/>
        <v>9.5553822152886041E-3</v>
      </c>
      <c r="H410">
        <f t="shared" ca="1" si="55"/>
        <v>9.1273463232663897E-4</v>
      </c>
      <c r="I410">
        <f t="shared" ca="1" si="56"/>
        <v>-2.3197869232751611E-3</v>
      </c>
      <c r="O410">
        <f t="shared" ca="1" si="57"/>
        <v>1.0488265156951861</v>
      </c>
      <c r="P410">
        <f t="shared" ca="1" si="58"/>
        <v>1.1843068476437404</v>
      </c>
      <c r="Q410">
        <f t="shared" ca="1" si="59"/>
        <v>1.0524514917588159</v>
      </c>
      <c r="R410">
        <f t="shared" ca="1" si="60"/>
        <v>0.89584940595587181</v>
      </c>
    </row>
    <row r="411" spans="1:18" x14ac:dyDescent="0.3">
      <c r="A411" s="2">
        <f ca="1">IFERROR(__xludf.DUMMYFUNCTION("""COMPUTED_VALUE"""),44819.6666666666)</f>
        <v>44819.666666666599</v>
      </c>
      <c r="B411" s="1">
        <f ca="1">IFERROR(__xludf.DUMMYFUNCTION("""COMPUTED_VALUE"""),390.12)</f>
        <v>390.12</v>
      </c>
      <c r="C411" s="1">
        <f ca="1">IFERROR(__xludf.DUMMYFUNCTION("""COMPUTED_VALUE"""),152.37)</f>
        <v>152.37</v>
      </c>
      <c r="D411" s="1">
        <f ca="1">IFERROR(__xludf.DUMMYFUNCTION("""COMPUTED_VALUE"""),245.38)</f>
        <v>245.38</v>
      </c>
      <c r="E411" s="1">
        <f ca="1">IFERROR(__xludf.DUMMYFUNCTION("""COMPUTED_VALUE"""),117.87)</f>
        <v>117.87</v>
      </c>
      <c r="F411">
        <f t="shared" ca="1" si="53"/>
        <v>-1.1353269133299589E-2</v>
      </c>
      <c r="G411">
        <f t="shared" ca="1" si="54"/>
        <v>-1.8929882171141572E-2</v>
      </c>
      <c r="H411">
        <f t="shared" ca="1" si="55"/>
        <v>-2.7119181666798841E-2</v>
      </c>
      <c r="I411">
        <f t="shared" ca="1" si="56"/>
        <v>1.5070616603513606E-2</v>
      </c>
      <c r="O411">
        <f t="shared" ca="1" si="57"/>
        <v>1.0369189059883579</v>
      </c>
      <c r="P411">
        <f t="shared" ca="1" si="58"/>
        <v>1.1618880585633682</v>
      </c>
      <c r="Q411">
        <f t="shared" ca="1" si="59"/>
        <v>1.0239098685583152</v>
      </c>
      <c r="R411">
        <f t="shared" ca="1" si="60"/>
        <v>0.90935040888751806</v>
      </c>
    </row>
    <row r="412" spans="1:18" x14ac:dyDescent="0.3">
      <c r="A412" s="2">
        <f ca="1">IFERROR(__xludf.DUMMYFUNCTION("""COMPUTED_VALUE"""),44820.6666666666)</f>
        <v>44820.666666666599</v>
      </c>
      <c r="B412" s="1">
        <f ca="1">IFERROR(__xludf.DUMMYFUNCTION("""COMPUTED_VALUE"""),385.56)</f>
        <v>385.56</v>
      </c>
      <c r="C412" s="1">
        <f ca="1">IFERROR(__xludf.DUMMYFUNCTION("""COMPUTED_VALUE"""),150.7)</f>
        <v>150.69999999999999</v>
      </c>
      <c r="D412" s="1">
        <f ca="1">IFERROR(__xludf.DUMMYFUNCTION("""COMPUTED_VALUE"""),244.74)</f>
        <v>244.74</v>
      </c>
      <c r="E412" s="1">
        <f ca="1">IFERROR(__xludf.DUMMYFUNCTION("""COMPUTED_VALUE"""),117.08)</f>
        <v>117.08</v>
      </c>
      <c r="F412">
        <f t="shared" ca="1" si="53"/>
        <v>-1.1688711165795146E-2</v>
      </c>
      <c r="G412">
        <f t="shared" ca="1" si="54"/>
        <v>-1.0960162761698601E-2</v>
      </c>
      <c r="H412">
        <f t="shared" ca="1" si="55"/>
        <v>-2.6081995272637802E-3</v>
      </c>
      <c r="I412">
        <f t="shared" ca="1" si="56"/>
        <v>-6.7022991431238332E-3</v>
      </c>
      <c r="O412">
        <f t="shared" ca="1" si="57"/>
        <v>1.0247986603939077</v>
      </c>
      <c r="P412">
        <f t="shared" ca="1" si="58"/>
        <v>1.1491535763306395</v>
      </c>
      <c r="Q412">
        <f t="shared" ca="1" si="59"/>
        <v>1.0212393073231807</v>
      </c>
      <c r="R412">
        <f t="shared" ca="1" si="60"/>
        <v>0.903255670421232</v>
      </c>
    </row>
    <row r="413" spans="1:18" x14ac:dyDescent="0.3">
      <c r="A413" s="2">
        <f ca="1">IFERROR(__xludf.DUMMYFUNCTION("""COMPUTED_VALUE"""),44823.6666666666)</f>
        <v>44823.666666666599</v>
      </c>
      <c r="B413" s="1">
        <f ca="1">IFERROR(__xludf.DUMMYFUNCTION("""COMPUTED_VALUE"""),388.55)</f>
        <v>388.55</v>
      </c>
      <c r="C413" s="1">
        <f ca="1">IFERROR(__xludf.DUMMYFUNCTION("""COMPUTED_VALUE"""),154.48)</f>
        <v>154.47999999999999</v>
      </c>
      <c r="D413" s="1">
        <f ca="1">IFERROR(__xludf.DUMMYFUNCTION("""COMPUTED_VALUE"""),244.52)</f>
        <v>244.52</v>
      </c>
      <c r="E413" s="1">
        <f ca="1">IFERROR(__xludf.DUMMYFUNCTION("""COMPUTED_VALUE"""),118.16)</f>
        <v>118.16</v>
      </c>
      <c r="F413">
        <f t="shared" ca="1" si="53"/>
        <v>7.7549538333852291E-3</v>
      </c>
      <c r="G413">
        <f t="shared" ca="1" si="54"/>
        <v>2.5082946250829474E-2</v>
      </c>
      <c r="H413">
        <f t="shared" ca="1" si="55"/>
        <v>-8.9891313230366454E-4</v>
      </c>
      <c r="I413">
        <f t="shared" ca="1" si="56"/>
        <v>9.2244619063887798E-3</v>
      </c>
      <c r="O413">
        <f t="shared" ca="1" si="57"/>
        <v>1.0327459266937775</v>
      </c>
      <c r="P413">
        <f t="shared" ca="1" si="58"/>
        <v>1.1779777337196895</v>
      </c>
      <c r="Q413">
        <f t="shared" ca="1" si="59"/>
        <v>1.0203213018986033</v>
      </c>
      <c r="R413">
        <f t="shared" ca="1" si="60"/>
        <v>0.91158771794476234</v>
      </c>
    </row>
    <row r="414" spans="1:18" x14ac:dyDescent="0.3">
      <c r="A414" s="2">
        <f ca="1">IFERROR(__xludf.DUMMYFUNCTION("""COMPUTED_VALUE"""),44824.6666666666)</f>
        <v>44824.666666666599</v>
      </c>
      <c r="B414" s="1">
        <f ca="1">IFERROR(__xludf.DUMMYFUNCTION("""COMPUTED_VALUE"""),384.09)</f>
        <v>384.09</v>
      </c>
      <c r="C414" s="1">
        <f ca="1">IFERROR(__xludf.DUMMYFUNCTION("""COMPUTED_VALUE"""),156.9)</f>
        <v>156.9</v>
      </c>
      <c r="D414" s="1">
        <f ca="1">IFERROR(__xludf.DUMMYFUNCTION("""COMPUTED_VALUE"""),242.45)</f>
        <v>242.45</v>
      </c>
      <c r="E414" s="1">
        <f ca="1">IFERROR(__xludf.DUMMYFUNCTION("""COMPUTED_VALUE"""),115.83)</f>
        <v>115.83</v>
      </c>
      <c r="F414">
        <f t="shared" ca="1" si="53"/>
        <v>-1.1478574186076531E-2</v>
      </c>
      <c r="G414">
        <f t="shared" ca="1" si="54"/>
        <v>1.566545831175567E-2</v>
      </c>
      <c r="H414">
        <f t="shared" ca="1" si="55"/>
        <v>-8.4655651889416882E-3</v>
      </c>
      <c r="I414">
        <f t="shared" ca="1" si="56"/>
        <v>-1.9719025050778591E-2</v>
      </c>
      <c r="O414">
        <f t="shared" ca="1" si="57"/>
        <v>1.0208914759588545</v>
      </c>
      <c r="P414">
        <f t="shared" ca="1" si="58"/>
        <v>1.1964312947994518</v>
      </c>
      <c r="Q414">
        <f t="shared" ca="1" si="59"/>
        <v>1.0116837054037147</v>
      </c>
      <c r="R414">
        <f t="shared" ca="1" si="60"/>
        <v>0.89361209689862753</v>
      </c>
    </row>
    <row r="415" spans="1:18" x14ac:dyDescent="0.3">
      <c r="A415" s="2">
        <f ca="1">IFERROR(__xludf.DUMMYFUNCTION("""COMPUTED_VALUE"""),44825.6666666666)</f>
        <v>44825.666666666599</v>
      </c>
      <c r="B415" s="1">
        <f ca="1">IFERROR(__xludf.DUMMYFUNCTION("""COMPUTED_VALUE"""),377.39)</f>
        <v>377.39</v>
      </c>
      <c r="C415" s="1">
        <f ca="1">IFERROR(__xludf.DUMMYFUNCTION("""COMPUTED_VALUE"""),153.72)</f>
        <v>153.72</v>
      </c>
      <c r="D415" s="1">
        <f ca="1">IFERROR(__xludf.DUMMYFUNCTION("""COMPUTED_VALUE"""),238.95)</f>
        <v>238.95</v>
      </c>
      <c r="E415" s="1">
        <f ca="1">IFERROR(__xludf.DUMMYFUNCTION("""COMPUTED_VALUE"""),112.49)</f>
        <v>112.49</v>
      </c>
      <c r="F415">
        <f t="shared" ca="1" si="53"/>
        <v>-1.7443828269415994E-2</v>
      </c>
      <c r="G415">
        <f t="shared" ca="1" si="54"/>
        <v>-2.026768642447423E-2</v>
      </c>
      <c r="H415">
        <f t="shared" ca="1" si="55"/>
        <v>-1.4435966178593525E-2</v>
      </c>
      <c r="I415">
        <f t="shared" ca="1" si="56"/>
        <v>-2.8835362168695533E-2</v>
      </c>
      <c r="O415">
        <f t="shared" ca="1" si="57"/>
        <v>1.0030832203705176</v>
      </c>
      <c r="P415">
        <f t="shared" ca="1" si="58"/>
        <v>1.1721824004880288</v>
      </c>
      <c r="Q415">
        <f t="shared" ca="1" si="59"/>
        <v>0.99707907364907244</v>
      </c>
      <c r="R415">
        <f t="shared" ca="1" si="60"/>
        <v>0.8678444684462282</v>
      </c>
    </row>
    <row r="416" spans="1:18" x14ac:dyDescent="0.3">
      <c r="A416" s="2">
        <f ca="1">IFERROR(__xludf.DUMMYFUNCTION("""COMPUTED_VALUE"""),44826.6666666666)</f>
        <v>44826.666666666599</v>
      </c>
      <c r="B416" s="1">
        <f ca="1">IFERROR(__xludf.DUMMYFUNCTION("""COMPUTED_VALUE"""),374.22)</f>
        <v>374.22</v>
      </c>
      <c r="C416" s="1">
        <f ca="1">IFERROR(__xludf.DUMMYFUNCTION("""COMPUTED_VALUE"""),152.74)</f>
        <v>152.74</v>
      </c>
      <c r="D416" s="1">
        <f ca="1">IFERROR(__xludf.DUMMYFUNCTION("""COMPUTED_VALUE"""),240.98)</f>
        <v>240.98</v>
      </c>
      <c r="E416" s="1">
        <f ca="1">IFERROR(__xludf.DUMMYFUNCTION("""COMPUTED_VALUE"""),111.21)</f>
        <v>111.21</v>
      </c>
      <c r="F416">
        <f t="shared" ca="1" si="53"/>
        <v>-8.3997986168153869E-3</v>
      </c>
      <c r="G416">
        <f t="shared" ca="1" si="54"/>
        <v>-6.3752276867030302E-3</v>
      </c>
      <c r="H416">
        <f t="shared" ca="1" si="55"/>
        <v>8.495501150868388E-3</v>
      </c>
      <c r="I416">
        <f t="shared" ca="1" si="56"/>
        <v>-1.1378789225708962E-2</v>
      </c>
      <c r="O416">
        <f t="shared" ca="1" si="57"/>
        <v>0.99465752332349855</v>
      </c>
      <c r="P416">
        <f t="shared" ca="1" si="58"/>
        <v>1.1647094707945715</v>
      </c>
      <c r="Q416">
        <f t="shared" ca="1" si="59"/>
        <v>1.0055497600667649</v>
      </c>
      <c r="R416">
        <f t="shared" ca="1" si="60"/>
        <v>0.85796944915908113</v>
      </c>
    </row>
    <row r="417" spans="1:18" x14ac:dyDescent="0.3">
      <c r="A417" s="2">
        <f ca="1">IFERROR(__xludf.DUMMYFUNCTION("""COMPUTED_VALUE"""),44827.6666666666)</f>
        <v>44827.666666666599</v>
      </c>
      <c r="B417" s="1">
        <f ca="1">IFERROR(__xludf.DUMMYFUNCTION("""COMPUTED_VALUE"""),367.95)</f>
        <v>367.95</v>
      </c>
      <c r="C417" s="1">
        <f ca="1">IFERROR(__xludf.DUMMYFUNCTION("""COMPUTED_VALUE"""),150.43)</f>
        <v>150.43</v>
      </c>
      <c r="D417" s="1">
        <f ca="1">IFERROR(__xludf.DUMMYFUNCTION("""COMPUTED_VALUE"""),237.92)</f>
        <v>237.92</v>
      </c>
      <c r="E417" s="1">
        <f ca="1">IFERROR(__xludf.DUMMYFUNCTION("""COMPUTED_VALUE"""),109.14)</f>
        <v>109.14</v>
      </c>
      <c r="F417">
        <f t="shared" ca="1" si="53"/>
        <v>-1.6754850088183525E-2</v>
      </c>
      <c r="G417">
        <f t="shared" ca="1" si="54"/>
        <v>-1.5123739688359318E-2</v>
      </c>
      <c r="H417">
        <f t="shared" ca="1" si="55"/>
        <v>-1.2698149224002002E-2</v>
      </c>
      <c r="I417">
        <f t="shared" ca="1" si="56"/>
        <v>-1.8613434043701044E-2</v>
      </c>
      <c r="O417">
        <f t="shared" ca="1" si="57"/>
        <v>0.97799218563112944</v>
      </c>
      <c r="P417">
        <f t="shared" ca="1" si="58"/>
        <v>1.1470947079457077</v>
      </c>
      <c r="Q417">
        <f t="shared" ca="1" si="59"/>
        <v>0.99278113916127764</v>
      </c>
      <c r="R417">
        <f t="shared" ca="1" si="60"/>
        <v>0.84199969140564801</v>
      </c>
    </row>
    <row r="418" spans="1:18" x14ac:dyDescent="0.3">
      <c r="A418" s="2">
        <f ca="1">IFERROR(__xludf.DUMMYFUNCTION("""COMPUTED_VALUE"""),44830.6666666666)</f>
        <v>44830.666666666599</v>
      </c>
      <c r="B418" s="1">
        <f ca="1">IFERROR(__xludf.DUMMYFUNCTION("""COMPUTED_VALUE"""),364.31)</f>
        <v>364.31</v>
      </c>
      <c r="C418" s="1">
        <f ca="1">IFERROR(__xludf.DUMMYFUNCTION("""COMPUTED_VALUE"""),150.77)</f>
        <v>150.77000000000001</v>
      </c>
      <c r="D418" s="1">
        <f ca="1">IFERROR(__xludf.DUMMYFUNCTION("""COMPUTED_VALUE"""),237.45)</f>
        <v>237.45</v>
      </c>
      <c r="E418" s="1">
        <f ca="1">IFERROR(__xludf.DUMMYFUNCTION("""COMPUTED_VALUE"""),106.79)</f>
        <v>106.79</v>
      </c>
      <c r="F418">
        <f t="shared" ca="1" si="53"/>
        <v>-9.8926484576708426E-3</v>
      </c>
      <c r="G418">
        <f t="shared" ca="1" si="54"/>
        <v>2.2601874626072154E-3</v>
      </c>
      <c r="H418">
        <f t="shared" ca="1" si="55"/>
        <v>-1.9754539340954896E-3</v>
      </c>
      <c r="I418">
        <f t="shared" ca="1" si="56"/>
        <v>-2.1531977276892014E-2</v>
      </c>
      <c r="O418">
        <f t="shared" ca="1" si="57"/>
        <v>0.96831725274433156</v>
      </c>
      <c r="P418">
        <f t="shared" ca="1" si="58"/>
        <v>1.1496873570230295</v>
      </c>
      <c r="Q418">
        <f t="shared" ca="1" si="59"/>
        <v>0.99081994575422572</v>
      </c>
      <c r="R418">
        <f t="shared" ca="1" si="60"/>
        <v>0.82386977318315147</v>
      </c>
    </row>
    <row r="419" spans="1:18" x14ac:dyDescent="0.3">
      <c r="A419" s="2">
        <f ca="1">IFERROR(__xludf.DUMMYFUNCTION("""COMPUTED_VALUE"""),44831.6666666666)</f>
        <v>44831.666666666599</v>
      </c>
      <c r="B419" s="1">
        <f ca="1">IFERROR(__xludf.DUMMYFUNCTION("""COMPUTED_VALUE"""),363.38)</f>
        <v>363.38</v>
      </c>
      <c r="C419" s="1">
        <f ca="1">IFERROR(__xludf.DUMMYFUNCTION("""COMPUTED_VALUE"""),151.76)</f>
        <v>151.76</v>
      </c>
      <c r="D419" s="1">
        <f ca="1">IFERROR(__xludf.DUMMYFUNCTION("""COMPUTED_VALUE"""),236.41)</f>
        <v>236.41</v>
      </c>
      <c r="E419" s="1">
        <f ca="1">IFERROR(__xludf.DUMMYFUNCTION("""COMPUTED_VALUE"""),105.85)</f>
        <v>105.85</v>
      </c>
      <c r="F419">
        <f t="shared" ca="1" si="53"/>
        <v>-2.5527709917378245E-3</v>
      </c>
      <c r="G419">
        <f t="shared" ca="1" si="54"/>
        <v>6.5662930291170698E-3</v>
      </c>
      <c r="H419">
        <f t="shared" ca="1" si="55"/>
        <v>-4.3798694461991668E-3</v>
      </c>
      <c r="I419">
        <f t="shared" ca="1" si="56"/>
        <v>-8.8023223148235973E-3</v>
      </c>
      <c r="O419">
        <f t="shared" ca="1" si="57"/>
        <v>0.96584536055072656</v>
      </c>
      <c r="P419">
        <f t="shared" ca="1" si="58"/>
        <v>1.1572365411011138</v>
      </c>
      <c r="Q419">
        <f t="shared" ca="1" si="59"/>
        <v>0.98648028374713204</v>
      </c>
      <c r="R419">
        <f t="shared" ca="1" si="60"/>
        <v>0.81661780589415278</v>
      </c>
    </row>
    <row r="420" spans="1:18" x14ac:dyDescent="0.3">
      <c r="A420" s="2">
        <f ca="1">IFERROR(__xludf.DUMMYFUNCTION("""COMPUTED_VALUE"""),44832.6666666666)</f>
        <v>44832.666666666599</v>
      </c>
      <c r="B420" s="1">
        <f ca="1">IFERROR(__xludf.DUMMYFUNCTION("""COMPUTED_VALUE"""),370.53)</f>
        <v>370.53</v>
      </c>
      <c r="C420" s="1">
        <f ca="1">IFERROR(__xludf.DUMMYFUNCTION("""COMPUTED_VALUE"""),149.84)</f>
        <v>149.84</v>
      </c>
      <c r="D420" s="1">
        <f ca="1">IFERROR(__xludf.DUMMYFUNCTION("""COMPUTED_VALUE"""),241.07)</f>
        <v>241.07</v>
      </c>
      <c r="E420" s="1">
        <f ca="1">IFERROR(__xludf.DUMMYFUNCTION("""COMPUTED_VALUE"""),107.99)</f>
        <v>107.99</v>
      </c>
      <c r="F420">
        <f t="shared" ca="1" si="53"/>
        <v>1.9676371842148651E-2</v>
      </c>
      <c r="G420">
        <f t="shared" ca="1" si="54"/>
        <v>-1.265155508697936E-2</v>
      </c>
      <c r="H420">
        <f t="shared" ca="1" si="55"/>
        <v>1.9711518125290796E-2</v>
      </c>
      <c r="I420">
        <f t="shared" ca="1" si="56"/>
        <v>2.0217288615965997E-2</v>
      </c>
      <c r="O420">
        <f t="shared" ca="1" si="57"/>
        <v>0.98484969300693681</v>
      </c>
      <c r="P420">
        <f t="shared" ca="1" si="58"/>
        <v>1.1425956992527078</v>
      </c>
      <c r="Q420">
        <f t="shared" ca="1" si="59"/>
        <v>1.0059253077404555</v>
      </c>
      <c r="R420">
        <f t="shared" ca="1" si="60"/>
        <v>0.83312760376485173</v>
      </c>
    </row>
    <row r="421" spans="1:18" x14ac:dyDescent="0.3">
      <c r="A421" s="2">
        <f ca="1">IFERROR(__xludf.DUMMYFUNCTION("""COMPUTED_VALUE"""),44833.6666666666)</f>
        <v>44833.666666666599</v>
      </c>
      <c r="B421" s="1">
        <f ca="1">IFERROR(__xludf.DUMMYFUNCTION("""COMPUTED_VALUE"""),362.79)</f>
        <v>362.79</v>
      </c>
      <c r="C421" s="1">
        <f ca="1">IFERROR(__xludf.DUMMYFUNCTION("""COMPUTED_VALUE"""),142.48)</f>
        <v>142.47999999999999</v>
      </c>
      <c r="D421" s="1">
        <f ca="1">IFERROR(__xludf.DUMMYFUNCTION("""COMPUTED_VALUE"""),237.5)</f>
        <v>237.5</v>
      </c>
      <c r="E421" s="1">
        <f ca="1">IFERROR(__xludf.DUMMYFUNCTION("""COMPUTED_VALUE"""),106.16)</f>
        <v>106.16</v>
      </c>
      <c r="F421">
        <f t="shared" ca="1" si="53"/>
        <v>-2.0888996842360816E-2</v>
      </c>
      <c r="G421">
        <f t="shared" ca="1" si="54"/>
        <v>-4.9119060331019843E-2</v>
      </c>
      <c r="H421">
        <f t="shared" ca="1" si="55"/>
        <v>-1.4808976645787503E-2</v>
      </c>
      <c r="I421">
        <f t="shared" ca="1" si="56"/>
        <v>-1.6946013519770334E-2</v>
      </c>
      <c r="O421">
        <f t="shared" ca="1" si="57"/>
        <v>0.96427717087951492</v>
      </c>
      <c r="P421">
        <f t="shared" ca="1" si="58"/>
        <v>1.0864724721671501</v>
      </c>
      <c r="Q421">
        <f t="shared" ca="1" si="59"/>
        <v>0.99102858335072053</v>
      </c>
      <c r="R421">
        <f t="shared" ca="1" si="60"/>
        <v>0.81900941212775868</v>
      </c>
    </row>
    <row r="422" spans="1:18" x14ac:dyDescent="0.3">
      <c r="A422" s="2">
        <f ca="1">IFERROR(__xludf.DUMMYFUNCTION("""COMPUTED_VALUE"""),44834.6666666666)</f>
        <v>44834.666666666599</v>
      </c>
      <c r="B422" s="1">
        <f ca="1">IFERROR(__xludf.DUMMYFUNCTION("""COMPUTED_VALUE"""),357.18)</f>
        <v>357.18</v>
      </c>
      <c r="C422" s="1">
        <f ca="1">IFERROR(__xludf.DUMMYFUNCTION("""COMPUTED_VALUE"""),138.2)</f>
        <v>138.19999999999999</v>
      </c>
      <c r="D422" s="1">
        <f ca="1">IFERROR(__xludf.DUMMYFUNCTION("""COMPUTED_VALUE"""),232.9)</f>
        <v>232.9</v>
      </c>
      <c r="E422" s="1">
        <f ca="1">IFERROR(__xludf.DUMMYFUNCTION("""COMPUTED_VALUE"""),104.5)</f>
        <v>104.5</v>
      </c>
      <c r="F422">
        <f t="shared" ca="1" si="53"/>
        <v>-1.5463491275944798E-2</v>
      </c>
      <c r="G422">
        <f t="shared" ca="1" si="54"/>
        <v>-3.0039303761931511E-2</v>
      </c>
      <c r="H422">
        <f t="shared" ca="1" si="55"/>
        <v>-1.9368421052631556E-2</v>
      </c>
      <c r="I422">
        <f t="shared" ca="1" si="56"/>
        <v>-1.5636774679728679E-2</v>
      </c>
      <c r="O422">
        <f t="shared" ca="1" si="57"/>
        <v>0.94936607926002681</v>
      </c>
      <c r="P422">
        <f t="shared" ca="1" si="58"/>
        <v>1.0538355955467444</v>
      </c>
      <c r="Q422">
        <f t="shared" ca="1" si="59"/>
        <v>0.97183392447319072</v>
      </c>
      <c r="R422">
        <f t="shared" ca="1" si="60"/>
        <v>0.80620274648973989</v>
      </c>
    </row>
    <row r="423" spans="1:18" x14ac:dyDescent="0.3">
      <c r="A423" s="2">
        <f ca="1">IFERROR(__xludf.DUMMYFUNCTION("""COMPUTED_VALUE"""),44837.6666666666)</f>
        <v>44837.666666666599</v>
      </c>
      <c r="B423" s="1">
        <f ca="1">IFERROR(__xludf.DUMMYFUNCTION("""COMPUTED_VALUE"""),366.61)</f>
        <v>366.61</v>
      </c>
      <c r="C423" s="1">
        <f ca="1">IFERROR(__xludf.DUMMYFUNCTION("""COMPUTED_VALUE"""),142.45)</f>
        <v>142.44999999999999</v>
      </c>
      <c r="D423" s="1">
        <f ca="1">IFERROR(__xludf.DUMMYFUNCTION("""COMPUTED_VALUE"""),240.74)</f>
        <v>240.74</v>
      </c>
      <c r="E423" s="1">
        <f ca="1">IFERROR(__xludf.DUMMYFUNCTION("""COMPUTED_VALUE"""),107.73)</f>
        <v>107.73</v>
      </c>
      <c r="F423">
        <f t="shared" ca="1" si="53"/>
        <v>2.6401254269555984E-2</v>
      </c>
      <c r="G423">
        <f t="shared" ca="1" si="54"/>
        <v>3.0752532561505067E-2</v>
      </c>
      <c r="H423">
        <f t="shared" ca="1" si="55"/>
        <v>3.3662516101331058E-2</v>
      </c>
      <c r="I423">
        <f t="shared" ca="1" si="56"/>
        <v>3.0909090909090949E-2</v>
      </c>
      <c r="O423">
        <f t="shared" ca="1" si="57"/>
        <v>0.97443053451346218</v>
      </c>
      <c r="P423">
        <f t="shared" ca="1" si="58"/>
        <v>1.0862437090132688</v>
      </c>
      <c r="Q423">
        <f t="shared" ca="1" si="59"/>
        <v>1.0045482996035893</v>
      </c>
      <c r="R423">
        <f t="shared" ca="1" si="60"/>
        <v>0.83112174047215015</v>
      </c>
    </row>
    <row r="424" spans="1:18" x14ac:dyDescent="0.3">
      <c r="A424" s="2">
        <f ca="1">IFERROR(__xludf.DUMMYFUNCTION("""COMPUTED_VALUE"""),44838.6666666666)</f>
        <v>44838.666666666599</v>
      </c>
      <c r="B424" s="1">
        <f ca="1">IFERROR(__xludf.DUMMYFUNCTION("""COMPUTED_VALUE"""),377.97)</f>
        <v>377.97</v>
      </c>
      <c r="C424" s="1">
        <f ca="1">IFERROR(__xludf.DUMMYFUNCTION("""COMPUTED_VALUE"""),146.1)</f>
        <v>146.1</v>
      </c>
      <c r="D424" s="1">
        <f ca="1">IFERROR(__xludf.DUMMYFUNCTION("""COMPUTED_VALUE"""),248.88)</f>
        <v>248.88</v>
      </c>
      <c r="E424" s="1">
        <f ca="1">IFERROR(__xludf.DUMMYFUNCTION("""COMPUTED_VALUE"""),112.77)</f>
        <v>112.77</v>
      </c>
      <c r="F424">
        <f t="shared" ca="1" si="53"/>
        <v>3.0986607021085112E-2</v>
      </c>
      <c r="G424">
        <f t="shared" ca="1" si="54"/>
        <v>2.5623025623025666E-2</v>
      </c>
      <c r="H424">
        <f t="shared" ca="1" si="55"/>
        <v>3.3812411730497573E-2</v>
      </c>
      <c r="I424">
        <f t="shared" ca="1" si="56"/>
        <v>4.6783625730994073E-2</v>
      </c>
      <c r="O424">
        <f t="shared" ca="1" si="57"/>
        <v>1.0046248305557768</v>
      </c>
      <c r="P424">
        <f t="shared" ca="1" si="58"/>
        <v>1.1140765594021662</v>
      </c>
      <c r="Q424">
        <f t="shared" ca="1" si="59"/>
        <v>1.0385145003129572</v>
      </c>
      <c r="R424">
        <f t="shared" ca="1" si="60"/>
        <v>0.87000462891529162</v>
      </c>
    </row>
    <row r="425" spans="1:18" x14ac:dyDescent="0.3">
      <c r="A425" s="2">
        <f ca="1">IFERROR(__xludf.DUMMYFUNCTION("""COMPUTED_VALUE"""),44839.6666666666)</f>
        <v>44839.666666666599</v>
      </c>
      <c r="B425" s="1">
        <f ca="1">IFERROR(__xludf.DUMMYFUNCTION("""COMPUTED_VALUE"""),377.09)</f>
        <v>377.09</v>
      </c>
      <c r="C425" s="1">
        <f ca="1">IFERROR(__xludf.DUMMYFUNCTION("""COMPUTED_VALUE"""),146.4)</f>
        <v>146.4</v>
      </c>
      <c r="D425" s="1">
        <f ca="1">IFERROR(__xludf.DUMMYFUNCTION("""COMPUTED_VALUE"""),249.2)</f>
        <v>249.2</v>
      </c>
      <c r="E425" s="1">
        <f ca="1">IFERROR(__xludf.DUMMYFUNCTION("""COMPUTED_VALUE"""),110.39)</f>
        <v>110.39</v>
      </c>
      <c r="F425">
        <f t="shared" ca="1" si="53"/>
        <v>-2.3282271079716702E-3</v>
      </c>
      <c r="G425">
        <f t="shared" ca="1" si="54"/>
        <v>2.0533880903491537E-3</v>
      </c>
      <c r="H425">
        <f t="shared" ca="1" si="55"/>
        <v>1.2857602057216055E-3</v>
      </c>
      <c r="I425">
        <f t="shared" ca="1" si="56"/>
        <v>-2.1104903786467993E-2</v>
      </c>
      <c r="O425">
        <f t="shared" ca="1" si="57"/>
        <v>1.0022858357919353</v>
      </c>
      <c r="P425">
        <f t="shared" ca="1" si="58"/>
        <v>1.1163641909409796</v>
      </c>
      <c r="Q425">
        <f t="shared" ca="1" si="59"/>
        <v>1.0398497809305245</v>
      </c>
      <c r="R425">
        <f t="shared" ca="1" si="60"/>
        <v>0.8516432649282526</v>
      </c>
    </row>
    <row r="426" spans="1:18" x14ac:dyDescent="0.3">
      <c r="A426" s="2">
        <f ca="1">IFERROR(__xludf.DUMMYFUNCTION("""COMPUTED_VALUE"""),44840.6666666666)</f>
        <v>44840.666666666599</v>
      </c>
      <c r="B426" s="1">
        <f ca="1">IFERROR(__xludf.DUMMYFUNCTION("""COMPUTED_VALUE"""),373.2)</f>
        <v>373.2</v>
      </c>
      <c r="C426" s="1">
        <f ca="1">IFERROR(__xludf.DUMMYFUNCTION("""COMPUTED_VALUE"""),145.43)</f>
        <v>145.43</v>
      </c>
      <c r="D426" s="1">
        <f ca="1">IFERROR(__xludf.DUMMYFUNCTION("""COMPUTED_VALUE"""),246.79)</f>
        <v>246.79</v>
      </c>
      <c r="E426" s="1">
        <f ca="1">IFERROR(__xludf.DUMMYFUNCTION("""COMPUTED_VALUE"""),108.14)</f>
        <v>108.14</v>
      </c>
      <c r="F426">
        <f t="shared" ca="1" si="53"/>
        <v>-1.0315839719960716E-2</v>
      </c>
      <c r="G426">
        <f t="shared" ca="1" si="54"/>
        <v>-6.6256830601092815E-3</v>
      </c>
      <c r="H426">
        <f t="shared" ca="1" si="55"/>
        <v>-9.6709470304975793E-3</v>
      </c>
      <c r="I426">
        <f t="shared" ca="1" si="56"/>
        <v>-2.0382281003714104E-2</v>
      </c>
      <c r="O426">
        <f t="shared" ca="1" si="57"/>
        <v>0.99194641575631881</v>
      </c>
      <c r="P426">
        <f t="shared" ca="1" si="58"/>
        <v>1.1089675156321495</v>
      </c>
      <c r="Q426">
        <f t="shared" ca="1" si="59"/>
        <v>1.0297934487794709</v>
      </c>
      <c r="R426">
        <f t="shared" ca="1" si="60"/>
        <v>0.83428483258756447</v>
      </c>
    </row>
    <row r="427" spans="1:18" x14ac:dyDescent="0.3">
      <c r="A427" s="2">
        <f ca="1">IFERROR(__xludf.DUMMYFUNCTION("""COMPUTED_VALUE"""),44841.6666666666)</f>
        <v>44841.666666666599</v>
      </c>
      <c r="B427" s="1">
        <f ca="1">IFERROR(__xludf.DUMMYFUNCTION("""COMPUTED_VALUE"""),362.79)</f>
        <v>362.79</v>
      </c>
      <c r="C427" s="1">
        <f ca="1">IFERROR(__xludf.DUMMYFUNCTION("""COMPUTED_VALUE"""),140.09)</f>
        <v>140.09</v>
      </c>
      <c r="D427" s="1">
        <f ca="1">IFERROR(__xludf.DUMMYFUNCTION("""COMPUTED_VALUE"""),234.24)</f>
        <v>234.24</v>
      </c>
      <c r="E427" s="1">
        <f ca="1">IFERROR(__xludf.DUMMYFUNCTION("""COMPUTED_VALUE"""),105.98)</f>
        <v>105.98</v>
      </c>
      <c r="F427">
        <f t="shared" ca="1" si="53"/>
        <v>-2.7893890675241072E-2</v>
      </c>
      <c r="G427">
        <f t="shared" ca="1" si="54"/>
        <v>-3.671869627999727E-2</v>
      </c>
      <c r="H427">
        <f t="shared" ca="1" si="55"/>
        <v>-5.0852951902427099E-2</v>
      </c>
      <c r="I427">
        <f t="shared" ca="1" si="56"/>
        <v>-1.9974107638246686E-2</v>
      </c>
      <c r="O427">
        <f t="shared" ca="1" si="57"/>
        <v>0.96427717087951481</v>
      </c>
      <c r="P427">
        <f t="shared" ca="1" si="58"/>
        <v>1.0682476742412694</v>
      </c>
      <c r="Q427">
        <f t="shared" ca="1" si="59"/>
        <v>0.97742541205925393</v>
      </c>
      <c r="R427">
        <f t="shared" ca="1" si="60"/>
        <v>0.81762073754050379</v>
      </c>
    </row>
    <row r="428" spans="1:18" x14ac:dyDescent="0.3">
      <c r="A428" s="2">
        <f ca="1">IFERROR(__xludf.DUMMYFUNCTION("""COMPUTED_VALUE"""),44844.6666666666)</f>
        <v>44844.666666666599</v>
      </c>
      <c r="B428" s="1">
        <f ca="1">IFERROR(__xludf.DUMMYFUNCTION("""COMPUTED_VALUE"""),360.02)</f>
        <v>360.02</v>
      </c>
      <c r="C428" s="1">
        <f ca="1">IFERROR(__xludf.DUMMYFUNCTION("""COMPUTED_VALUE"""),140.42)</f>
        <v>140.41999999999999</v>
      </c>
      <c r="D428" s="1">
        <f ca="1">IFERROR(__xludf.DUMMYFUNCTION("""COMPUTED_VALUE"""),229.25)</f>
        <v>229.25</v>
      </c>
      <c r="E428" s="1">
        <f ca="1">IFERROR(__xludf.DUMMYFUNCTION("""COMPUTED_VALUE"""),104.99)</f>
        <v>104.99</v>
      </c>
      <c r="F428">
        <f t="shared" ca="1" si="53"/>
        <v>-7.6352710934701577E-3</v>
      </c>
      <c r="G428">
        <f t="shared" ca="1" si="54"/>
        <v>2.355628524519838E-3</v>
      </c>
      <c r="H428">
        <f t="shared" ca="1" si="55"/>
        <v>-2.1302937158469985E-2</v>
      </c>
      <c r="I428">
        <f t="shared" ca="1" si="56"/>
        <v>-9.341385167012729E-3</v>
      </c>
      <c r="O428">
        <f t="shared" ca="1" si="57"/>
        <v>0.95691465327060521</v>
      </c>
      <c r="P428">
        <f t="shared" ca="1" si="58"/>
        <v>1.0707640689339641</v>
      </c>
      <c r="Q428">
        <f t="shared" ca="1" si="59"/>
        <v>0.95660337992906397</v>
      </c>
      <c r="R428">
        <f t="shared" ca="1" si="60"/>
        <v>0.8099830273106009</v>
      </c>
    </row>
    <row r="429" spans="1:18" x14ac:dyDescent="0.3">
      <c r="A429" s="2">
        <f ca="1">IFERROR(__xludf.DUMMYFUNCTION("""COMPUTED_VALUE"""),44845.6666666666)</f>
        <v>44845.666666666599</v>
      </c>
      <c r="B429" s="1">
        <f ca="1">IFERROR(__xludf.DUMMYFUNCTION("""COMPUTED_VALUE"""),357.74)</f>
        <v>357.74</v>
      </c>
      <c r="C429" s="1">
        <f ca="1">IFERROR(__xludf.DUMMYFUNCTION("""COMPUTED_VALUE"""),138.98)</f>
        <v>138.97999999999999</v>
      </c>
      <c r="D429" s="1">
        <f ca="1">IFERROR(__xludf.DUMMYFUNCTION("""COMPUTED_VALUE"""),225.41)</f>
        <v>225.41</v>
      </c>
      <c r="E429" s="1">
        <f ca="1">IFERROR(__xludf.DUMMYFUNCTION("""COMPUTED_VALUE"""),101.96)</f>
        <v>101.96</v>
      </c>
      <c r="F429">
        <f t="shared" ca="1" si="53"/>
        <v>-6.3329815010276453E-3</v>
      </c>
      <c r="G429">
        <f t="shared" ca="1" si="54"/>
        <v>-1.0254949437402064E-2</v>
      </c>
      <c r="H429">
        <f t="shared" ca="1" si="55"/>
        <v>-1.6750272628135238E-2</v>
      </c>
      <c r="I429">
        <f t="shared" ca="1" si="56"/>
        <v>-2.8859891418230321E-2</v>
      </c>
      <c r="O429">
        <f t="shared" ca="1" si="57"/>
        <v>0.9508545304733802</v>
      </c>
      <c r="P429">
        <f t="shared" ca="1" si="58"/>
        <v>1.0597834375476596</v>
      </c>
      <c r="Q429">
        <f t="shared" ca="1" si="59"/>
        <v>0.94058001251825651</v>
      </c>
      <c r="R429">
        <f t="shared" ca="1" si="60"/>
        <v>0.78660700509180748</v>
      </c>
    </row>
    <row r="430" spans="1:18" x14ac:dyDescent="0.3">
      <c r="A430" s="2">
        <f ca="1">IFERROR(__xludf.DUMMYFUNCTION("""COMPUTED_VALUE"""),44846.6666666666)</f>
        <v>44846.666666666599</v>
      </c>
      <c r="B430" s="1">
        <f ca="1">IFERROR(__xludf.DUMMYFUNCTION("""COMPUTED_VALUE"""),356.56)</f>
        <v>356.56</v>
      </c>
      <c r="C430" s="1">
        <f ca="1">IFERROR(__xludf.DUMMYFUNCTION("""COMPUTED_VALUE"""),138.34)</f>
        <v>138.34</v>
      </c>
      <c r="D430" s="1">
        <f ca="1">IFERROR(__xludf.DUMMYFUNCTION("""COMPUTED_VALUE"""),225.75)</f>
        <v>225.75</v>
      </c>
      <c r="E430" s="1">
        <f ca="1">IFERROR(__xludf.DUMMYFUNCTION("""COMPUTED_VALUE"""),103.61)</f>
        <v>103.61</v>
      </c>
      <c r="F430">
        <f t="shared" ca="1" si="53"/>
        <v>-3.2984849331917226E-3</v>
      </c>
      <c r="G430">
        <f t="shared" ca="1" si="54"/>
        <v>-4.6049791336882024E-3</v>
      </c>
      <c r="H430">
        <f t="shared" ca="1" si="55"/>
        <v>1.5083625393727139E-3</v>
      </c>
      <c r="I430">
        <f t="shared" ca="1" si="56"/>
        <v>1.6182816790898447E-2</v>
      </c>
      <c r="O430">
        <f t="shared" ca="1" si="57"/>
        <v>0.9477181511309567</v>
      </c>
      <c r="P430">
        <f t="shared" ca="1" si="58"/>
        <v>1.0549031569315244</v>
      </c>
      <c r="Q430">
        <f t="shared" ca="1" si="59"/>
        <v>0.94199874817442186</v>
      </c>
      <c r="R430">
        <f t="shared" ca="1" si="60"/>
        <v>0.79933652214164552</v>
      </c>
    </row>
    <row r="431" spans="1:18" x14ac:dyDescent="0.3">
      <c r="A431" s="2">
        <f ca="1">IFERROR(__xludf.DUMMYFUNCTION("""COMPUTED_VALUE"""),44847.6666666666)</f>
        <v>44847.666666666599</v>
      </c>
      <c r="B431" s="1">
        <f ca="1">IFERROR(__xludf.DUMMYFUNCTION("""COMPUTED_VALUE"""),365.97)</f>
        <v>365.97</v>
      </c>
      <c r="C431" s="1">
        <f ca="1">IFERROR(__xludf.DUMMYFUNCTION("""COMPUTED_VALUE"""),142.99)</f>
        <v>142.99</v>
      </c>
      <c r="D431" s="1">
        <f ca="1">IFERROR(__xludf.DUMMYFUNCTION("""COMPUTED_VALUE"""),234.24)</f>
        <v>234.24</v>
      </c>
      <c r="E431" s="1">
        <f ca="1">IFERROR(__xludf.DUMMYFUNCTION("""COMPUTED_VALUE"""),109.37)</f>
        <v>109.37</v>
      </c>
      <c r="F431">
        <f t="shared" ca="1" si="53"/>
        <v>2.6391070226609897E-2</v>
      </c>
      <c r="G431">
        <f t="shared" ca="1" si="54"/>
        <v>3.3612837935521223E-2</v>
      </c>
      <c r="H431">
        <f t="shared" ca="1" si="55"/>
        <v>3.7607973421926948E-2</v>
      </c>
      <c r="I431">
        <f t="shared" ca="1" si="56"/>
        <v>5.5593089470128414E-2</v>
      </c>
      <c r="O431">
        <f t="shared" ca="1" si="57"/>
        <v>0.97272944741248668</v>
      </c>
      <c r="P431">
        <f t="shared" ca="1" si="58"/>
        <v>1.0903614457831334</v>
      </c>
      <c r="Q431">
        <f t="shared" ca="1" si="59"/>
        <v>0.97742541205925404</v>
      </c>
      <c r="R431">
        <f t="shared" ca="1" si="60"/>
        <v>0.84377410893380733</v>
      </c>
    </row>
    <row r="432" spans="1:18" x14ac:dyDescent="0.3">
      <c r="A432" s="2">
        <f ca="1">IFERROR(__xludf.DUMMYFUNCTION("""COMPUTED_VALUE"""),44848.6666666666)</f>
        <v>44848.666666666599</v>
      </c>
      <c r="B432" s="1">
        <f ca="1">IFERROR(__xludf.DUMMYFUNCTION("""COMPUTED_VALUE"""),357.63)</f>
        <v>357.63</v>
      </c>
      <c r="C432" s="1">
        <f ca="1">IFERROR(__xludf.DUMMYFUNCTION("""COMPUTED_VALUE"""),138.38)</f>
        <v>138.38</v>
      </c>
      <c r="D432" s="1">
        <f ca="1">IFERROR(__xludf.DUMMYFUNCTION("""COMPUTED_VALUE"""),228.56)</f>
        <v>228.56</v>
      </c>
      <c r="E432" s="1">
        <f ca="1">IFERROR(__xludf.DUMMYFUNCTION("""COMPUTED_VALUE"""),111.19)</f>
        <v>111.19</v>
      </c>
      <c r="F432">
        <f t="shared" ca="1" si="53"/>
        <v>-2.278875317648996E-2</v>
      </c>
      <c r="G432">
        <f t="shared" ca="1" si="54"/>
        <v>-3.2240016784390611E-2</v>
      </c>
      <c r="H432">
        <f t="shared" ca="1" si="55"/>
        <v>-2.4248633879781448E-2</v>
      </c>
      <c r="I432">
        <f t="shared" ca="1" si="56"/>
        <v>1.6640760720490016E-2</v>
      </c>
      <c r="O432">
        <f t="shared" ca="1" si="57"/>
        <v>0.95056215612790007</v>
      </c>
      <c r="P432">
        <f t="shared" ca="1" si="58"/>
        <v>1.0552081744700328</v>
      </c>
      <c r="Q432">
        <f t="shared" ca="1" si="59"/>
        <v>0.95372418109743462</v>
      </c>
      <c r="R432">
        <f t="shared" ca="1" si="60"/>
        <v>0.8578151519827194</v>
      </c>
    </row>
    <row r="433" spans="1:18" x14ac:dyDescent="0.3">
      <c r="A433" s="2">
        <f ca="1">IFERROR(__xludf.DUMMYFUNCTION("""COMPUTED_VALUE"""),44851.6666666666)</f>
        <v>44851.666666666599</v>
      </c>
      <c r="B433" s="1">
        <f ca="1">IFERROR(__xludf.DUMMYFUNCTION("""COMPUTED_VALUE"""),366.82)</f>
        <v>366.82</v>
      </c>
      <c r="C433" s="1">
        <f ca="1">IFERROR(__xludf.DUMMYFUNCTION("""COMPUTED_VALUE"""),142.41)</f>
        <v>142.41</v>
      </c>
      <c r="D433" s="1">
        <f ca="1">IFERROR(__xludf.DUMMYFUNCTION("""COMPUTED_VALUE"""),237.53)</f>
        <v>237.53</v>
      </c>
      <c r="E433" s="1">
        <f ca="1">IFERROR(__xludf.DUMMYFUNCTION("""COMPUTED_VALUE"""),115.86)</f>
        <v>115.86</v>
      </c>
      <c r="F433">
        <f t="shared" ca="1" si="53"/>
        <v>2.5696949361071492E-2</v>
      </c>
      <c r="G433">
        <f t="shared" ca="1" si="54"/>
        <v>2.9122705593293836E-2</v>
      </c>
      <c r="H433">
        <f t="shared" ca="1" si="55"/>
        <v>3.9245712285614277E-2</v>
      </c>
      <c r="I433">
        <f t="shared" ca="1" si="56"/>
        <v>4.200017987229069E-2</v>
      </c>
      <c r="O433">
        <f t="shared" ca="1" si="57"/>
        <v>0.97498870371846968</v>
      </c>
      <c r="P433">
        <f t="shared" ca="1" si="58"/>
        <v>1.0859386914747606</v>
      </c>
      <c r="Q433">
        <f t="shared" ca="1" si="59"/>
        <v>0.99115376590861759</v>
      </c>
      <c r="R433">
        <f t="shared" ca="1" si="60"/>
        <v>0.89384354266317001</v>
      </c>
    </row>
    <row r="434" spans="1:18" x14ac:dyDescent="0.3">
      <c r="A434" s="2">
        <f ca="1">IFERROR(__xludf.DUMMYFUNCTION("""COMPUTED_VALUE"""),44852.6666666666)</f>
        <v>44852.666666666599</v>
      </c>
      <c r="B434" s="1">
        <f ca="1">IFERROR(__xludf.DUMMYFUNCTION("""COMPUTED_VALUE"""),371.13)</f>
        <v>371.13</v>
      </c>
      <c r="C434" s="1">
        <f ca="1">IFERROR(__xludf.DUMMYFUNCTION("""COMPUTED_VALUE"""),143.75)</f>
        <v>143.75</v>
      </c>
      <c r="D434" s="1">
        <f ca="1">IFERROR(__xludf.DUMMYFUNCTION("""COMPUTED_VALUE"""),238.5)</f>
        <v>238.5</v>
      </c>
      <c r="E434" s="1">
        <f ca="1">IFERROR(__xludf.DUMMYFUNCTION("""COMPUTED_VALUE"""),118.84)</f>
        <v>118.84</v>
      </c>
      <c r="F434">
        <f t="shared" ca="1" si="53"/>
        <v>1.1749631972084408E-2</v>
      </c>
      <c r="G434">
        <f t="shared" ca="1" si="54"/>
        <v>9.4094515834562426E-3</v>
      </c>
      <c r="H434">
        <f t="shared" ca="1" si="55"/>
        <v>4.0836946911968963E-3</v>
      </c>
      <c r="I434">
        <f t="shared" ca="1" si="56"/>
        <v>2.5720697393405868E-2</v>
      </c>
      <c r="O434">
        <f t="shared" ca="1" si="57"/>
        <v>0.98644446216410142</v>
      </c>
      <c r="P434">
        <f t="shared" ca="1" si="58"/>
        <v>1.0961567790147941</v>
      </c>
      <c r="Q434">
        <f t="shared" ca="1" si="59"/>
        <v>0.99520133528061838</v>
      </c>
      <c r="R434">
        <f t="shared" ca="1" si="60"/>
        <v>0.91683382194105933</v>
      </c>
    </row>
    <row r="435" spans="1:18" x14ac:dyDescent="0.3">
      <c r="A435" s="2">
        <f ca="1">IFERROR(__xludf.DUMMYFUNCTION("""COMPUTED_VALUE"""),44853.6666666666)</f>
        <v>44853.666666666599</v>
      </c>
      <c r="B435" s="1">
        <f ca="1">IFERROR(__xludf.DUMMYFUNCTION("""COMPUTED_VALUE"""),368.5)</f>
        <v>368.5</v>
      </c>
      <c r="C435" s="1">
        <f ca="1">IFERROR(__xludf.DUMMYFUNCTION("""COMPUTED_VALUE"""),143.86)</f>
        <v>143.86000000000001</v>
      </c>
      <c r="D435" s="1">
        <f ca="1">IFERROR(__xludf.DUMMYFUNCTION("""COMPUTED_VALUE"""),236.48)</f>
        <v>236.48</v>
      </c>
      <c r="E435" s="1">
        <f ca="1">IFERROR(__xludf.DUMMYFUNCTION("""COMPUTED_VALUE"""),116.51)</f>
        <v>116.51</v>
      </c>
      <c r="F435">
        <f t="shared" ca="1" si="53"/>
        <v>-7.0864656589335155E-3</v>
      </c>
      <c r="G435">
        <f t="shared" ca="1" si="54"/>
        <v>7.6521739130444274E-4</v>
      </c>
      <c r="H435">
        <f t="shared" ca="1" si="55"/>
        <v>-8.4696016771488893E-3</v>
      </c>
      <c r="I435">
        <f t="shared" ca="1" si="56"/>
        <v>-1.960619320094243E-2</v>
      </c>
      <c r="O435">
        <f t="shared" ca="1" si="57"/>
        <v>0.97945405735853031</v>
      </c>
      <c r="P435">
        <f t="shared" ca="1" si="58"/>
        <v>1.0969955772456925</v>
      </c>
      <c r="Q435">
        <f t="shared" ca="1" si="59"/>
        <v>0.98677237638222481</v>
      </c>
      <c r="R435">
        <f t="shared" ca="1" si="60"/>
        <v>0.89885820089492441</v>
      </c>
    </row>
    <row r="436" spans="1:18" x14ac:dyDescent="0.3">
      <c r="A436" s="2">
        <f ca="1">IFERROR(__xludf.DUMMYFUNCTION("""COMPUTED_VALUE"""),44854.6666666666)</f>
        <v>44854.666666666599</v>
      </c>
      <c r="B436" s="1">
        <f ca="1">IFERROR(__xludf.DUMMYFUNCTION("""COMPUTED_VALUE"""),365.41)</f>
        <v>365.41</v>
      </c>
      <c r="C436" s="1">
        <f ca="1">IFERROR(__xludf.DUMMYFUNCTION("""COMPUTED_VALUE"""),143.39)</f>
        <v>143.38999999999999</v>
      </c>
      <c r="D436" s="1">
        <f ca="1">IFERROR(__xludf.DUMMYFUNCTION("""COMPUTED_VALUE"""),236.15)</f>
        <v>236.15</v>
      </c>
      <c r="E436" s="1">
        <f ca="1">IFERROR(__xludf.DUMMYFUNCTION("""COMPUTED_VALUE"""),116.13)</f>
        <v>116.13</v>
      </c>
      <c r="F436">
        <f t="shared" ca="1" si="53"/>
        <v>-8.3853459972862282E-3</v>
      </c>
      <c r="G436">
        <f t="shared" ca="1" si="54"/>
        <v>-3.2670652022801839E-3</v>
      </c>
      <c r="H436">
        <f t="shared" ca="1" si="55"/>
        <v>-1.3954668470905957E-3</v>
      </c>
      <c r="I436">
        <f t="shared" ca="1" si="56"/>
        <v>-3.2615226160845391E-3</v>
      </c>
      <c r="O436">
        <f t="shared" ca="1" si="57"/>
        <v>0.97124099619913318</v>
      </c>
      <c r="P436">
        <f t="shared" ca="1" si="58"/>
        <v>1.0934116211682179</v>
      </c>
      <c r="Q436">
        <f t="shared" ca="1" si="59"/>
        <v>0.98539536824535867</v>
      </c>
      <c r="R436">
        <f t="shared" ca="1" si="60"/>
        <v>0.89592655454405246</v>
      </c>
    </row>
    <row r="437" spans="1:18" x14ac:dyDescent="0.3">
      <c r="A437" s="2">
        <f ca="1">IFERROR(__xludf.DUMMYFUNCTION("""COMPUTED_VALUE"""),44855.6666666666)</f>
        <v>44855.666666666599</v>
      </c>
      <c r="B437" s="1">
        <f ca="1">IFERROR(__xludf.DUMMYFUNCTION("""COMPUTED_VALUE"""),374.29)</f>
        <v>374.29</v>
      </c>
      <c r="C437" s="1">
        <f ca="1">IFERROR(__xludf.DUMMYFUNCTION("""COMPUTED_VALUE"""),147.27)</f>
        <v>147.27000000000001</v>
      </c>
      <c r="D437" s="1">
        <f ca="1">IFERROR(__xludf.DUMMYFUNCTION("""COMPUTED_VALUE"""),242.12)</f>
        <v>242.12</v>
      </c>
      <c r="E437" s="1">
        <f ca="1">IFERROR(__xludf.DUMMYFUNCTION("""COMPUTED_VALUE"""),122.23)</f>
        <v>122.23</v>
      </c>
      <c r="F437">
        <f t="shared" ca="1" si="53"/>
        <v>2.4301469582113228E-2</v>
      </c>
      <c r="G437">
        <f t="shared" ca="1" si="54"/>
        <v>2.7059069670130581E-2</v>
      </c>
      <c r="H437">
        <f t="shared" ca="1" si="55"/>
        <v>2.5280542028371791E-2</v>
      </c>
      <c r="I437">
        <f t="shared" ca="1" si="56"/>
        <v>5.2527340049944103E-2</v>
      </c>
      <c r="O437">
        <f t="shared" ca="1" si="57"/>
        <v>0.9948435797251679</v>
      </c>
      <c r="P437">
        <f t="shared" ca="1" si="58"/>
        <v>1.1229983224035389</v>
      </c>
      <c r="Q437">
        <f t="shared" ca="1" si="59"/>
        <v>1.0103066972668482</v>
      </c>
      <c r="R437">
        <f t="shared" ca="1" si="60"/>
        <v>0.94298719333436276</v>
      </c>
    </row>
    <row r="438" spans="1:18" x14ac:dyDescent="0.3">
      <c r="A438" s="2">
        <f ca="1">IFERROR(__xludf.DUMMYFUNCTION("""COMPUTED_VALUE"""),44858.6666666666)</f>
        <v>44858.666666666599</v>
      </c>
      <c r="B438" s="1">
        <f ca="1">IFERROR(__xludf.DUMMYFUNCTION("""COMPUTED_VALUE"""),378.87)</f>
        <v>378.87</v>
      </c>
      <c r="C438" s="1">
        <f ca="1">IFERROR(__xludf.DUMMYFUNCTION("""COMPUTED_VALUE"""),149.45)</f>
        <v>149.44999999999999</v>
      </c>
      <c r="D438" s="1">
        <f ca="1">IFERROR(__xludf.DUMMYFUNCTION("""COMPUTED_VALUE"""),247.25)</f>
        <v>247.25</v>
      </c>
      <c r="E438" s="1">
        <f ca="1">IFERROR(__xludf.DUMMYFUNCTION("""COMPUTED_VALUE"""),122.38)</f>
        <v>122.38</v>
      </c>
      <c r="F438">
        <f t="shared" ca="1" si="53"/>
        <v>1.2236501108765887E-2</v>
      </c>
      <c r="G438">
        <f t="shared" ca="1" si="54"/>
        <v>1.480274326067752E-2</v>
      </c>
      <c r="H438">
        <f t="shared" ca="1" si="55"/>
        <v>2.1187840740128843E-2</v>
      </c>
      <c r="I438">
        <f t="shared" ca="1" si="56"/>
        <v>1.2271946330687348E-3</v>
      </c>
      <c r="O438">
        <f t="shared" ca="1" si="57"/>
        <v>1.0070169842915235</v>
      </c>
      <c r="P438">
        <f t="shared" ca="1" si="58"/>
        <v>1.13962177825225</v>
      </c>
      <c r="Q438">
        <f t="shared" ca="1" si="59"/>
        <v>1.0317129146672237</v>
      </c>
      <c r="R438">
        <f t="shared" ca="1" si="60"/>
        <v>0.94414442215707517</v>
      </c>
    </row>
    <row r="439" spans="1:18" x14ac:dyDescent="0.3">
      <c r="A439" s="2">
        <f ca="1">IFERROR(__xludf.DUMMYFUNCTION("""COMPUTED_VALUE"""),44859.6666666666)</f>
        <v>44859.666666666599</v>
      </c>
      <c r="B439" s="1">
        <f ca="1">IFERROR(__xludf.DUMMYFUNCTION("""COMPUTED_VALUE"""),384.92)</f>
        <v>384.92</v>
      </c>
      <c r="C439" s="1">
        <f ca="1">IFERROR(__xludf.DUMMYFUNCTION("""COMPUTED_VALUE"""),152.34)</f>
        <v>152.34</v>
      </c>
      <c r="D439" s="1">
        <f ca="1">IFERROR(__xludf.DUMMYFUNCTION("""COMPUTED_VALUE"""),250.66)</f>
        <v>250.66</v>
      </c>
      <c r="E439" s="1">
        <f ca="1">IFERROR(__xludf.DUMMYFUNCTION("""COMPUTED_VALUE"""),122.7)</f>
        <v>122.7</v>
      </c>
      <c r="F439">
        <f t="shared" ca="1" si="53"/>
        <v>1.5968538020957088E-2</v>
      </c>
      <c r="G439">
        <f t="shared" ca="1" si="54"/>
        <v>1.9337571094011477E-2</v>
      </c>
      <c r="H439">
        <f t="shared" ca="1" si="55"/>
        <v>1.3791708796764396E-2</v>
      </c>
      <c r="I439">
        <f t="shared" ca="1" si="56"/>
        <v>2.614806340905437E-3</v>
      </c>
      <c r="O439">
        <f t="shared" ca="1" si="57"/>
        <v>1.0230975732929324</v>
      </c>
      <c r="P439">
        <f t="shared" ca="1" si="58"/>
        <v>1.1616592954094866</v>
      </c>
      <c r="Q439">
        <f t="shared" ca="1" si="59"/>
        <v>1.0459419987481753</v>
      </c>
      <c r="R439">
        <f t="shared" ca="1" si="60"/>
        <v>0.94661317697886205</v>
      </c>
    </row>
    <row r="440" spans="1:18" x14ac:dyDescent="0.3">
      <c r="A440" s="2">
        <f ca="1">IFERROR(__xludf.DUMMYFUNCTION("""COMPUTED_VALUE"""),44860.6666666666)</f>
        <v>44860.666666666599</v>
      </c>
      <c r="B440" s="1">
        <f ca="1">IFERROR(__xludf.DUMMYFUNCTION("""COMPUTED_VALUE"""),382.02)</f>
        <v>382.02</v>
      </c>
      <c r="C440" s="1">
        <f ca="1">IFERROR(__xludf.DUMMYFUNCTION("""COMPUTED_VALUE"""),149.35)</f>
        <v>149.35</v>
      </c>
      <c r="D440" s="1">
        <f ca="1">IFERROR(__xludf.DUMMYFUNCTION("""COMPUTED_VALUE"""),231.32)</f>
        <v>231.32</v>
      </c>
      <c r="E440" s="1">
        <f ca="1">IFERROR(__xludf.DUMMYFUNCTION("""COMPUTED_VALUE"""),124.11)</f>
        <v>124.11</v>
      </c>
      <c r="F440">
        <f t="shared" ca="1" si="53"/>
        <v>-7.5340330458277928E-3</v>
      </c>
      <c r="G440">
        <f t="shared" ca="1" si="54"/>
        <v>-1.962714979650787E-2</v>
      </c>
      <c r="H440">
        <f t="shared" ca="1" si="55"/>
        <v>-7.7156307348599712E-2</v>
      </c>
      <c r="I440">
        <f t="shared" ca="1" si="56"/>
        <v>1.1491442542787259E-2</v>
      </c>
      <c r="O440">
        <f t="shared" ca="1" si="57"/>
        <v>1.0153895223666372</v>
      </c>
      <c r="P440">
        <f t="shared" ca="1" si="58"/>
        <v>1.1388592344059787</v>
      </c>
      <c r="Q440">
        <f t="shared" ca="1" si="59"/>
        <v>0.96524097642395246</v>
      </c>
      <c r="R440">
        <f t="shared" ca="1" si="60"/>
        <v>0.95749112791235991</v>
      </c>
    </row>
    <row r="441" spans="1:18" x14ac:dyDescent="0.3">
      <c r="A441" s="2">
        <f ca="1">IFERROR(__xludf.DUMMYFUNCTION("""COMPUTED_VALUE"""),44861.6666666666)</f>
        <v>44861.666666666599</v>
      </c>
      <c r="B441" s="1">
        <f ca="1">IFERROR(__xludf.DUMMYFUNCTION("""COMPUTED_VALUE"""),379.98)</f>
        <v>379.98</v>
      </c>
      <c r="C441" s="1">
        <f ca="1">IFERROR(__xludf.DUMMYFUNCTION("""COMPUTED_VALUE"""),144.8)</f>
        <v>144.80000000000001</v>
      </c>
      <c r="D441" s="1">
        <f ca="1">IFERROR(__xludf.DUMMYFUNCTION("""COMPUTED_VALUE"""),226.75)</f>
        <v>226.75</v>
      </c>
      <c r="E441" s="1">
        <f ca="1">IFERROR(__xludf.DUMMYFUNCTION("""COMPUTED_VALUE"""),124.6)</f>
        <v>124.6</v>
      </c>
      <c r="F441">
        <f t="shared" ca="1" si="53"/>
        <v>-5.3400345531646612E-3</v>
      </c>
      <c r="G441">
        <f t="shared" ca="1" si="54"/>
        <v>-3.0465349849347057E-2</v>
      </c>
      <c r="H441">
        <f t="shared" ca="1" si="55"/>
        <v>-1.9756181912502134E-2</v>
      </c>
      <c r="I441">
        <f t="shared" ca="1" si="56"/>
        <v>3.9481105470952774E-3</v>
      </c>
      <c r="O441">
        <f t="shared" ca="1" si="57"/>
        <v>1.0099673072322779</v>
      </c>
      <c r="P441">
        <f t="shared" ca="1" si="58"/>
        <v>1.1041634894006411</v>
      </c>
      <c r="Q441">
        <f t="shared" ca="1" si="59"/>
        <v>0.94617150010431961</v>
      </c>
      <c r="R441">
        <f t="shared" ca="1" si="60"/>
        <v>0.96127140873322092</v>
      </c>
    </row>
    <row r="442" spans="1:18" x14ac:dyDescent="0.3">
      <c r="A442" s="2">
        <f ca="1">IFERROR(__xludf.DUMMYFUNCTION("""COMPUTED_VALUE"""),44862.6666666666)</f>
        <v>44862.666666666599</v>
      </c>
      <c r="B442" s="1">
        <f ca="1">IFERROR(__xludf.DUMMYFUNCTION("""COMPUTED_VALUE"""),389.02)</f>
        <v>389.02</v>
      </c>
      <c r="C442" s="1">
        <f ca="1">IFERROR(__xludf.DUMMYFUNCTION("""COMPUTED_VALUE"""),155.74)</f>
        <v>155.74</v>
      </c>
      <c r="D442" s="1">
        <f ca="1">IFERROR(__xludf.DUMMYFUNCTION("""COMPUTED_VALUE"""),235.87)</f>
        <v>235.87</v>
      </c>
      <c r="E442" s="1">
        <f ca="1">IFERROR(__xludf.DUMMYFUNCTION("""COMPUTED_VALUE"""),126.08)</f>
        <v>126.08</v>
      </c>
      <c r="F442">
        <f t="shared" ca="1" si="53"/>
        <v>2.3790725827675045E-2</v>
      </c>
      <c r="G442">
        <f t="shared" ca="1" si="54"/>
        <v>7.5552486187845283E-2</v>
      </c>
      <c r="H442">
        <f t="shared" ca="1" si="55"/>
        <v>4.0220507166482934E-2</v>
      </c>
      <c r="I442">
        <f t="shared" ca="1" si="56"/>
        <v>1.1878009630818653E-2</v>
      </c>
      <c r="O442">
        <f t="shared" ca="1" si="57"/>
        <v>1.0339951625335564</v>
      </c>
      <c r="P442">
        <f t="shared" ca="1" si="58"/>
        <v>1.1875857861827062</v>
      </c>
      <c r="Q442">
        <f t="shared" ca="1" si="59"/>
        <v>0.98422699770498734</v>
      </c>
      <c r="R442">
        <f t="shared" ca="1" si="60"/>
        <v>0.97268939978398472</v>
      </c>
    </row>
    <row r="443" spans="1:18" x14ac:dyDescent="0.3">
      <c r="A443" s="2">
        <f ca="1">IFERROR(__xludf.DUMMYFUNCTION("""COMPUTED_VALUE"""),44865.6666666666)</f>
        <v>44865.666666666599</v>
      </c>
      <c r="B443" s="1">
        <f ca="1">IFERROR(__xludf.DUMMYFUNCTION("""COMPUTED_VALUE"""),386.21)</f>
        <v>386.21</v>
      </c>
      <c r="C443" s="1">
        <f ca="1">IFERROR(__xludf.DUMMYFUNCTION("""COMPUTED_VALUE"""),153.34)</f>
        <v>153.34</v>
      </c>
      <c r="D443" s="1">
        <f ca="1">IFERROR(__xludf.DUMMYFUNCTION("""COMPUTED_VALUE"""),232.13)</f>
        <v>232.13</v>
      </c>
      <c r="E443" s="1">
        <f ca="1">IFERROR(__xludf.DUMMYFUNCTION("""COMPUTED_VALUE"""),125.88)</f>
        <v>125.88</v>
      </c>
      <c r="F443">
        <f t="shared" ca="1" si="53"/>
        <v>-7.2232790087913279E-3</v>
      </c>
      <c r="G443">
        <f t="shared" ca="1" si="54"/>
        <v>-1.5410299216643159E-2</v>
      </c>
      <c r="H443">
        <f t="shared" ca="1" si="55"/>
        <v>-1.5856191970153088E-2</v>
      </c>
      <c r="I443">
        <f t="shared" ca="1" si="56"/>
        <v>-1.5862944162436774E-3</v>
      </c>
      <c r="O443">
        <f t="shared" ca="1" si="57"/>
        <v>1.026526326980836</v>
      </c>
      <c r="P443">
        <f t="shared" ca="1" si="58"/>
        <v>1.1692847338721983</v>
      </c>
      <c r="Q443">
        <f t="shared" ca="1" si="59"/>
        <v>0.96862090548716961</v>
      </c>
      <c r="R443">
        <f t="shared" ca="1" si="60"/>
        <v>0.97114642802036799</v>
      </c>
    </row>
    <row r="444" spans="1:18" x14ac:dyDescent="0.3">
      <c r="A444" s="2">
        <f ca="1">IFERROR(__xludf.DUMMYFUNCTION("""COMPUTED_VALUE"""),44866.6666666666)</f>
        <v>44866.666666666599</v>
      </c>
      <c r="B444" s="1">
        <f ca="1">IFERROR(__xludf.DUMMYFUNCTION("""COMPUTED_VALUE"""),384.52)</f>
        <v>384.52</v>
      </c>
      <c r="C444" s="1">
        <f ca="1">IFERROR(__xludf.DUMMYFUNCTION("""COMPUTED_VALUE"""),150.65)</f>
        <v>150.65</v>
      </c>
      <c r="D444" s="1">
        <f ca="1">IFERROR(__xludf.DUMMYFUNCTION("""COMPUTED_VALUE"""),228.17)</f>
        <v>228.17</v>
      </c>
      <c r="E444" s="1">
        <f ca="1">IFERROR(__xludf.DUMMYFUNCTION("""COMPUTED_VALUE"""),128.15)</f>
        <v>128.15</v>
      </c>
      <c r="F444">
        <f t="shared" ca="1" si="53"/>
        <v>-4.3758576940006672E-3</v>
      </c>
      <c r="G444">
        <f t="shared" ca="1" si="54"/>
        <v>-1.7542715534107196E-2</v>
      </c>
      <c r="H444">
        <f t="shared" ca="1" si="55"/>
        <v>-1.7059406367121905E-2</v>
      </c>
      <c r="I444">
        <f t="shared" ca="1" si="56"/>
        <v>1.8033047346679459E-2</v>
      </c>
      <c r="O444">
        <f t="shared" ca="1" si="57"/>
        <v>1.0220343938548226</v>
      </c>
      <c r="P444">
        <f t="shared" ca="1" si="58"/>
        <v>1.148772304407504</v>
      </c>
      <c r="Q444">
        <f t="shared" ca="1" si="59"/>
        <v>0.95209680784477446</v>
      </c>
      <c r="R444">
        <f t="shared" ca="1" si="60"/>
        <v>0.98865915753741784</v>
      </c>
    </row>
    <row r="445" spans="1:18" x14ac:dyDescent="0.3">
      <c r="A445" s="2">
        <f ca="1">IFERROR(__xludf.DUMMYFUNCTION("""COMPUTED_VALUE"""),44867.6666666666)</f>
        <v>44867.666666666599</v>
      </c>
      <c r="B445" s="1">
        <f ca="1">IFERROR(__xludf.DUMMYFUNCTION("""COMPUTED_VALUE"""),374.87)</f>
        <v>374.87</v>
      </c>
      <c r="C445" s="1">
        <f ca="1">IFERROR(__xludf.DUMMYFUNCTION("""COMPUTED_VALUE"""),145.03)</f>
        <v>145.03</v>
      </c>
      <c r="D445" s="1">
        <f ca="1">IFERROR(__xludf.DUMMYFUNCTION("""COMPUTED_VALUE"""),220.1)</f>
        <v>220.1</v>
      </c>
      <c r="E445" s="1">
        <f ca="1">IFERROR(__xludf.DUMMYFUNCTION("""COMPUTED_VALUE"""),126.97)</f>
        <v>126.97</v>
      </c>
      <c r="F445">
        <f t="shared" ca="1" si="53"/>
        <v>-2.5096223863518095E-2</v>
      </c>
      <c r="G445">
        <f t="shared" ca="1" si="54"/>
        <v>-3.7305011616329271E-2</v>
      </c>
      <c r="H445">
        <f t="shared" ca="1" si="55"/>
        <v>-3.5368365692246981E-2</v>
      </c>
      <c r="I445">
        <f t="shared" ca="1" si="56"/>
        <v>-9.2079594225517505E-3</v>
      </c>
      <c r="O445">
        <f t="shared" ca="1" si="57"/>
        <v>0.99638518991042702</v>
      </c>
      <c r="P445">
        <f t="shared" ca="1" si="58"/>
        <v>1.1059173402470648</v>
      </c>
      <c r="Q445">
        <f t="shared" ca="1" si="59"/>
        <v>0.91842269977049951</v>
      </c>
      <c r="R445">
        <f t="shared" ca="1" si="60"/>
        <v>0.97955562413207919</v>
      </c>
    </row>
    <row r="446" spans="1:18" x14ac:dyDescent="0.3">
      <c r="A446" s="2">
        <f ca="1">IFERROR(__xludf.DUMMYFUNCTION("""COMPUTED_VALUE"""),44868.6666666666)</f>
        <v>44868.666666666599</v>
      </c>
      <c r="B446" s="1">
        <f ca="1">IFERROR(__xludf.DUMMYFUNCTION("""COMPUTED_VALUE"""),371.01)</f>
        <v>371.01</v>
      </c>
      <c r="C446" s="1">
        <f ca="1">IFERROR(__xludf.DUMMYFUNCTION("""COMPUTED_VALUE"""),138.88)</f>
        <v>138.88</v>
      </c>
      <c r="D446" s="1">
        <f ca="1">IFERROR(__xludf.DUMMYFUNCTION("""COMPUTED_VALUE"""),214.25)</f>
        <v>214.25</v>
      </c>
      <c r="E446" s="1">
        <f ca="1">IFERROR(__xludf.DUMMYFUNCTION("""COMPUTED_VALUE"""),127.2)</f>
        <v>127.2</v>
      </c>
      <c r="F446">
        <f t="shared" ca="1" si="53"/>
        <v>-1.0296902926347837E-2</v>
      </c>
      <c r="G446">
        <f t="shared" ca="1" si="54"/>
        <v>-4.2405019651106705E-2</v>
      </c>
      <c r="H446">
        <f t="shared" ca="1" si="55"/>
        <v>-2.6578827805542909E-2</v>
      </c>
      <c r="I446">
        <f t="shared" ca="1" si="56"/>
        <v>1.8114515239820743E-3</v>
      </c>
      <c r="O446">
        <f t="shared" ca="1" si="57"/>
        <v>0.98612550833266865</v>
      </c>
      <c r="P446">
        <f t="shared" ca="1" si="58"/>
        <v>1.0590208937013883</v>
      </c>
      <c r="Q446">
        <f t="shared" ca="1" si="59"/>
        <v>0.89401210098059758</v>
      </c>
      <c r="R446">
        <f t="shared" ca="1" si="60"/>
        <v>0.98133004166023841</v>
      </c>
    </row>
    <row r="447" spans="1:18" x14ac:dyDescent="0.3">
      <c r="A447" s="2">
        <f ca="1">IFERROR(__xludf.DUMMYFUNCTION("""COMPUTED_VALUE"""),44869.6666666666)</f>
        <v>44869.666666666599</v>
      </c>
      <c r="B447" s="1">
        <f ca="1">IFERROR(__xludf.DUMMYFUNCTION("""COMPUTED_VALUE"""),376.35)</f>
        <v>376.35</v>
      </c>
      <c r="C447" s="1">
        <f ca="1">IFERROR(__xludf.DUMMYFUNCTION("""COMPUTED_VALUE"""),138.38)</f>
        <v>138.38</v>
      </c>
      <c r="D447" s="1">
        <f ca="1">IFERROR(__xludf.DUMMYFUNCTION("""COMPUTED_VALUE"""),221.39)</f>
        <v>221.39</v>
      </c>
      <c r="E447" s="1">
        <f ca="1">IFERROR(__xludf.DUMMYFUNCTION("""COMPUTED_VALUE"""),130.68)</f>
        <v>130.68</v>
      </c>
      <c r="F447">
        <f t="shared" ca="1" si="53"/>
        <v>1.439314304196661E-2</v>
      </c>
      <c r="G447">
        <f t="shared" ca="1" si="54"/>
        <v>-3.6002304147465438E-3</v>
      </c>
      <c r="H447">
        <f t="shared" ca="1" si="55"/>
        <v>3.3325554259043114E-2</v>
      </c>
      <c r="I447">
        <f t="shared" ca="1" si="56"/>
        <v>2.7358490566037768E-2</v>
      </c>
      <c r="O447">
        <f t="shared" ca="1" si="57"/>
        <v>1.0003189538314328</v>
      </c>
      <c r="P447">
        <f t="shared" ca="1" si="58"/>
        <v>1.0552081744700326</v>
      </c>
      <c r="Q447">
        <f t="shared" ca="1" si="59"/>
        <v>0.92380554976006768</v>
      </c>
      <c r="R447">
        <f t="shared" ca="1" si="60"/>
        <v>1.0081777503471696</v>
      </c>
    </row>
    <row r="448" spans="1:18" x14ac:dyDescent="0.3">
      <c r="A448" s="2">
        <f ca="1">IFERROR(__xludf.DUMMYFUNCTION("""COMPUTED_VALUE"""),44872.6666666666)</f>
        <v>44872.666666666599</v>
      </c>
      <c r="B448" s="1">
        <f ca="1">IFERROR(__xludf.DUMMYFUNCTION("""COMPUTED_VALUE"""),379.95)</f>
        <v>379.95</v>
      </c>
      <c r="C448" s="1">
        <f ca="1">IFERROR(__xludf.DUMMYFUNCTION("""COMPUTED_VALUE"""),138.92)</f>
        <v>138.91999999999999</v>
      </c>
      <c r="D448" s="1">
        <f ca="1">IFERROR(__xludf.DUMMYFUNCTION("""COMPUTED_VALUE"""),227.87)</f>
        <v>227.87</v>
      </c>
      <c r="E448" s="1">
        <f ca="1">IFERROR(__xludf.DUMMYFUNCTION("""COMPUTED_VALUE"""),131.37)</f>
        <v>131.37</v>
      </c>
      <c r="F448">
        <f t="shared" ca="1" si="53"/>
        <v>9.5655639697089564E-3</v>
      </c>
      <c r="G448">
        <f t="shared" ca="1" si="54"/>
        <v>3.9022980199450216E-3</v>
      </c>
      <c r="H448">
        <f t="shared" ca="1" si="55"/>
        <v>2.926961470707809E-2</v>
      </c>
      <c r="I448">
        <f t="shared" ca="1" si="56"/>
        <v>5.2800734618916262E-3</v>
      </c>
      <c r="O448">
        <f t="shared" ca="1" si="57"/>
        <v>1.0098875687744198</v>
      </c>
      <c r="P448">
        <f t="shared" ca="1" si="58"/>
        <v>1.0593259112398967</v>
      </c>
      <c r="Q448">
        <f t="shared" ca="1" si="59"/>
        <v>0.95084498226580538</v>
      </c>
      <c r="R448">
        <f t="shared" ca="1" si="60"/>
        <v>1.0135010029316474</v>
      </c>
    </row>
    <row r="449" spans="1:18" x14ac:dyDescent="0.3">
      <c r="A449" s="2">
        <f ca="1">IFERROR(__xludf.DUMMYFUNCTION("""COMPUTED_VALUE"""),44873.6666666666)</f>
        <v>44873.666666666599</v>
      </c>
      <c r="B449" s="1">
        <f ca="1">IFERROR(__xludf.DUMMYFUNCTION("""COMPUTED_VALUE"""),382)</f>
        <v>382</v>
      </c>
      <c r="C449" s="1">
        <f ca="1">IFERROR(__xludf.DUMMYFUNCTION("""COMPUTED_VALUE"""),139.5)</f>
        <v>139.5</v>
      </c>
      <c r="D449" s="1">
        <f ca="1">IFERROR(__xludf.DUMMYFUNCTION("""COMPUTED_VALUE"""),228.87)</f>
        <v>228.87</v>
      </c>
      <c r="E449" s="1">
        <f ca="1">IFERROR(__xludf.DUMMYFUNCTION("""COMPUTED_VALUE"""),131.45)</f>
        <v>131.44999999999999</v>
      </c>
      <c r="F449">
        <f t="shared" ca="1" si="53"/>
        <v>5.3954467693117817E-3</v>
      </c>
      <c r="G449">
        <f t="shared" ca="1" si="54"/>
        <v>4.1750647854881407E-3</v>
      </c>
      <c r="H449">
        <f t="shared" ca="1" si="55"/>
        <v>4.3884671084390226E-3</v>
      </c>
      <c r="I449">
        <f t="shared" ca="1" si="56"/>
        <v>6.0896703965885733E-4</v>
      </c>
      <c r="O449">
        <f t="shared" ca="1" si="57"/>
        <v>1.0153363633947319</v>
      </c>
      <c r="P449">
        <f t="shared" ca="1" si="58"/>
        <v>1.0637486655482695</v>
      </c>
      <c r="Q449">
        <f t="shared" ca="1" si="59"/>
        <v>0.95501773419570324</v>
      </c>
      <c r="R449">
        <f t="shared" ca="1" si="60"/>
        <v>1.014118191637094</v>
      </c>
    </row>
    <row r="450" spans="1:18" x14ac:dyDescent="0.3">
      <c r="A450" s="2">
        <f ca="1">IFERROR(__xludf.DUMMYFUNCTION("""COMPUTED_VALUE"""),44874.6666666666)</f>
        <v>44874.666666666599</v>
      </c>
      <c r="B450" s="1">
        <f ca="1">IFERROR(__xludf.DUMMYFUNCTION("""COMPUTED_VALUE"""),374.13)</f>
        <v>374.13</v>
      </c>
      <c r="C450" s="1">
        <f ca="1">IFERROR(__xludf.DUMMYFUNCTION("""COMPUTED_VALUE"""),134.87)</f>
        <v>134.87</v>
      </c>
      <c r="D450" s="1">
        <f ca="1">IFERROR(__xludf.DUMMYFUNCTION("""COMPUTED_VALUE"""),224.51)</f>
        <v>224.51</v>
      </c>
      <c r="E450" s="1">
        <f ca="1">IFERROR(__xludf.DUMMYFUNCTION("""COMPUTED_VALUE"""),129.74)</f>
        <v>129.74</v>
      </c>
      <c r="F450">
        <f t="shared" ca="1" si="53"/>
        <v>-2.0602094240837709E-2</v>
      </c>
      <c r="G450">
        <f t="shared" ca="1" si="54"/>
        <v>-3.3189964157706059E-2</v>
      </c>
      <c r="H450">
        <f t="shared" ca="1" si="55"/>
        <v>-1.9050115786254266E-2</v>
      </c>
      <c r="I450">
        <f t="shared" ca="1" si="56"/>
        <v>-1.3008748573601975E-2</v>
      </c>
      <c r="O450">
        <f t="shared" ca="1" si="57"/>
        <v>0.99441830794992414</v>
      </c>
      <c r="P450">
        <f t="shared" ca="1" si="58"/>
        <v>1.0284428854659149</v>
      </c>
      <c r="Q450">
        <f t="shared" ca="1" si="59"/>
        <v>0.93682453578134894</v>
      </c>
      <c r="R450">
        <f t="shared" ca="1" si="60"/>
        <v>1.000925783058171</v>
      </c>
    </row>
    <row r="451" spans="1:18" x14ac:dyDescent="0.3">
      <c r="A451" s="2">
        <f ca="1">IFERROR(__xludf.DUMMYFUNCTION("""COMPUTED_VALUE"""),44875.6666666666)</f>
        <v>44875.666666666599</v>
      </c>
      <c r="B451" s="1">
        <f ca="1">IFERROR(__xludf.DUMMYFUNCTION("""COMPUTED_VALUE"""),394.69)</f>
        <v>394.69</v>
      </c>
      <c r="C451" s="1">
        <f ca="1">IFERROR(__xludf.DUMMYFUNCTION("""COMPUTED_VALUE"""),146.87)</f>
        <v>146.87</v>
      </c>
      <c r="D451" s="1">
        <f ca="1">IFERROR(__xludf.DUMMYFUNCTION("""COMPUTED_VALUE"""),242.98)</f>
        <v>242.98</v>
      </c>
      <c r="E451" s="1">
        <f ca="1">IFERROR(__xludf.DUMMYFUNCTION("""COMPUTED_VALUE"""),135.08)</f>
        <v>135.08000000000001</v>
      </c>
      <c r="F451">
        <f t="shared" ca="1" si="53"/>
        <v>5.4954160318605838E-2</v>
      </c>
      <c r="G451">
        <f t="shared" ca="1" si="54"/>
        <v>8.8974568102617335E-2</v>
      </c>
      <c r="H451">
        <f t="shared" ca="1" si="55"/>
        <v>8.2268050420916658E-2</v>
      </c>
      <c r="I451">
        <f t="shared" ca="1" si="56"/>
        <v>4.1159241560043185E-2</v>
      </c>
      <c r="O451">
        <f t="shared" ca="1" si="57"/>
        <v>1.049065731068761</v>
      </c>
      <c r="P451">
        <f t="shared" ca="1" si="58"/>
        <v>1.1199481470184542</v>
      </c>
      <c r="Q451">
        <f t="shared" ca="1" si="59"/>
        <v>1.0138952639265608</v>
      </c>
      <c r="R451">
        <f t="shared" ca="1" si="60"/>
        <v>1.0421231291467377</v>
      </c>
    </row>
    <row r="452" spans="1:18" x14ac:dyDescent="0.3">
      <c r="A452" s="2">
        <f ca="1">IFERROR(__xludf.DUMMYFUNCTION("""COMPUTED_VALUE"""),44876.6666666666)</f>
        <v>44876.666666666599</v>
      </c>
      <c r="B452" s="1">
        <f ca="1">IFERROR(__xludf.DUMMYFUNCTION("""COMPUTED_VALUE"""),398.51)</f>
        <v>398.51</v>
      </c>
      <c r="C452" s="1">
        <f ca="1">IFERROR(__xludf.DUMMYFUNCTION("""COMPUTED_VALUE"""),149.7)</f>
        <v>149.69999999999999</v>
      </c>
      <c r="D452" s="1">
        <f ca="1">IFERROR(__xludf.DUMMYFUNCTION("""COMPUTED_VALUE"""),247.11)</f>
        <v>247.11</v>
      </c>
      <c r="E452" s="1">
        <f ca="1">IFERROR(__xludf.DUMMYFUNCTION("""COMPUTED_VALUE"""),135.3)</f>
        <v>135.30000000000001</v>
      </c>
      <c r="F452">
        <f t="shared" ref="F452:F515" ca="1" si="61">(B452-B451)/B451</f>
        <v>9.6784818465124357E-3</v>
      </c>
      <c r="G452">
        <f t="shared" ref="G452:G515" ca="1" si="62">(C452-C451)/C451</f>
        <v>1.9268741063525458E-2</v>
      </c>
      <c r="H452">
        <f t="shared" ref="H452:H515" ca="1" si="63">(D452-D451)/D451</f>
        <v>1.6997283727055824E-2</v>
      </c>
      <c r="I452">
        <f t="shared" ref="I452:I515" ca="1" si="64">(E452-E451)/E451</f>
        <v>1.6286644951139979E-3</v>
      </c>
      <c r="O452">
        <f t="shared" ref="O452:O515" ca="1" si="65">O451*(1+F452)</f>
        <v>1.0592190947027085</v>
      </c>
      <c r="P452">
        <f t="shared" ref="P452:P515" ca="1" si="66">P451*(1+G452)</f>
        <v>1.1415281378679281</v>
      </c>
      <c r="Q452">
        <f t="shared" ref="Q452:Q515" ca="1" si="67">Q451*(1+H452)</f>
        <v>1.0311287293970386</v>
      </c>
      <c r="R452">
        <f t="shared" ref="R452:R515" ca="1" si="68">R451*(1+I452)</f>
        <v>1.043820398086716</v>
      </c>
    </row>
    <row r="453" spans="1:18" x14ac:dyDescent="0.3">
      <c r="A453" s="2">
        <f ca="1">IFERROR(__xludf.DUMMYFUNCTION("""COMPUTED_VALUE"""),44879.6666666666)</f>
        <v>44879.666666666599</v>
      </c>
      <c r="B453" s="1">
        <f ca="1">IFERROR(__xludf.DUMMYFUNCTION("""COMPUTED_VALUE"""),395.12)</f>
        <v>395.12</v>
      </c>
      <c r="C453" s="1">
        <f ca="1">IFERROR(__xludf.DUMMYFUNCTION("""COMPUTED_VALUE"""),148.28)</f>
        <v>148.28</v>
      </c>
      <c r="D453" s="1">
        <f ca="1">IFERROR(__xludf.DUMMYFUNCTION("""COMPUTED_VALUE"""),241.55)</f>
        <v>241.55</v>
      </c>
      <c r="E453" s="1">
        <f ca="1">IFERROR(__xludf.DUMMYFUNCTION("""COMPUTED_VALUE"""),133.91)</f>
        <v>133.91</v>
      </c>
      <c r="F453">
        <f t="shared" ca="1" si="61"/>
        <v>-8.5066874106044677E-3</v>
      </c>
      <c r="G453">
        <f t="shared" ca="1" si="62"/>
        <v>-9.4856379425516876E-3</v>
      </c>
      <c r="H453">
        <f t="shared" ca="1" si="63"/>
        <v>-2.2500101169519657E-2</v>
      </c>
      <c r="I453">
        <f t="shared" ca="1" si="64"/>
        <v>-1.0273466371027455E-2</v>
      </c>
      <c r="O453">
        <f t="shared" ca="1" si="65"/>
        <v>1.0502086489647291</v>
      </c>
      <c r="P453">
        <f t="shared" ca="1" si="66"/>
        <v>1.1307000152508777</v>
      </c>
      <c r="Q453">
        <f t="shared" ca="1" si="67"/>
        <v>1.007928228666807</v>
      </c>
      <c r="R453">
        <f t="shared" ca="1" si="68"/>
        <v>1.0330967443295798</v>
      </c>
    </row>
    <row r="454" spans="1:18" x14ac:dyDescent="0.3">
      <c r="A454" s="2">
        <f ca="1">IFERROR(__xludf.DUMMYFUNCTION("""COMPUTED_VALUE"""),44880.6666666666)</f>
        <v>44880.666666666599</v>
      </c>
      <c r="B454" s="1">
        <f ca="1">IFERROR(__xludf.DUMMYFUNCTION("""COMPUTED_VALUE"""),398.49)</f>
        <v>398.49</v>
      </c>
      <c r="C454" s="1">
        <f ca="1">IFERROR(__xludf.DUMMYFUNCTION("""COMPUTED_VALUE"""),150.04)</f>
        <v>150.04</v>
      </c>
      <c r="D454" s="1">
        <f ca="1">IFERROR(__xludf.DUMMYFUNCTION("""COMPUTED_VALUE"""),241.97)</f>
        <v>241.97</v>
      </c>
      <c r="E454" s="1">
        <f ca="1">IFERROR(__xludf.DUMMYFUNCTION("""COMPUTED_VALUE"""),132.94)</f>
        <v>132.94</v>
      </c>
      <c r="F454">
        <f t="shared" ca="1" si="61"/>
        <v>8.5290544644665029E-3</v>
      </c>
      <c r="G454">
        <f t="shared" ca="1" si="62"/>
        <v>1.1869436201780353E-2</v>
      </c>
      <c r="H454">
        <f t="shared" ca="1" si="63"/>
        <v>1.7387704409024527E-3</v>
      </c>
      <c r="I454">
        <f t="shared" ca="1" si="64"/>
        <v>-7.2436711223956302E-3</v>
      </c>
      <c r="O454">
        <f t="shared" ca="1" si="65"/>
        <v>1.059165935730803</v>
      </c>
      <c r="P454">
        <f t="shared" ca="1" si="66"/>
        <v>1.1441207869452501</v>
      </c>
      <c r="Q454">
        <f t="shared" ca="1" si="67"/>
        <v>1.0096807844773639</v>
      </c>
      <c r="R454">
        <f t="shared" ca="1" si="68"/>
        <v>1.0256133312760387</v>
      </c>
    </row>
    <row r="455" spans="1:18" x14ac:dyDescent="0.3">
      <c r="A455" s="2">
        <f ca="1">IFERROR(__xludf.DUMMYFUNCTION("""COMPUTED_VALUE"""),44881.6666666666)</f>
        <v>44881.666666666599</v>
      </c>
      <c r="B455" s="1">
        <f ca="1">IFERROR(__xludf.DUMMYFUNCTION("""COMPUTED_VALUE"""),395.45)</f>
        <v>395.45</v>
      </c>
      <c r="C455" s="1">
        <f ca="1">IFERROR(__xludf.DUMMYFUNCTION("""COMPUTED_VALUE"""),148.79)</f>
        <v>148.79</v>
      </c>
      <c r="D455" s="1">
        <f ca="1">IFERROR(__xludf.DUMMYFUNCTION("""COMPUTED_VALUE"""),241.73)</f>
        <v>241.73</v>
      </c>
      <c r="E455" s="1">
        <f ca="1">IFERROR(__xludf.DUMMYFUNCTION("""COMPUTED_VALUE"""),133.12)</f>
        <v>133.12</v>
      </c>
      <c r="F455">
        <f t="shared" ca="1" si="61"/>
        <v>-7.6287987151497415E-3</v>
      </c>
      <c r="G455">
        <f t="shared" ca="1" si="62"/>
        <v>-8.3311117035457221E-3</v>
      </c>
      <c r="H455">
        <f t="shared" ca="1" si="63"/>
        <v>-9.9185849485477172E-4</v>
      </c>
      <c r="I455">
        <f t="shared" ca="1" si="64"/>
        <v>1.3539942831353002E-3</v>
      </c>
      <c r="O455">
        <f t="shared" ca="1" si="65"/>
        <v>1.0510857720011695</v>
      </c>
      <c r="P455">
        <f t="shared" ca="1" si="66"/>
        <v>1.1345889888668605</v>
      </c>
      <c r="Q455">
        <f t="shared" ca="1" si="67"/>
        <v>1.0086793240141885</v>
      </c>
      <c r="R455">
        <f t="shared" ca="1" si="68"/>
        <v>1.0270020058632938</v>
      </c>
    </row>
    <row r="456" spans="1:18" x14ac:dyDescent="0.3">
      <c r="A456" s="2">
        <f ca="1">IFERROR(__xludf.DUMMYFUNCTION("""COMPUTED_VALUE"""),44882.6666666666)</f>
        <v>44882.666666666599</v>
      </c>
      <c r="B456" s="1">
        <f ca="1">IFERROR(__xludf.DUMMYFUNCTION("""COMPUTED_VALUE"""),394.24)</f>
        <v>394.24</v>
      </c>
      <c r="C456" s="1">
        <f ca="1">IFERROR(__xludf.DUMMYFUNCTION("""COMPUTED_VALUE"""),150.72)</f>
        <v>150.72</v>
      </c>
      <c r="D456" s="1">
        <f ca="1">IFERROR(__xludf.DUMMYFUNCTION("""COMPUTED_VALUE"""),241.68)</f>
        <v>241.68</v>
      </c>
      <c r="E456" s="1">
        <f ca="1">IFERROR(__xludf.DUMMYFUNCTION("""COMPUTED_VALUE"""),132.54)</f>
        <v>132.54</v>
      </c>
      <c r="F456">
        <f t="shared" ca="1" si="61"/>
        <v>-3.0598052851181683E-3</v>
      </c>
      <c r="G456">
        <f t="shared" ca="1" si="62"/>
        <v>1.2971301834800773E-2</v>
      </c>
      <c r="H456">
        <f t="shared" ca="1" si="63"/>
        <v>-2.068423447647497E-4</v>
      </c>
      <c r="I456">
        <f t="shared" ca="1" si="64"/>
        <v>-4.3569711538462477E-3</v>
      </c>
      <c r="O456">
        <f t="shared" ca="1" si="65"/>
        <v>1.0478696542008878</v>
      </c>
      <c r="P456">
        <f t="shared" ca="1" si="66"/>
        <v>1.149306085099894</v>
      </c>
      <c r="Q456">
        <f t="shared" ca="1" si="67"/>
        <v>1.0084706864176936</v>
      </c>
      <c r="R456">
        <f t="shared" ca="1" si="68"/>
        <v>1.0225273877488052</v>
      </c>
    </row>
    <row r="457" spans="1:18" x14ac:dyDescent="0.3">
      <c r="A457" s="2">
        <f ca="1">IFERROR(__xludf.DUMMYFUNCTION("""COMPUTED_VALUE"""),44883.6666666666)</f>
        <v>44883.666666666599</v>
      </c>
      <c r="B457" s="1">
        <f ca="1">IFERROR(__xludf.DUMMYFUNCTION("""COMPUTED_VALUE"""),396.03)</f>
        <v>396.03</v>
      </c>
      <c r="C457" s="1">
        <f ca="1">IFERROR(__xludf.DUMMYFUNCTION("""COMPUTED_VALUE"""),151.29)</f>
        <v>151.29</v>
      </c>
      <c r="D457" s="1">
        <f ca="1">IFERROR(__xludf.DUMMYFUNCTION("""COMPUTED_VALUE"""),241.22)</f>
        <v>241.22</v>
      </c>
      <c r="E457" s="1">
        <f ca="1">IFERROR(__xludf.DUMMYFUNCTION("""COMPUTED_VALUE"""),133.84)</f>
        <v>133.84</v>
      </c>
      <c r="F457">
        <f t="shared" ca="1" si="61"/>
        <v>4.5403814935064011E-3</v>
      </c>
      <c r="G457">
        <f t="shared" ca="1" si="62"/>
        <v>3.7818471337579167E-3</v>
      </c>
      <c r="H457">
        <f t="shared" ca="1" si="63"/>
        <v>-1.9033432638199601E-3</v>
      </c>
      <c r="I457">
        <f t="shared" ca="1" si="64"/>
        <v>9.8083597404557982E-3</v>
      </c>
      <c r="O457">
        <f t="shared" ca="1" si="65"/>
        <v>1.0526273821864285</v>
      </c>
      <c r="P457">
        <f t="shared" ca="1" si="66"/>
        <v>1.1536525850236394</v>
      </c>
      <c r="Q457">
        <f t="shared" ca="1" si="67"/>
        <v>1.0065512205299405</v>
      </c>
      <c r="R457">
        <f t="shared" ca="1" si="68"/>
        <v>1.0325567042123143</v>
      </c>
    </row>
    <row r="458" spans="1:18" x14ac:dyDescent="0.3">
      <c r="A458" s="2">
        <f ca="1">IFERROR(__xludf.DUMMYFUNCTION("""COMPUTED_VALUE"""),44886.6666666666)</f>
        <v>44886.666666666599</v>
      </c>
      <c r="B458" s="1">
        <f ca="1">IFERROR(__xludf.DUMMYFUNCTION("""COMPUTED_VALUE"""),394.59)</f>
        <v>394.59</v>
      </c>
      <c r="C458" s="1">
        <f ca="1">IFERROR(__xludf.DUMMYFUNCTION("""COMPUTED_VALUE"""),148.01)</f>
        <v>148.01</v>
      </c>
      <c r="D458" s="1">
        <f ca="1">IFERROR(__xludf.DUMMYFUNCTION("""COMPUTED_VALUE"""),242.05)</f>
        <v>242.05</v>
      </c>
      <c r="E458" s="1">
        <f ca="1">IFERROR(__xludf.DUMMYFUNCTION("""COMPUTED_VALUE"""),133.05)</f>
        <v>133.05000000000001</v>
      </c>
      <c r="F458">
        <f t="shared" ca="1" si="61"/>
        <v>-3.6360881751382416E-3</v>
      </c>
      <c r="G458">
        <f t="shared" ca="1" si="62"/>
        <v>-2.1680216802168029E-2</v>
      </c>
      <c r="H458">
        <f t="shared" ca="1" si="63"/>
        <v>3.4408423845452801E-3</v>
      </c>
      <c r="I458">
        <f t="shared" ca="1" si="64"/>
        <v>-5.9025702331141064E-3</v>
      </c>
      <c r="O458">
        <f t="shared" ca="1" si="65"/>
        <v>1.0487999362092337</v>
      </c>
      <c r="P458">
        <f t="shared" ca="1" si="66"/>
        <v>1.1286411468659454</v>
      </c>
      <c r="Q458">
        <f t="shared" ca="1" si="67"/>
        <v>1.0100146046317557</v>
      </c>
      <c r="R458">
        <f t="shared" ca="1" si="68"/>
        <v>1.0264619657460283</v>
      </c>
    </row>
    <row r="459" spans="1:18" x14ac:dyDescent="0.3">
      <c r="A459" s="2">
        <f ca="1">IFERROR(__xludf.DUMMYFUNCTION("""COMPUTED_VALUE"""),44887.6666666666)</f>
        <v>44887.666666666599</v>
      </c>
      <c r="B459" s="1">
        <f ca="1">IFERROR(__xludf.DUMMYFUNCTION("""COMPUTED_VALUE"""),399.9)</f>
        <v>399.9</v>
      </c>
      <c r="C459" s="1">
        <f ca="1">IFERROR(__xludf.DUMMYFUNCTION("""COMPUTED_VALUE"""),150.18)</f>
        <v>150.18</v>
      </c>
      <c r="D459" s="1">
        <f ca="1">IFERROR(__xludf.DUMMYFUNCTION("""COMPUTED_VALUE"""),245.03)</f>
        <v>245.03</v>
      </c>
      <c r="E459" s="1">
        <f ca="1">IFERROR(__xludf.DUMMYFUNCTION("""COMPUTED_VALUE"""),135.04)</f>
        <v>135.04</v>
      </c>
      <c r="F459">
        <f t="shared" ca="1" si="61"/>
        <v>1.3457006006234326E-2</v>
      </c>
      <c r="G459">
        <f t="shared" ca="1" si="62"/>
        <v>1.4661171542463455E-2</v>
      </c>
      <c r="H459">
        <f t="shared" ca="1" si="63"/>
        <v>1.2311505887213343E-2</v>
      </c>
      <c r="I459">
        <f t="shared" ca="1" si="64"/>
        <v>1.495678316422383E-2</v>
      </c>
      <c r="O459">
        <f t="shared" ca="1" si="65"/>
        <v>1.0629136432501394</v>
      </c>
      <c r="P459">
        <f t="shared" ca="1" si="66"/>
        <v>1.1451883483300296</v>
      </c>
      <c r="Q459">
        <f t="shared" ca="1" si="67"/>
        <v>1.0224494053828512</v>
      </c>
      <c r="R459">
        <f t="shared" ca="1" si="68"/>
        <v>1.0418145347940146</v>
      </c>
    </row>
    <row r="460" spans="1:18" x14ac:dyDescent="0.3">
      <c r="A460" s="2">
        <f ca="1">IFERROR(__xludf.DUMMYFUNCTION("""COMPUTED_VALUE"""),44888.6666666666)</f>
        <v>44888.666666666599</v>
      </c>
      <c r="B460" s="1">
        <f ca="1">IFERROR(__xludf.DUMMYFUNCTION("""COMPUTED_VALUE"""),402.42)</f>
        <v>402.42</v>
      </c>
      <c r="C460" s="1">
        <f ca="1">IFERROR(__xludf.DUMMYFUNCTION("""COMPUTED_VALUE"""),151.07)</f>
        <v>151.07</v>
      </c>
      <c r="D460" s="1">
        <f ca="1">IFERROR(__xludf.DUMMYFUNCTION("""COMPUTED_VALUE"""),247.58)</f>
        <v>247.58</v>
      </c>
      <c r="E460" s="1">
        <f ca="1">IFERROR(__xludf.DUMMYFUNCTION("""COMPUTED_VALUE"""),136.48)</f>
        <v>136.47999999999999</v>
      </c>
      <c r="F460">
        <f t="shared" ca="1" si="61"/>
        <v>6.301575393848559E-3</v>
      </c>
      <c r="G460">
        <f t="shared" ca="1" si="62"/>
        <v>5.9262218670927307E-3</v>
      </c>
      <c r="H460">
        <f t="shared" ca="1" si="63"/>
        <v>1.0406888952373225E-2</v>
      </c>
      <c r="I460">
        <f t="shared" ca="1" si="64"/>
        <v>1.0663507109004723E-2</v>
      </c>
      <c r="O460">
        <f t="shared" ca="1" si="65"/>
        <v>1.0696116737102304</v>
      </c>
      <c r="P460">
        <f t="shared" ca="1" si="66"/>
        <v>1.1519749885618429</v>
      </c>
      <c r="Q460">
        <f t="shared" ca="1" si="67"/>
        <v>1.0330899228040906</v>
      </c>
      <c r="R460">
        <f t="shared" ca="1" si="68"/>
        <v>1.0529239314920551</v>
      </c>
    </row>
    <row r="461" spans="1:18" x14ac:dyDescent="0.3">
      <c r="A461" s="2">
        <f ca="1">IFERROR(__xludf.DUMMYFUNCTION("""COMPUTED_VALUE"""),44890.5520833333)</f>
        <v>44890.552083333299</v>
      </c>
      <c r="B461" s="1">
        <f ca="1">IFERROR(__xludf.DUMMYFUNCTION("""COMPUTED_VALUE"""),402.33)</f>
        <v>402.33</v>
      </c>
      <c r="C461" s="1">
        <f ca="1">IFERROR(__xludf.DUMMYFUNCTION("""COMPUTED_VALUE"""),148.11)</f>
        <v>148.11000000000001</v>
      </c>
      <c r="D461" s="1">
        <f ca="1">IFERROR(__xludf.DUMMYFUNCTION("""COMPUTED_VALUE"""),247.49)</f>
        <v>247.49</v>
      </c>
      <c r="E461" s="1">
        <f ca="1">IFERROR(__xludf.DUMMYFUNCTION("""COMPUTED_VALUE"""),136.74)</f>
        <v>136.74</v>
      </c>
      <c r="F461">
        <f t="shared" ca="1" si="61"/>
        <v>-2.2364693603705538E-4</v>
      </c>
      <c r="G461">
        <f t="shared" ca="1" si="62"/>
        <v>-1.959356589660409E-2</v>
      </c>
      <c r="H461">
        <f t="shared" ca="1" si="63"/>
        <v>-3.635188625898837E-4</v>
      </c>
      <c r="I461">
        <f t="shared" ca="1" si="64"/>
        <v>1.9050410316531312E-3</v>
      </c>
      <c r="O461">
        <f t="shared" ca="1" si="65"/>
        <v>1.0693724583366555</v>
      </c>
      <c r="P461">
        <f t="shared" ca="1" si="66"/>
        <v>1.1294036907122167</v>
      </c>
      <c r="Q461">
        <f t="shared" ca="1" si="67"/>
        <v>1.0327143751303998</v>
      </c>
      <c r="R461">
        <f t="shared" ca="1" si="68"/>
        <v>1.0549297947847571</v>
      </c>
    </row>
    <row r="462" spans="1:18" x14ac:dyDescent="0.3">
      <c r="A462" s="2">
        <f ca="1">IFERROR(__xludf.DUMMYFUNCTION("""COMPUTED_VALUE"""),44893.6666666666)</f>
        <v>44893.666666666599</v>
      </c>
      <c r="B462" s="1">
        <f ca="1">IFERROR(__xludf.DUMMYFUNCTION("""COMPUTED_VALUE"""),395.91)</f>
        <v>395.91</v>
      </c>
      <c r="C462" s="1">
        <f ca="1">IFERROR(__xludf.DUMMYFUNCTION("""COMPUTED_VALUE"""),144.22)</f>
        <v>144.22</v>
      </c>
      <c r="D462" s="1">
        <f ca="1">IFERROR(__xludf.DUMMYFUNCTION("""COMPUTED_VALUE"""),241.76)</f>
        <v>241.76</v>
      </c>
      <c r="E462" s="1">
        <f ca="1">IFERROR(__xludf.DUMMYFUNCTION("""COMPUTED_VALUE"""),134.35)</f>
        <v>134.35</v>
      </c>
      <c r="F462">
        <f t="shared" ca="1" si="61"/>
        <v>-1.5957050182685752E-2</v>
      </c>
      <c r="G462">
        <f t="shared" ca="1" si="62"/>
        <v>-2.6264263047734888E-2</v>
      </c>
      <c r="H462">
        <f t="shared" ca="1" si="63"/>
        <v>-2.3152450604064883E-2</v>
      </c>
      <c r="I462">
        <f t="shared" ca="1" si="64"/>
        <v>-1.7478426210326272E-2</v>
      </c>
      <c r="O462">
        <f t="shared" ca="1" si="65"/>
        <v>1.0523084283549955</v>
      </c>
      <c r="P462">
        <f t="shared" ca="1" si="66"/>
        <v>1.0997407350922683</v>
      </c>
      <c r="Q462">
        <f t="shared" ca="1" si="67"/>
        <v>1.0088045065720854</v>
      </c>
      <c r="R462">
        <f t="shared" ca="1" si="68"/>
        <v>1.0364912822095371</v>
      </c>
    </row>
    <row r="463" spans="1:18" x14ac:dyDescent="0.3">
      <c r="A463" s="2">
        <f ca="1">IFERROR(__xludf.DUMMYFUNCTION("""COMPUTED_VALUE"""),44894.6666666666)</f>
        <v>44894.666666666599</v>
      </c>
      <c r="B463" s="1">
        <f ca="1">IFERROR(__xludf.DUMMYFUNCTION("""COMPUTED_VALUE"""),395.23)</f>
        <v>395.23</v>
      </c>
      <c r="C463" s="1">
        <f ca="1">IFERROR(__xludf.DUMMYFUNCTION("""COMPUTED_VALUE"""),141.17)</f>
        <v>141.16999999999999</v>
      </c>
      <c r="D463" s="1">
        <f ca="1">IFERROR(__xludf.DUMMYFUNCTION("""COMPUTED_VALUE"""),240.33)</f>
        <v>240.33</v>
      </c>
      <c r="E463" s="1">
        <f ca="1">IFERROR(__xludf.DUMMYFUNCTION("""COMPUTED_VALUE"""),136.56)</f>
        <v>136.56</v>
      </c>
      <c r="F463">
        <f t="shared" ca="1" si="61"/>
        <v>-1.7175620721881406E-3</v>
      </c>
      <c r="G463">
        <f t="shared" ca="1" si="62"/>
        <v>-2.1148245735681675E-2</v>
      </c>
      <c r="H463">
        <f t="shared" ca="1" si="63"/>
        <v>-5.9149569821309502E-3</v>
      </c>
      <c r="I463">
        <f t="shared" ca="1" si="64"/>
        <v>1.64495720133979E-2</v>
      </c>
      <c r="O463">
        <f t="shared" ca="1" si="65"/>
        <v>1.050501023310209</v>
      </c>
      <c r="P463">
        <f t="shared" ca="1" si="66"/>
        <v>1.076483147780998</v>
      </c>
      <c r="Q463">
        <f t="shared" ca="1" si="67"/>
        <v>1.0028374713123316</v>
      </c>
      <c r="R463">
        <f t="shared" ca="1" si="68"/>
        <v>1.053541120197502</v>
      </c>
    </row>
    <row r="464" spans="1:18" x14ac:dyDescent="0.3">
      <c r="A464" s="2">
        <f ca="1">IFERROR(__xludf.DUMMYFUNCTION("""COMPUTED_VALUE"""),44895.6666666666)</f>
        <v>44895.666666666599</v>
      </c>
      <c r="B464" s="1">
        <f ca="1">IFERROR(__xludf.DUMMYFUNCTION("""COMPUTED_VALUE"""),407.68)</f>
        <v>407.68</v>
      </c>
      <c r="C464" s="1">
        <f ca="1">IFERROR(__xludf.DUMMYFUNCTION("""COMPUTED_VALUE"""),148.03)</f>
        <v>148.03</v>
      </c>
      <c r="D464" s="1">
        <f ca="1">IFERROR(__xludf.DUMMYFUNCTION("""COMPUTED_VALUE"""),255.14)</f>
        <v>255.14</v>
      </c>
      <c r="E464" s="1">
        <f ca="1">IFERROR(__xludf.DUMMYFUNCTION("""COMPUTED_VALUE"""),138.18)</f>
        <v>138.18</v>
      </c>
      <c r="F464">
        <f t="shared" ca="1" si="61"/>
        <v>3.1500645193937679E-2</v>
      </c>
      <c r="G464">
        <f t="shared" ca="1" si="62"/>
        <v>4.8593893886803248E-2</v>
      </c>
      <c r="H464">
        <f t="shared" ca="1" si="63"/>
        <v>6.1623600882120308E-2</v>
      </c>
      <c r="I464">
        <f t="shared" ca="1" si="64"/>
        <v>1.1862917398945551E-2</v>
      </c>
      <c r="O464">
        <f t="shared" ca="1" si="65"/>
        <v>1.0835924833213724</v>
      </c>
      <c r="P464">
        <f t="shared" ca="1" si="66"/>
        <v>1.1287936556351998</v>
      </c>
      <c r="Q464">
        <f t="shared" ca="1" si="67"/>
        <v>1.0646359273941175</v>
      </c>
      <c r="R464">
        <f t="shared" ca="1" si="68"/>
        <v>1.0660391914827976</v>
      </c>
    </row>
    <row r="465" spans="1:18" x14ac:dyDescent="0.3">
      <c r="A465" s="2">
        <f ca="1">IFERROR(__xludf.DUMMYFUNCTION("""COMPUTED_VALUE"""),44896.6666666666)</f>
        <v>44896.666666666599</v>
      </c>
      <c r="B465" s="1">
        <f ca="1">IFERROR(__xludf.DUMMYFUNCTION("""COMPUTED_VALUE"""),407.38)</f>
        <v>407.38</v>
      </c>
      <c r="C465" s="1">
        <f ca="1">IFERROR(__xludf.DUMMYFUNCTION("""COMPUTED_VALUE"""),148.31)</f>
        <v>148.31</v>
      </c>
      <c r="D465" s="1">
        <f ca="1">IFERROR(__xludf.DUMMYFUNCTION("""COMPUTED_VALUE"""),254.69)</f>
        <v>254.69</v>
      </c>
      <c r="E465" s="1">
        <f ca="1">IFERROR(__xludf.DUMMYFUNCTION("""COMPUTED_VALUE"""),136.24)</f>
        <v>136.24</v>
      </c>
      <c r="F465">
        <f t="shared" ca="1" si="61"/>
        <v>-7.3587127158558521E-4</v>
      </c>
      <c r="G465">
        <f t="shared" ca="1" si="62"/>
        <v>1.8915084780112216E-3</v>
      </c>
      <c r="H465">
        <f t="shared" ca="1" si="63"/>
        <v>-1.7637375558516449E-3</v>
      </c>
      <c r="I465">
        <f t="shared" ca="1" si="64"/>
        <v>-1.4039658416558095E-2</v>
      </c>
      <c r="O465">
        <f t="shared" ca="1" si="65"/>
        <v>1.0827950987427901</v>
      </c>
      <c r="P465">
        <f t="shared" ca="1" si="66"/>
        <v>1.130928778404759</v>
      </c>
      <c r="Q465">
        <f t="shared" ca="1" si="67"/>
        <v>1.0627581890256634</v>
      </c>
      <c r="R465">
        <f t="shared" ca="1" si="68"/>
        <v>1.0510723653757152</v>
      </c>
    </row>
    <row r="466" spans="1:18" x14ac:dyDescent="0.3">
      <c r="A466" s="2">
        <f ca="1">IFERROR(__xludf.DUMMYFUNCTION("""COMPUTED_VALUE"""),44897.6666666666)</f>
        <v>44897.666666666599</v>
      </c>
      <c r="B466" s="1">
        <f ca="1">IFERROR(__xludf.DUMMYFUNCTION("""COMPUTED_VALUE"""),406.91)</f>
        <v>406.91</v>
      </c>
      <c r="C466" s="1">
        <f ca="1">IFERROR(__xludf.DUMMYFUNCTION("""COMPUTED_VALUE"""),147.81)</f>
        <v>147.81</v>
      </c>
      <c r="D466" s="1">
        <f ca="1">IFERROR(__xludf.DUMMYFUNCTION("""COMPUTED_VALUE"""),255.02)</f>
        <v>255.02</v>
      </c>
      <c r="E466" s="1">
        <f ca="1">IFERROR(__xludf.DUMMYFUNCTION("""COMPUTED_VALUE"""),135.16)</f>
        <v>135.16</v>
      </c>
      <c r="F466">
        <f t="shared" ca="1" si="61"/>
        <v>-1.1537139771220248E-3</v>
      </c>
      <c r="G466">
        <f t="shared" ca="1" si="62"/>
        <v>-3.3713168363562807E-3</v>
      </c>
      <c r="H466">
        <f t="shared" ca="1" si="63"/>
        <v>1.2956928030154796E-3</v>
      </c>
      <c r="I466">
        <f t="shared" ca="1" si="64"/>
        <v>-7.9271873165003854E-3</v>
      </c>
      <c r="O466">
        <f t="shared" ca="1" si="65"/>
        <v>1.0815458629030112</v>
      </c>
      <c r="P466">
        <f t="shared" ca="1" si="66"/>
        <v>1.1271160591734033</v>
      </c>
      <c r="Q466">
        <f t="shared" ca="1" si="67"/>
        <v>1.0641351971625297</v>
      </c>
      <c r="R466">
        <f t="shared" ca="1" si="68"/>
        <v>1.0427403178521848</v>
      </c>
    </row>
    <row r="467" spans="1:18" x14ac:dyDescent="0.3">
      <c r="A467" s="2">
        <f ca="1">IFERROR(__xludf.DUMMYFUNCTION("""COMPUTED_VALUE"""),44900.6666666666)</f>
        <v>44900.666666666599</v>
      </c>
      <c r="B467" s="1">
        <f ca="1">IFERROR(__xludf.DUMMYFUNCTION("""COMPUTED_VALUE"""),399.59)</f>
        <v>399.59</v>
      </c>
      <c r="C467" s="1">
        <f ca="1">IFERROR(__xludf.DUMMYFUNCTION("""COMPUTED_VALUE"""),146.63)</f>
        <v>146.63</v>
      </c>
      <c r="D467" s="1">
        <f ca="1">IFERROR(__xludf.DUMMYFUNCTION("""COMPUTED_VALUE"""),250.2)</f>
        <v>250.2</v>
      </c>
      <c r="E467" s="1">
        <f ca="1">IFERROR(__xludf.DUMMYFUNCTION("""COMPUTED_VALUE"""),131.37)</f>
        <v>131.37</v>
      </c>
      <c r="F467">
        <f t="shared" ca="1" si="61"/>
        <v>-1.7989235948981469E-2</v>
      </c>
      <c r="G467">
        <f t="shared" ca="1" si="62"/>
        <v>-7.9832217035383721E-3</v>
      </c>
      <c r="H467">
        <f t="shared" ca="1" si="63"/>
        <v>-1.8900478393851547E-2</v>
      </c>
      <c r="I467">
        <f t="shared" ca="1" si="64"/>
        <v>-2.8040840485350636E-2</v>
      </c>
      <c r="O467">
        <f t="shared" ca="1" si="65"/>
        <v>1.0620896791856043</v>
      </c>
      <c r="P467">
        <f t="shared" ca="1" si="66"/>
        <v>1.1181180417874035</v>
      </c>
      <c r="Q467">
        <f t="shared" ca="1" si="67"/>
        <v>1.0440225328604222</v>
      </c>
      <c r="R467">
        <f t="shared" ca="1" si="68"/>
        <v>1.0135010029316478</v>
      </c>
    </row>
    <row r="468" spans="1:18" x14ac:dyDescent="0.3">
      <c r="A468" s="2">
        <f ca="1">IFERROR(__xludf.DUMMYFUNCTION("""COMPUTED_VALUE"""),44901.6666666666)</f>
        <v>44901.666666666599</v>
      </c>
      <c r="B468" s="1">
        <f ca="1">IFERROR(__xludf.DUMMYFUNCTION("""COMPUTED_VALUE"""),393.83)</f>
        <v>393.83</v>
      </c>
      <c r="C468" s="1">
        <f ca="1">IFERROR(__xludf.DUMMYFUNCTION("""COMPUTED_VALUE"""),142.91)</f>
        <v>142.91</v>
      </c>
      <c r="D468" s="1">
        <f ca="1">IFERROR(__xludf.DUMMYFUNCTION("""COMPUTED_VALUE"""),245.12)</f>
        <v>245.12</v>
      </c>
      <c r="E468" s="1">
        <f ca="1">IFERROR(__xludf.DUMMYFUNCTION("""COMPUTED_VALUE"""),131.59)</f>
        <v>131.59</v>
      </c>
      <c r="F468">
        <f t="shared" ca="1" si="61"/>
        <v>-1.4414775144523115E-2</v>
      </c>
      <c r="G468">
        <f t="shared" ca="1" si="62"/>
        <v>-2.5369978858350944E-2</v>
      </c>
      <c r="H468">
        <f t="shared" ca="1" si="63"/>
        <v>-2.0303756994404412E-2</v>
      </c>
      <c r="I468">
        <f t="shared" ca="1" si="64"/>
        <v>1.6746593590621821E-3</v>
      </c>
      <c r="O468">
        <f t="shared" ca="1" si="65"/>
        <v>1.046779895276825</v>
      </c>
      <c r="P468">
        <f t="shared" ca="1" si="66"/>
        <v>1.0897514107061164</v>
      </c>
      <c r="Q468">
        <f t="shared" ca="1" si="67"/>
        <v>1.0228249530565416</v>
      </c>
      <c r="R468">
        <f t="shared" ca="1" si="68"/>
        <v>1.0151982718716261</v>
      </c>
    </row>
    <row r="469" spans="1:18" x14ac:dyDescent="0.3">
      <c r="A469" s="2">
        <f ca="1">IFERROR(__xludf.DUMMYFUNCTION("""COMPUTED_VALUE"""),44902.6666666666)</f>
        <v>44902.666666666599</v>
      </c>
      <c r="B469" s="1">
        <f ca="1">IFERROR(__xludf.DUMMYFUNCTION("""COMPUTED_VALUE"""),393.16)</f>
        <v>393.16</v>
      </c>
      <c r="C469" s="1">
        <f ca="1">IFERROR(__xludf.DUMMYFUNCTION("""COMPUTED_VALUE"""),140.94)</f>
        <v>140.94</v>
      </c>
      <c r="D469" s="1">
        <f ca="1">IFERROR(__xludf.DUMMYFUNCTION("""COMPUTED_VALUE"""),244.37)</f>
        <v>244.37</v>
      </c>
      <c r="E469" s="1">
        <f ca="1">IFERROR(__xludf.DUMMYFUNCTION("""COMPUTED_VALUE"""),131.5)</f>
        <v>131.5</v>
      </c>
      <c r="F469">
        <f t="shared" ca="1" si="61"/>
        <v>-1.701241652489549E-3</v>
      </c>
      <c r="G469">
        <f t="shared" ca="1" si="62"/>
        <v>-1.3784899587152746E-2</v>
      </c>
      <c r="H469">
        <f t="shared" ca="1" si="63"/>
        <v>-3.0597258485639688E-3</v>
      </c>
      <c r="I469">
        <f t="shared" ca="1" si="64"/>
        <v>-6.8394254882592448E-4</v>
      </c>
      <c r="O469">
        <f t="shared" ca="1" si="65"/>
        <v>1.0449990697179914</v>
      </c>
      <c r="P469">
        <f t="shared" ca="1" si="66"/>
        <v>1.0747292969345745</v>
      </c>
      <c r="Q469">
        <f t="shared" ca="1" si="67"/>
        <v>1.0196953891091183</v>
      </c>
      <c r="R469">
        <f t="shared" ca="1" si="68"/>
        <v>1.0145039345779985</v>
      </c>
    </row>
    <row r="470" spans="1:18" x14ac:dyDescent="0.3">
      <c r="A470" s="2">
        <f ca="1">IFERROR(__xludf.DUMMYFUNCTION("""COMPUTED_VALUE"""),44903.6666666666)</f>
        <v>44903.666666666599</v>
      </c>
      <c r="B470" s="1">
        <f ca="1">IFERROR(__xludf.DUMMYFUNCTION("""COMPUTED_VALUE"""),396.24)</f>
        <v>396.24</v>
      </c>
      <c r="C470" s="1">
        <f ca="1">IFERROR(__xludf.DUMMYFUNCTION("""COMPUTED_VALUE"""),142.65)</f>
        <v>142.65</v>
      </c>
      <c r="D470" s="1">
        <f ca="1">IFERROR(__xludf.DUMMYFUNCTION("""COMPUTED_VALUE"""),247.4)</f>
        <v>247.4</v>
      </c>
      <c r="E470" s="1">
        <f ca="1">IFERROR(__xludf.DUMMYFUNCTION("""COMPUTED_VALUE"""),132.88)</f>
        <v>132.88</v>
      </c>
      <c r="F470">
        <f t="shared" ca="1" si="61"/>
        <v>7.8339607284565668E-3</v>
      </c>
      <c r="G470">
        <f t="shared" ca="1" si="62"/>
        <v>1.2132822477650121E-2</v>
      </c>
      <c r="H470">
        <f t="shared" ca="1" si="63"/>
        <v>1.2399230674796419E-2</v>
      </c>
      <c r="I470">
        <f t="shared" ca="1" si="64"/>
        <v>1.0494296577946734E-2</v>
      </c>
      <c r="O470">
        <f t="shared" ca="1" si="65"/>
        <v>1.0531855513914357</v>
      </c>
      <c r="P470">
        <f t="shared" ca="1" si="66"/>
        <v>1.0877687967058114</v>
      </c>
      <c r="Q470">
        <f t="shared" ca="1" si="67"/>
        <v>1.0323388274567085</v>
      </c>
      <c r="R470">
        <f t="shared" ca="1" si="68"/>
        <v>1.0251504397469537</v>
      </c>
    </row>
    <row r="471" spans="1:18" x14ac:dyDescent="0.3">
      <c r="A471" s="2">
        <f ca="1">IFERROR(__xludf.DUMMYFUNCTION("""COMPUTED_VALUE"""),44904.6666666666)</f>
        <v>44904.666666666599</v>
      </c>
      <c r="B471" s="1">
        <f ca="1">IFERROR(__xludf.DUMMYFUNCTION("""COMPUTED_VALUE"""),393.28)</f>
        <v>393.28</v>
      </c>
      <c r="C471" s="1">
        <f ca="1">IFERROR(__xludf.DUMMYFUNCTION("""COMPUTED_VALUE"""),142.16)</f>
        <v>142.16</v>
      </c>
      <c r="D471" s="1">
        <f ca="1">IFERROR(__xludf.DUMMYFUNCTION("""COMPUTED_VALUE"""),245.42)</f>
        <v>245.42</v>
      </c>
      <c r="E471" s="1">
        <f ca="1">IFERROR(__xludf.DUMMYFUNCTION("""COMPUTED_VALUE"""),132.16)</f>
        <v>132.16</v>
      </c>
      <c r="F471">
        <f t="shared" ca="1" si="61"/>
        <v>-7.4702200686453573E-3</v>
      </c>
      <c r="G471">
        <f t="shared" ca="1" si="62"/>
        <v>-3.4349807220470318E-3</v>
      </c>
      <c r="H471">
        <f t="shared" ca="1" si="63"/>
        <v>-8.0032336297494663E-3</v>
      </c>
      <c r="I471">
        <f t="shared" ca="1" si="64"/>
        <v>-5.4184226369656746E-3</v>
      </c>
      <c r="O471">
        <f t="shared" ca="1" si="65"/>
        <v>1.0453180235494239</v>
      </c>
      <c r="P471">
        <f t="shared" ca="1" si="66"/>
        <v>1.0840323318590825</v>
      </c>
      <c r="Q471">
        <f t="shared" ca="1" si="67"/>
        <v>1.0240767786355109</v>
      </c>
      <c r="R471">
        <f t="shared" ca="1" si="68"/>
        <v>1.0195957413979335</v>
      </c>
    </row>
    <row r="472" spans="1:18" x14ac:dyDescent="0.3">
      <c r="A472" s="2">
        <f ca="1">IFERROR(__xludf.DUMMYFUNCTION("""COMPUTED_VALUE"""),44907.6666666666)</f>
        <v>44907.666666666599</v>
      </c>
      <c r="B472" s="1">
        <f ca="1">IFERROR(__xludf.DUMMYFUNCTION("""COMPUTED_VALUE"""),398.95)</f>
        <v>398.95</v>
      </c>
      <c r="C472" s="1">
        <f ca="1">IFERROR(__xludf.DUMMYFUNCTION("""COMPUTED_VALUE"""),144.49)</f>
        <v>144.49</v>
      </c>
      <c r="D472" s="1">
        <f ca="1">IFERROR(__xludf.DUMMYFUNCTION("""COMPUTED_VALUE"""),252.51)</f>
        <v>252.51</v>
      </c>
      <c r="E472" s="1">
        <f ca="1">IFERROR(__xludf.DUMMYFUNCTION("""COMPUTED_VALUE"""),134.21)</f>
        <v>134.21</v>
      </c>
      <c r="F472">
        <f t="shared" ca="1" si="61"/>
        <v>1.4417209113100123E-2</v>
      </c>
      <c r="G472">
        <f t="shared" ca="1" si="62"/>
        <v>1.6389983117614044E-2</v>
      </c>
      <c r="H472">
        <f t="shared" ca="1" si="63"/>
        <v>2.8889251079781613E-2</v>
      </c>
      <c r="I472">
        <f t="shared" ca="1" si="64"/>
        <v>1.551150121065384E-2</v>
      </c>
      <c r="O472">
        <f t="shared" ca="1" si="65"/>
        <v>1.0603885920846285</v>
      </c>
      <c r="P472">
        <f t="shared" ca="1" si="66"/>
        <v>1.1017996034772006</v>
      </c>
      <c r="Q472">
        <f t="shared" ca="1" si="67"/>
        <v>1.053661589818486</v>
      </c>
      <c r="R472">
        <f t="shared" ca="1" si="68"/>
        <v>1.0354112019750052</v>
      </c>
    </row>
    <row r="473" spans="1:18" x14ac:dyDescent="0.3">
      <c r="A473" s="2">
        <f ca="1">IFERROR(__xludf.DUMMYFUNCTION("""COMPUTED_VALUE"""),44908.6666666666)</f>
        <v>44908.666666666599</v>
      </c>
      <c r="B473" s="1">
        <f ca="1">IFERROR(__xludf.DUMMYFUNCTION("""COMPUTED_VALUE"""),401.97)</f>
        <v>401.97</v>
      </c>
      <c r="C473" s="1">
        <f ca="1">IFERROR(__xludf.DUMMYFUNCTION("""COMPUTED_VALUE"""),145.47)</f>
        <v>145.47</v>
      </c>
      <c r="D473" s="1">
        <f ca="1">IFERROR(__xludf.DUMMYFUNCTION("""COMPUTED_VALUE"""),256.92)</f>
        <v>256.92</v>
      </c>
      <c r="E473" s="1">
        <f ca="1">IFERROR(__xludf.DUMMYFUNCTION("""COMPUTED_VALUE"""),134.08)</f>
        <v>134.08000000000001</v>
      </c>
      <c r="F473">
        <f t="shared" ca="1" si="61"/>
        <v>7.5698709111418445E-3</v>
      </c>
      <c r="G473">
        <f t="shared" ca="1" si="62"/>
        <v>6.782476295937364E-3</v>
      </c>
      <c r="H473">
        <f t="shared" ca="1" si="63"/>
        <v>1.7464654865153955E-2</v>
      </c>
      <c r="I473">
        <f t="shared" ca="1" si="64"/>
        <v>-9.6863124953427797E-4</v>
      </c>
      <c r="O473">
        <f t="shared" ca="1" si="65"/>
        <v>1.0684155968423565</v>
      </c>
      <c r="P473">
        <f t="shared" ca="1" si="66"/>
        <v>1.1092725331706581</v>
      </c>
      <c r="Q473">
        <f t="shared" ca="1" si="67"/>
        <v>1.0720634258293353</v>
      </c>
      <c r="R473">
        <f t="shared" ca="1" si="68"/>
        <v>1.0344082703286543</v>
      </c>
    </row>
    <row r="474" spans="1:18" x14ac:dyDescent="0.3">
      <c r="A474" s="2">
        <f ca="1">IFERROR(__xludf.DUMMYFUNCTION("""COMPUTED_VALUE"""),44909.6666666666)</f>
        <v>44909.666666666599</v>
      </c>
      <c r="B474" s="1">
        <f ca="1">IFERROR(__xludf.DUMMYFUNCTION("""COMPUTED_VALUE"""),399.4)</f>
        <v>399.4</v>
      </c>
      <c r="C474" s="1">
        <f ca="1">IFERROR(__xludf.DUMMYFUNCTION("""COMPUTED_VALUE"""),143.21)</f>
        <v>143.21</v>
      </c>
      <c r="D474" s="1">
        <f ca="1">IFERROR(__xludf.DUMMYFUNCTION("""COMPUTED_VALUE"""),257.22)</f>
        <v>257.22000000000003</v>
      </c>
      <c r="E474" s="1">
        <f ca="1">IFERROR(__xludf.DUMMYFUNCTION("""COMPUTED_VALUE"""),133.41)</f>
        <v>133.41</v>
      </c>
      <c r="F474">
        <f t="shared" ca="1" si="61"/>
        <v>-6.3935119536285044E-3</v>
      </c>
      <c r="G474">
        <f t="shared" ca="1" si="62"/>
        <v>-1.5535849316010111E-2</v>
      </c>
      <c r="H474">
        <f t="shared" ca="1" si="63"/>
        <v>1.1676786548342338E-3</v>
      </c>
      <c r="I474">
        <f t="shared" ca="1" si="64"/>
        <v>-4.9970167064440326E-3</v>
      </c>
      <c r="O474">
        <f t="shared" ca="1" si="65"/>
        <v>1.0615846689525019</v>
      </c>
      <c r="P474">
        <f t="shared" ca="1" si="66"/>
        <v>1.09203904224493</v>
      </c>
      <c r="Q474">
        <f t="shared" ca="1" si="67"/>
        <v>1.0733152514083046</v>
      </c>
      <c r="R474">
        <f t="shared" ca="1" si="68"/>
        <v>1.0292393149205381</v>
      </c>
    </row>
    <row r="475" spans="1:18" x14ac:dyDescent="0.3">
      <c r="A475" s="2">
        <f ca="1">IFERROR(__xludf.DUMMYFUNCTION("""COMPUTED_VALUE"""),44910.6666666666)</f>
        <v>44910.666666666599</v>
      </c>
      <c r="B475" s="1">
        <f ca="1">IFERROR(__xludf.DUMMYFUNCTION("""COMPUTED_VALUE"""),389.63)</f>
        <v>389.63</v>
      </c>
      <c r="C475" s="1">
        <f ca="1">IFERROR(__xludf.DUMMYFUNCTION("""COMPUTED_VALUE"""),136.5)</f>
        <v>136.5</v>
      </c>
      <c r="D475" s="1">
        <f ca="1">IFERROR(__xludf.DUMMYFUNCTION("""COMPUTED_VALUE"""),249.01)</f>
        <v>249.01</v>
      </c>
      <c r="E475" s="1">
        <f ca="1">IFERROR(__xludf.DUMMYFUNCTION("""COMPUTED_VALUE"""),130.1)</f>
        <v>130.1</v>
      </c>
      <c r="F475">
        <f t="shared" ca="1" si="61"/>
        <v>-2.4461692538808168E-2</v>
      </c>
      <c r="G475">
        <f t="shared" ca="1" si="62"/>
        <v>-4.6854269953215608E-2</v>
      </c>
      <c r="H475">
        <f t="shared" ca="1" si="63"/>
        <v>-3.191820231708279E-2</v>
      </c>
      <c r="I475">
        <f t="shared" ca="1" si="64"/>
        <v>-2.4810733828048888E-2</v>
      </c>
      <c r="O475">
        <f t="shared" ca="1" si="65"/>
        <v>1.0356165111766733</v>
      </c>
      <c r="P475">
        <f t="shared" ca="1" si="66"/>
        <v>1.0408723501601349</v>
      </c>
      <c r="Q475">
        <f t="shared" ca="1" si="67"/>
        <v>1.0390569580638438</v>
      </c>
      <c r="R475">
        <f t="shared" ca="1" si="68"/>
        <v>1.0037031322326813</v>
      </c>
    </row>
    <row r="476" spans="1:18" x14ac:dyDescent="0.3">
      <c r="A476" s="2">
        <f ca="1">IFERROR(__xludf.DUMMYFUNCTION("""COMPUTED_VALUE"""),44911.6666666666)</f>
        <v>44911.666666666599</v>
      </c>
      <c r="B476" s="1">
        <f ca="1">IFERROR(__xludf.DUMMYFUNCTION("""COMPUTED_VALUE"""),383.27)</f>
        <v>383.27</v>
      </c>
      <c r="C476" s="1">
        <f ca="1">IFERROR(__xludf.DUMMYFUNCTION("""COMPUTED_VALUE"""),134.51)</f>
        <v>134.51</v>
      </c>
      <c r="D476" s="1">
        <f ca="1">IFERROR(__xludf.DUMMYFUNCTION("""COMPUTED_VALUE"""),244.69)</f>
        <v>244.69</v>
      </c>
      <c r="E476" s="1">
        <f ca="1">IFERROR(__xludf.DUMMYFUNCTION("""COMPUTED_VALUE"""),129.29)</f>
        <v>129.29</v>
      </c>
      <c r="F476">
        <f t="shared" ca="1" si="61"/>
        <v>-1.6323178400020566E-2</v>
      </c>
      <c r="G476">
        <f t="shared" ca="1" si="62"/>
        <v>-1.4578754578754646E-2</v>
      </c>
      <c r="H476">
        <f t="shared" ca="1" si="63"/>
        <v>-1.7348700855387308E-2</v>
      </c>
      <c r="I476">
        <f t="shared" ca="1" si="64"/>
        <v>-6.2259800153728079E-3</v>
      </c>
      <c r="O476">
        <f t="shared" ca="1" si="65"/>
        <v>1.0187119581107296</v>
      </c>
      <c r="P476">
        <f t="shared" ca="1" si="66"/>
        <v>1.0256977276193386</v>
      </c>
      <c r="Q476">
        <f t="shared" ca="1" si="67"/>
        <v>1.0210306697266855</v>
      </c>
      <c r="R476">
        <f t="shared" ca="1" si="68"/>
        <v>0.99745409659003348</v>
      </c>
    </row>
    <row r="477" spans="1:18" x14ac:dyDescent="0.3">
      <c r="A477" s="2">
        <f ca="1">IFERROR(__xludf.DUMMYFUNCTION("""COMPUTED_VALUE"""),44914.6666666666)</f>
        <v>44914.666666666599</v>
      </c>
      <c r="B477" s="1">
        <f ca="1">IFERROR(__xludf.DUMMYFUNCTION("""COMPUTED_VALUE"""),380.02)</f>
        <v>380.02</v>
      </c>
      <c r="C477" s="1">
        <f ca="1">IFERROR(__xludf.DUMMYFUNCTION("""COMPUTED_VALUE"""),132.37)</f>
        <v>132.37</v>
      </c>
      <c r="D477" s="1">
        <f ca="1">IFERROR(__xludf.DUMMYFUNCTION("""COMPUTED_VALUE"""),240.45)</f>
        <v>240.45</v>
      </c>
      <c r="E477" s="1">
        <f ca="1">IFERROR(__xludf.DUMMYFUNCTION("""COMPUTED_VALUE"""),130.06)</f>
        <v>130.06</v>
      </c>
      <c r="F477">
        <f t="shared" ca="1" si="61"/>
        <v>-8.479661857176404E-3</v>
      </c>
      <c r="G477">
        <f t="shared" ca="1" si="62"/>
        <v>-1.5909597799420017E-2</v>
      </c>
      <c r="H477">
        <f t="shared" ca="1" si="63"/>
        <v>-1.7328047733867379E-2</v>
      </c>
      <c r="I477">
        <f t="shared" ca="1" si="64"/>
        <v>5.9556036816459917E-3</v>
      </c>
      <c r="O477">
        <f t="shared" ca="1" si="65"/>
        <v>1.0100736251760885</v>
      </c>
      <c r="P477">
        <f t="shared" ca="1" si="66"/>
        <v>1.0093792893091358</v>
      </c>
      <c r="Q477">
        <f t="shared" ca="1" si="67"/>
        <v>1.003338201543919</v>
      </c>
      <c r="R477">
        <f t="shared" ca="1" si="68"/>
        <v>1.0033945378799578</v>
      </c>
    </row>
    <row r="478" spans="1:18" x14ac:dyDescent="0.3">
      <c r="A478" s="2">
        <f ca="1">IFERROR(__xludf.DUMMYFUNCTION("""COMPUTED_VALUE"""),44915.6666666666)</f>
        <v>44915.666666666599</v>
      </c>
      <c r="B478" s="1">
        <f ca="1">IFERROR(__xludf.DUMMYFUNCTION("""COMPUTED_VALUE"""),380.54)</f>
        <v>380.54</v>
      </c>
      <c r="C478" s="1">
        <f ca="1">IFERROR(__xludf.DUMMYFUNCTION("""COMPUTED_VALUE"""),132.3)</f>
        <v>132.30000000000001</v>
      </c>
      <c r="D478" s="1">
        <f ca="1">IFERROR(__xludf.DUMMYFUNCTION("""COMPUTED_VALUE"""),241.8)</f>
        <v>241.8</v>
      </c>
      <c r="E478" s="1">
        <f ca="1">IFERROR(__xludf.DUMMYFUNCTION("""COMPUTED_VALUE"""),130.69)</f>
        <v>130.69</v>
      </c>
      <c r="F478">
        <f t="shared" ca="1" si="61"/>
        <v>1.3683490342614563E-3</v>
      </c>
      <c r="G478">
        <f t="shared" ca="1" si="62"/>
        <v>-5.2882072977255559E-4</v>
      </c>
      <c r="H478">
        <f t="shared" ca="1" si="63"/>
        <v>5.6144728633812551E-3</v>
      </c>
      <c r="I478">
        <f t="shared" ca="1" si="64"/>
        <v>4.8439181916038404E-3</v>
      </c>
      <c r="O478">
        <f t="shared" ca="1" si="65"/>
        <v>1.0114557584456312</v>
      </c>
      <c r="P478">
        <f t="shared" ca="1" si="66"/>
        <v>1.008845508616746</v>
      </c>
      <c r="Q478">
        <f t="shared" ca="1" si="67"/>
        <v>1.0089714166492811</v>
      </c>
      <c r="R478">
        <f t="shared" ca="1" si="68"/>
        <v>1.0082548989353504</v>
      </c>
    </row>
    <row r="479" spans="1:18" x14ac:dyDescent="0.3">
      <c r="A479" s="2">
        <f ca="1">IFERROR(__xludf.DUMMYFUNCTION("""COMPUTED_VALUE"""),44916.6666666666)</f>
        <v>44916.666666666599</v>
      </c>
      <c r="B479" s="1">
        <f ca="1">IFERROR(__xludf.DUMMYFUNCTION("""COMPUTED_VALUE"""),386.23)</f>
        <v>386.23</v>
      </c>
      <c r="C479" s="1">
        <f ca="1">IFERROR(__xludf.DUMMYFUNCTION("""COMPUTED_VALUE"""),135.45)</f>
        <v>135.44999999999999</v>
      </c>
      <c r="D479" s="1">
        <f ca="1">IFERROR(__xludf.DUMMYFUNCTION("""COMPUTED_VALUE"""),244.43)</f>
        <v>244.43</v>
      </c>
      <c r="E479" s="1">
        <f ca="1">IFERROR(__xludf.DUMMYFUNCTION("""COMPUTED_VALUE"""),132.16)</f>
        <v>132.16</v>
      </c>
      <c r="F479">
        <f t="shared" ca="1" si="61"/>
        <v>1.4952436011982964E-2</v>
      </c>
      <c r="G479">
        <f t="shared" ca="1" si="62"/>
        <v>2.3809523809523635E-2</v>
      </c>
      <c r="H479">
        <f t="shared" ca="1" si="63"/>
        <v>1.0876757650951179E-2</v>
      </c>
      <c r="I479">
        <f t="shared" ca="1" si="64"/>
        <v>1.1247991430101759E-2</v>
      </c>
      <c r="O479">
        <f t="shared" ca="1" si="65"/>
        <v>1.0265794859527413</v>
      </c>
      <c r="P479">
        <f t="shared" ca="1" si="66"/>
        <v>1.0328656397742875</v>
      </c>
      <c r="Q479">
        <f t="shared" ca="1" si="67"/>
        <v>1.0199457542249122</v>
      </c>
      <c r="R479">
        <f t="shared" ca="1" si="68"/>
        <v>1.0195957413979333</v>
      </c>
    </row>
    <row r="480" spans="1:18" x14ac:dyDescent="0.3">
      <c r="A480" s="2">
        <f ca="1">IFERROR(__xludf.DUMMYFUNCTION("""COMPUTED_VALUE"""),44917.6666666666)</f>
        <v>44917.666666666599</v>
      </c>
      <c r="B480" s="1">
        <f ca="1">IFERROR(__xludf.DUMMYFUNCTION("""COMPUTED_VALUE"""),380.72)</f>
        <v>380.72</v>
      </c>
      <c r="C480" s="1">
        <f ca="1">IFERROR(__xludf.DUMMYFUNCTION("""COMPUTED_VALUE"""),132.23)</f>
        <v>132.22999999999999</v>
      </c>
      <c r="D480" s="1">
        <f ca="1">IFERROR(__xludf.DUMMYFUNCTION("""COMPUTED_VALUE"""),238.19)</f>
        <v>238.19</v>
      </c>
      <c r="E480" s="1">
        <f ca="1">IFERROR(__xludf.DUMMYFUNCTION("""COMPUTED_VALUE"""),130.66)</f>
        <v>130.66</v>
      </c>
      <c r="F480">
        <f t="shared" ca="1" si="61"/>
        <v>-1.4266110866582065E-2</v>
      </c>
      <c r="G480">
        <f t="shared" ca="1" si="62"/>
        <v>-2.3772609819121441E-2</v>
      </c>
      <c r="H480">
        <f t="shared" ca="1" si="63"/>
        <v>-2.5528781246164582E-2</v>
      </c>
      <c r="I480">
        <f t="shared" ca="1" si="64"/>
        <v>-1.1349878934624698E-2</v>
      </c>
      <c r="O480">
        <f t="shared" ca="1" si="65"/>
        <v>1.0119341891927807</v>
      </c>
      <c r="P480">
        <f t="shared" ca="1" si="66"/>
        <v>1.0083117279243561</v>
      </c>
      <c r="Q480">
        <f t="shared" ca="1" si="67"/>
        <v>0.9939077821823501</v>
      </c>
      <c r="R480">
        <f t="shared" ca="1" si="68"/>
        <v>1.0080234531708079</v>
      </c>
    </row>
    <row r="481" spans="1:18" x14ac:dyDescent="0.3">
      <c r="A481" s="2">
        <f ca="1">IFERROR(__xludf.DUMMYFUNCTION("""COMPUTED_VALUE"""),44918.6666666666)</f>
        <v>44918.666666666599</v>
      </c>
      <c r="B481" s="1">
        <f ca="1">IFERROR(__xludf.DUMMYFUNCTION("""COMPUTED_VALUE"""),382.91)</f>
        <v>382.91</v>
      </c>
      <c r="C481" s="1">
        <f ca="1">IFERROR(__xludf.DUMMYFUNCTION("""COMPUTED_VALUE"""),131.86)</f>
        <v>131.86000000000001</v>
      </c>
      <c r="D481" s="1">
        <f ca="1">IFERROR(__xludf.DUMMYFUNCTION("""COMPUTED_VALUE"""),238.73)</f>
        <v>238.73</v>
      </c>
      <c r="E481" s="1">
        <f ca="1">IFERROR(__xludf.DUMMYFUNCTION("""COMPUTED_VALUE"""),131.28)</f>
        <v>131.28</v>
      </c>
      <c r="F481">
        <f t="shared" ca="1" si="61"/>
        <v>5.7522588779155221E-3</v>
      </c>
      <c r="G481">
        <f t="shared" ca="1" si="62"/>
        <v>-2.7981547303938302E-3</v>
      </c>
      <c r="H481">
        <f t="shared" ca="1" si="63"/>
        <v>2.2670976951173101E-3</v>
      </c>
      <c r="I481">
        <f t="shared" ca="1" si="64"/>
        <v>4.7451400581662679E-3</v>
      </c>
      <c r="O481">
        <f t="shared" ca="1" si="65"/>
        <v>1.017755096616431</v>
      </c>
      <c r="P481">
        <f t="shared" ca="1" si="66"/>
        <v>1.0054903156931529</v>
      </c>
      <c r="Q481">
        <f t="shared" ca="1" si="67"/>
        <v>0.99616106822449491</v>
      </c>
      <c r="R481">
        <f t="shared" ca="1" si="68"/>
        <v>1.0128066656380197</v>
      </c>
    </row>
    <row r="482" spans="1:18" x14ac:dyDescent="0.3">
      <c r="A482" s="2">
        <f ca="1">IFERROR(__xludf.DUMMYFUNCTION("""COMPUTED_VALUE"""),44922.6666666666)</f>
        <v>44922.666666666599</v>
      </c>
      <c r="B482" s="1">
        <f ca="1">IFERROR(__xludf.DUMMYFUNCTION("""COMPUTED_VALUE"""),381.4)</f>
        <v>381.4</v>
      </c>
      <c r="C482" s="1">
        <f ca="1">IFERROR(__xludf.DUMMYFUNCTION("""COMPUTED_VALUE"""),130.03)</f>
        <v>130.03</v>
      </c>
      <c r="D482" s="1">
        <f ca="1">IFERROR(__xludf.DUMMYFUNCTION("""COMPUTED_VALUE"""),236.96)</f>
        <v>236.96</v>
      </c>
      <c r="E482" s="1">
        <f ca="1">IFERROR(__xludf.DUMMYFUNCTION("""COMPUTED_VALUE"""),131.74)</f>
        <v>131.74</v>
      </c>
      <c r="F482">
        <f t="shared" ca="1" si="61"/>
        <v>-3.9434854143272505E-3</v>
      </c>
      <c r="G482">
        <f t="shared" ca="1" si="62"/>
        <v>-1.3878355831943063E-2</v>
      </c>
      <c r="H482">
        <f t="shared" ca="1" si="63"/>
        <v>-7.4142336530808109E-3</v>
      </c>
      <c r="I482">
        <f t="shared" ca="1" si="64"/>
        <v>3.5039609993906761E-3</v>
      </c>
      <c r="O482">
        <f t="shared" ca="1" si="65"/>
        <v>1.0137415942375669</v>
      </c>
      <c r="P482">
        <f t="shared" ca="1" si="66"/>
        <v>0.99153576330639059</v>
      </c>
      <c r="Q482">
        <f t="shared" ca="1" si="67"/>
        <v>0.98877529730857594</v>
      </c>
      <c r="R482">
        <f t="shared" ca="1" si="68"/>
        <v>1.0163555006943383</v>
      </c>
    </row>
    <row r="483" spans="1:18" x14ac:dyDescent="0.3">
      <c r="A483" s="2">
        <f ca="1">IFERROR(__xludf.DUMMYFUNCTION("""COMPUTED_VALUE"""),44923.6666666666)</f>
        <v>44923.666666666599</v>
      </c>
      <c r="B483" s="1">
        <f ca="1">IFERROR(__xludf.DUMMYFUNCTION("""COMPUTED_VALUE"""),376.66)</f>
        <v>376.66</v>
      </c>
      <c r="C483" s="1">
        <f ca="1">IFERROR(__xludf.DUMMYFUNCTION("""COMPUTED_VALUE"""),126.04)</f>
        <v>126.04</v>
      </c>
      <c r="D483" s="1">
        <f ca="1">IFERROR(__xludf.DUMMYFUNCTION("""COMPUTED_VALUE"""),234.53)</f>
        <v>234.53</v>
      </c>
      <c r="E483" s="1">
        <f ca="1">IFERROR(__xludf.DUMMYFUNCTION("""COMPUTED_VALUE"""),132.46)</f>
        <v>132.46</v>
      </c>
      <c r="F483">
        <f t="shared" ca="1" si="61"/>
        <v>-1.2427897220765476E-2</v>
      </c>
      <c r="G483">
        <f t="shared" ca="1" si="62"/>
        <v>-3.0685226486195455E-2</v>
      </c>
      <c r="H483">
        <f t="shared" ca="1" si="63"/>
        <v>-1.0254895340985849E-2</v>
      </c>
      <c r="I483">
        <f t="shared" ca="1" si="64"/>
        <v>5.4653104599969547E-3</v>
      </c>
      <c r="O483">
        <f t="shared" ca="1" si="65"/>
        <v>1.0011429178959677</v>
      </c>
      <c r="P483">
        <f t="shared" ca="1" si="66"/>
        <v>0.96111026384017129</v>
      </c>
      <c r="Q483">
        <f t="shared" ca="1" si="67"/>
        <v>0.97863551011892425</v>
      </c>
      <c r="R483">
        <f t="shared" ca="1" si="68"/>
        <v>1.0219101990433586</v>
      </c>
    </row>
    <row r="484" spans="1:18" x14ac:dyDescent="0.3">
      <c r="A484" s="2">
        <f ca="1">IFERROR(__xludf.DUMMYFUNCTION("""COMPUTED_VALUE"""),44924.6666666666)</f>
        <v>44924.666666666599</v>
      </c>
      <c r="B484" s="1">
        <f ca="1">IFERROR(__xludf.DUMMYFUNCTION("""COMPUTED_VALUE"""),383.44)</f>
        <v>383.44</v>
      </c>
      <c r="C484" s="1">
        <f ca="1">IFERROR(__xludf.DUMMYFUNCTION("""COMPUTED_VALUE"""),129.61)</f>
        <v>129.61000000000001</v>
      </c>
      <c r="D484" s="1">
        <f ca="1">IFERROR(__xludf.DUMMYFUNCTION("""COMPUTED_VALUE"""),241.01)</f>
        <v>241.01</v>
      </c>
      <c r="E484" s="1">
        <f ca="1">IFERROR(__xludf.DUMMYFUNCTION("""COMPUTED_VALUE"""),133.22)</f>
        <v>133.22</v>
      </c>
      <c r="F484">
        <f t="shared" ca="1" si="61"/>
        <v>1.800031858970948E-2</v>
      </c>
      <c r="G484">
        <f t="shared" ca="1" si="62"/>
        <v>2.8324341478895645E-2</v>
      </c>
      <c r="H484">
        <f t="shared" ca="1" si="63"/>
        <v>2.7629727540186711E-2</v>
      </c>
      <c r="I484">
        <f t="shared" ca="1" si="64"/>
        <v>5.7375811565755011E-3</v>
      </c>
      <c r="O484">
        <f t="shared" ca="1" si="65"/>
        <v>1.0191638093719264</v>
      </c>
      <c r="P484">
        <f t="shared" ca="1" si="66"/>
        <v>0.98833307915205171</v>
      </c>
      <c r="Q484">
        <f t="shared" ca="1" si="67"/>
        <v>1.0056749426246616</v>
      </c>
      <c r="R484">
        <f t="shared" ca="1" si="68"/>
        <v>1.027773491745102</v>
      </c>
    </row>
    <row r="485" spans="1:18" x14ac:dyDescent="0.3">
      <c r="A485" s="2">
        <f ca="1">IFERROR(__xludf.DUMMYFUNCTION("""COMPUTED_VALUE"""),44925.6666666666)</f>
        <v>44925.666666666599</v>
      </c>
      <c r="B485" s="1">
        <f ca="1">IFERROR(__xludf.DUMMYFUNCTION("""COMPUTED_VALUE"""),382.43)</f>
        <v>382.43</v>
      </c>
      <c r="C485" s="1">
        <f ca="1">IFERROR(__xludf.DUMMYFUNCTION("""COMPUTED_VALUE"""),129.93)</f>
        <v>129.93</v>
      </c>
      <c r="D485" s="1">
        <f ca="1">IFERROR(__xludf.DUMMYFUNCTION("""COMPUTED_VALUE"""),239.82)</f>
        <v>239.82</v>
      </c>
      <c r="E485" s="1">
        <f ca="1">IFERROR(__xludf.DUMMYFUNCTION("""COMPUTED_VALUE"""),134.1)</f>
        <v>134.1</v>
      </c>
      <c r="F485">
        <f t="shared" ca="1" si="61"/>
        <v>-2.6340496557479419E-3</v>
      </c>
      <c r="G485">
        <f t="shared" ca="1" si="62"/>
        <v>2.4689452974307009E-3</v>
      </c>
      <c r="H485">
        <f t="shared" ca="1" si="63"/>
        <v>-4.9375544583212224E-3</v>
      </c>
      <c r="I485">
        <f t="shared" ca="1" si="64"/>
        <v>6.6056147725566394E-3</v>
      </c>
      <c r="O485">
        <f t="shared" ca="1" si="65"/>
        <v>1.0164792812906995</v>
      </c>
      <c r="P485">
        <f t="shared" ca="1" si="66"/>
        <v>0.99077321946011931</v>
      </c>
      <c r="Q485">
        <f t="shared" ca="1" si="67"/>
        <v>1.0007093678280832</v>
      </c>
      <c r="R485">
        <f t="shared" ca="1" si="68"/>
        <v>1.0345625675050156</v>
      </c>
    </row>
    <row r="486" spans="1:18" x14ac:dyDescent="0.3">
      <c r="A486" s="2">
        <f ca="1">IFERROR(__xludf.DUMMYFUNCTION("""COMPUTED_VALUE"""),44929.6666666666)</f>
        <v>44929.666666666599</v>
      </c>
      <c r="B486" s="1">
        <f ca="1">IFERROR(__xludf.DUMMYFUNCTION("""COMPUTED_VALUE"""),380.82)</f>
        <v>380.82</v>
      </c>
      <c r="C486" s="1">
        <f ca="1">IFERROR(__xludf.DUMMYFUNCTION("""COMPUTED_VALUE"""),125.07)</f>
        <v>125.07</v>
      </c>
      <c r="D486" s="1">
        <f ca="1">IFERROR(__xludf.DUMMYFUNCTION("""COMPUTED_VALUE"""),239.58)</f>
        <v>239.58</v>
      </c>
      <c r="E486" s="1">
        <f ca="1">IFERROR(__xludf.DUMMYFUNCTION("""COMPUTED_VALUE"""),135.12)</f>
        <v>135.12</v>
      </c>
      <c r="F486">
        <f t="shared" ca="1" si="61"/>
        <v>-4.2099207698141194E-3</v>
      </c>
      <c r="G486">
        <f t="shared" ca="1" si="62"/>
        <v>-3.740475640729634E-2</v>
      </c>
      <c r="H486">
        <f t="shared" ca="1" si="63"/>
        <v>-1.0007505629221112E-3</v>
      </c>
      <c r="I486">
        <f t="shared" ca="1" si="64"/>
        <v>7.6062639821029851E-3</v>
      </c>
      <c r="O486">
        <f t="shared" ca="1" si="65"/>
        <v>1.0121999840523082</v>
      </c>
      <c r="P486">
        <f t="shared" ca="1" si="66"/>
        <v>0.95371358853134081</v>
      </c>
      <c r="Q486">
        <f t="shared" ca="1" si="67"/>
        <v>0.99970790736490778</v>
      </c>
      <c r="R486">
        <f t="shared" ca="1" si="68"/>
        <v>1.0424317234994611</v>
      </c>
    </row>
    <row r="487" spans="1:18" x14ac:dyDescent="0.3">
      <c r="A487" s="2">
        <f ca="1">IFERROR(__xludf.DUMMYFUNCTION("""COMPUTED_VALUE"""),44930.6666666666)</f>
        <v>44930.666666666599</v>
      </c>
      <c r="B487" s="1">
        <f ca="1">IFERROR(__xludf.DUMMYFUNCTION("""COMPUTED_VALUE"""),383.76)</f>
        <v>383.76</v>
      </c>
      <c r="C487" s="1">
        <f ca="1">IFERROR(__xludf.DUMMYFUNCTION("""COMPUTED_VALUE"""),126.36)</f>
        <v>126.36</v>
      </c>
      <c r="D487" s="1">
        <f ca="1">IFERROR(__xludf.DUMMYFUNCTION("""COMPUTED_VALUE"""),229.1)</f>
        <v>229.1</v>
      </c>
      <c r="E487" s="1">
        <f ca="1">IFERROR(__xludf.DUMMYFUNCTION("""COMPUTED_VALUE"""),136.38)</f>
        <v>136.38</v>
      </c>
      <c r="F487">
        <f t="shared" ca="1" si="61"/>
        <v>7.7201827635103139E-3</v>
      </c>
      <c r="G487">
        <f t="shared" ca="1" si="62"/>
        <v>1.0314224034540707E-2</v>
      </c>
      <c r="H487">
        <f t="shared" ca="1" si="63"/>
        <v>-4.3743217296936379E-2</v>
      </c>
      <c r="I487">
        <f t="shared" ca="1" si="64"/>
        <v>9.3250444049732886E-3</v>
      </c>
      <c r="O487">
        <f t="shared" ca="1" si="65"/>
        <v>1.0200143529224142</v>
      </c>
      <c r="P487">
        <f t="shared" ca="1" si="66"/>
        <v>0.96355040414823878</v>
      </c>
      <c r="Q487">
        <f t="shared" ca="1" si="67"/>
        <v>0.95597746713957898</v>
      </c>
      <c r="R487">
        <f t="shared" ca="1" si="68"/>
        <v>1.0521524456102465</v>
      </c>
    </row>
    <row r="488" spans="1:18" x14ac:dyDescent="0.3">
      <c r="A488" s="2">
        <f ca="1">IFERROR(__xludf.DUMMYFUNCTION("""COMPUTED_VALUE"""),44931.6666666666)</f>
        <v>44931.666666666599</v>
      </c>
      <c r="B488" s="1">
        <f ca="1">IFERROR(__xludf.DUMMYFUNCTION("""COMPUTED_VALUE"""),379.38)</f>
        <v>379.38</v>
      </c>
      <c r="C488" s="1">
        <f ca="1">IFERROR(__xludf.DUMMYFUNCTION("""COMPUTED_VALUE"""),125.02)</f>
        <v>125.02</v>
      </c>
      <c r="D488" s="1">
        <f ca="1">IFERROR(__xludf.DUMMYFUNCTION("""COMPUTED_VALUE"""),222.31)</f>
        <v>222.31</v>
      </c>
      <c r="E488" s="1">
        <f ca="1">IFERROR(__xludf.DUMMYFUNCTION("""COMPUTED_VALUE"""),135.35)</f>
        <v>135.35</v>
      </c>
      <c r="F488">
        <f t="shared" ca="1" si="61"/>
        <v>-1.1413383364602864E-2</v>
      </c>
      <c r="G488">
        <f t="shared" ca="1" si="62"/>
        <v>-1.0604621715732853E-2</v>
      </c>
      <c r="H488">
        <f t="shared" ca="1" si="63"/>
        <v>-2.9637712789175E-2</v>
      </c>
      <c r="I488">
        <f t="shared" ca="1" si="64"/>
        <v>-7.5524270420882916E-3</v>
      </c>
      <c r="O488">
        <f t="shared" ca="1" si="65"/>
        <v>1.0083725380751134</v>
      </c>
      <c r="P488">
        <f t="shared" ca="1" si="66"/>
        <v>0.95333231660820517</v>
      </c>
      <c r="Q488">
        <f t="shared" ca="1" si="67"/>
        <v>0.92764448153557311</v>
      </c>
      <c r="R488">
        <f t="shared" ca="1" si="68"/>
        <v>1.0442061410276204</v>
      </c>
    </row>
    <row r="489" spans="1:18" x14ac:dyDescent="0.3">
      <c r="A489" s="2">
        <f ca="1">IFERROR(__xludf.DUMMYFUNCTION("""COMPUTED_VALUE"""),44932.6666666666)</f>
        <v>44932.666666666599</v>
      </c>
      <c r="B489" s="1">
        <f ca="1">IFERROR(__xludf.DUMMYFUNCTION("""COMPUTED_VALUE"""),388.08)</f>
        <v>388.08</v>
      </c>
      <c r="C489" s="1">
        <f ca="1">IFERROR(__xludf.DUMMYFUNCTION("""COMPUTED_VALUE"""),129.62)</f>
        <v>129.62</v>
      </c>
      <c r="D489" s="1">
        <f ca="1">IFERROR(__xludf.DUMMYFUNCTION("""COMPUTED_VALUE"""),224.93)</f>
        <v>224.93</v>
      </c>
      <c r="E489" s="1">
        <f ca="1">IFERROR(__xludf.DUMMYFUNCTION("""COMPUTED_VALUE"""),137.94)</f>
        <v>137.94</v>
      </c>
      <c r="F489">
        <f t="shared" ca="1" si="61"/>
        <v>2.2932152459275632E-2</v>
      </c>
      <c r="G489">
        <f t="shared" ca="1" si="62"/>
        <v>3.6794112941929358E-2</v>
      </c>
      <c r="H489">
        <f t="shared" ca="1" si="63"/>
        <v>1.1785344788808442E-2</v>
      </c>
      <c r="I489">
        <f t="shared" ca="1" si="64"/>
        <v>1.913557443664576E-2</v>
      </c>
      <c r="O489">
        <f t="shared" ca="1" si="65"/>
        <v>1.0314966908539986</v>
      </c>
      <c r="P489">
        <f t="shared" ca="1" si="66"/>
        <v>0.98840933353667859</v>
      </c>
      <c r="Q489">
        <f t="shared" ca="1" si="67"/>
        <v>0.93857709159190539</v>
      </c>
      <c r="R489">
        <f t="shared" ca="1" si="68"/>
        <v>1.0641876253664571</v>
      </c>
    </row>
    <row r="490" spans="1:18" x14ac:dyDescent="0.3">
      <c r="A490" s="2">
        <f ca="1">IFERROR(__xludf.DUMMYFUNCTION("""COMPUTED_VALUE"""),44935.6666666666)</f>
        <v>44935.666666666599</v>
      </c>
      <c r="B490" s="1">
        <f ca="1">IFERROR(__xludf.DUMMYFUNCTION("""COMPUTED_VALUE"""),387.86)</f>
        <v>387.86</v>
      </c>
      <c r="C490" s="1">
        <f ca="1">IFERROR(__xludf.DUMMYFUNCTION("""COMPUTED_VALUE"""),130.15)</f>
        <v>130.15</v>
      </c>
      <c r="D490" s="1">
        <f ca="1">IFERROR(__xludf.DUMMYFUNCTION("""COMPUTED_VALUE"""),227.12)</f>
        <v>227.12</v>
      </c>
      <c r="E490" s="1">
        <f ca="1">IFERROR(__xludf.DUMMYFUNCTION("""COMPUTED_VALUE"""),137.37)</f>
        <v>137.37</v>
      </c>
      <c r="F490">
        <f t="shared" ca="1" si="61"/>
        <v>-5.6689342403620508E-4</v>
      </c>
      <c r="G490">
        <f t="shared" ca="1" si="62"/>
        <v>4.0888751735843323E-3</v>
      </c>
      <c r="H490">
        <f t="shared" ca="1" si="63"/>
        <v>9.7363624238651914E-3</v>
      </c>
      <c r="I490">
        <f t="shared" ca="1" si="64"/>
        <v>-4.1322314049586284E-3</v>
      </c>
      <c r="O490">
        <f t="shared" ca="1" si="65"/>
        <v>1.0309119421630384</v>
      </c>
      <c r="P490">
        <f t="shared" ca="1" si="66"/>
        <v>0.99245081592191575</v>
      </c>
      <c r="Q490">
        <f t="shared" ca="1" si="67"/>
        <v>0.94771541831838146</v>
      </c>
      <c r="R490">
        <f t="shared" ca="1" si="68"/>
        <v>1.0597901558401495</v>
      </c>
    </row>
    <row r="491" spans="1:18" x14ac:dyDescent="0.3">
      <c r="A491" s="2">
        <f ca="1">IFERROR(__xludf.DUMMYFUNCTION("""COMPUTED_VALUE"""),44936.6666666666)</f>
        <v>44936.666666666599</v>
      </c>
      <c r="B491" s="1">
        <f ca="1">IFERROR(__xludf.DUMMYFUNCTION("""COMPUTED_VALUE"""),390.58)</f>
        <v>390.58</v>
      </c>
      <c r="C491" s="1">
        <f ca="1">IFERROR(__xludf.DUMMYFUNCTION("""COMPUTED_VALUE"""),130.73)</f>
        <v>130.72999999999999</v>
      </c>
      <c r="D491" s="1">
        <f ca="1">IFERROR(__xludf.DUMMYFUNCTION("""COMPUTED_VALUE"""),228.85)</f>
        <v>228.85</v>
      </c>
      <c r="E491" s="1">
        <f ca="1">IFERROR(__xludf.DUMMYFUNCTION("""COMPUTED_VALUE"""),138.6)</f>
        <v>138.6</v>
      </c>
      <c r="F491">
        <f t="shared" ca="1" si="61"/>
        <v>7.0128396844221378E-3</v>
      </c>
      <c r="G491">
        <f t="shared" ca="1" si="62"/>
        <v>4.4563964656164738E-3</v>
      </c>
      <c r="H491">
        <f t="shared" ca="1" si="63"/>
        <v>7.6171187037688878E-3</v>
      </c>
      <c r="I491">
        <f t="shared" ca="1" si="64"/>
        <v>8.9539200698841789E-3</v>
      </c>
      <c r="O491">
        <f t="shared" ca="1" si="65"/>
        <v>1.0381415623421841</v>
      </c>
      <c r="P491">
        <f t="shared" ca="1" si="66"/>
        <v>0.99687357023028844</v>
      </c>
      <c r="Q491">
        <f t="shared" ca="1" si="67"/>
        <v>0.95493427915710449</v>
      </c>
      <c r="R491">
        <f t="shared" ca="1" si="68"/>
        <v>1.0692794321863923</v>
      </c>
    </row>
    <row r="492" spans="1:18" x14ac:dyDescent="0.3">
      <c r="A492" s="2">
        <f ca="1">IFERROR(__xludf.DUMMYFUNCTION("""COMPUTED_VALUE"""),44937.6666666666)</f>
        <v>44937.666666666599</v>
      </c>
      <c r="B492" s="1">
        <f ca="1">IFERROR(__xludf.DUMMYFUNCTION("""COMPUTED_VALUE"""),395.52)</f>
        <v>395.52</v>
      </c>
      <c r="C492" s="1">
        <f ca="1">IFERROR(__xludf.DUMMYFUNCTION("""COMPUTED_VALUE"""),133.49)</f>
        <v>133.49</v>
      </c>
      <c r="D492" s="1">
        <f ca="1">IFERROR(__xludf.DUMMYFUNCTION("""COMPUTED_VALUE"""),235.77)</f>
        <v>235.77</v>
      </c>
      <c r="E492" s="1">
        <f ca="1">IFERROR(__xludf.DUMMYFUNCTION("""COMPUTED_VALUE"""),139.63)</f>
        <v>139.63</v>
      </c>
      <c r="F492">
        <f t="shared" ca="1" si="61"/>
        <v>1.2647857033130211E-2</v>
      </c>
      <c r="G492">
        <f t="shared" ca="1" si="62"/>
        <v>2.1112216017746651E-2</v>
      </c>
      <c r="H492">
        <f t="shared" ca="1" si="63"/>
        <v>3.0238147258029348E-2</v>
      </c>
      <c r="I492">
        <f t="shared" ca="1" si="64"/>
        <v>7.4314574314574399E-3</v>
      </c>
      <c r="O492">
        <f t="shared" ca="1" si="65"/>
        <v>1.0512718284028386</v>
      </c>
      <c r="P492">
        <f t="shared" ca="1" si="66"/>
        <v>1.0179197803873725</v>
      </c>
      <c r="Q492">
        <f t="shared" ca="1" si="67"/>
        <v>0.98380972251199705</v>
      </c>
      <c r="R492">
        <f t="shared" ca="1" si="68"/>
        <v>1.0772257367690183</v>
      </c>
    </row>
    <row r="493" spans="1:18" x14ac:dyDescent="0.3">
      <c r="A493" s="2">
        <f ca="1">IFERROR(__xludf.DUMMYFUNCTION("""COMPUTED_VALUE"""),44938.6666666666)</f>
        <v>44938.666666666599</v>
      </c>
      <c r="B493" s="1">
        <f ca="1">IFERROR(__xludf.DUMMYFUNCTION("""COMPUTED_VALUE"""),396.96)</f>
        <v>396.96</v>
      </c>
      <c r="C493" s="1">
        <f ca="1">IFERROR(__xludf.DUMMYFUNCTION("""COMPUTED_VALUE"""),133.41)</f>
        <v>133.41</v>
      </c>
      <c r="D493" s="1">
        <f ca="1">IFERROR(__xludf.DUMMYFUNCTION("""COMPUTED_VALUE"""),238.51)</f>
        <v>238.51</v>
      </c>
      <c r="E493" s="1">
        <f ca="1">IFERROR(__xludf.DUMMYFUNCTION("""COMPUTED_VALUE"""),139.49)</f>
        <v>139.49</v>
      </c>
      <c r="F493">
        <f t="shared" ca="1" si="61"/>
        <v>3.6407766990291207E-3</v>
      </c>
      <c r="G493">
        <f t="shared" ca="1" si="62"/>
        <v>-5.9929582740289534E-4</v>
      </c>
      <c r="H493">
        <f t="shared" ca="1" si="63"/>
        <v>1.1621495525299999E-2</v>
      </c>
      <c r="I493">
        <f t="shared" ca="1" si="64"/>
        <v>-1.0026498603451003E-3</v>
      </c>
      <c r="O493">
        <f t="shared" ca="1" si="65"/>
        <v>1.0550992743800334</v>
      </c>
      <c r="P493">
        <f t="shared" ca="1" si="66"/>
        <v>1.0173097453103555</v>
      </c>
      <c r="Q493">
        <f t="shared" ca="1" si="67"/>
        <v>0.99524306279991692</v>
      </c>
      <c r="R493">
        <f t="shared" ca="1" si="68"/>
        <v>1.0761456565344867</v>
      </c>
    </row>
    <row r="494" spans="1:18" x14ac:dyDescent="0.3">
      <c r="A494" s="2">
        <f ca="1">IFERROR(__xludf.DUMMYFUNCTION("""COMPUTED_VALUE"""),44939.6666666666)</f>
        <v>44939.666666666599</v>
      </c>
      <c r="B494" s="1">
        <f ca="1">IFERROR(__xludf.DUMMYFUNCTION("""COMPUTED_VALUE"""),398.5)</f>
        <v>398.5</v>
      </c>
      <c r="C494" s="1">
        <f ca="1">IFERROR(__xludf.DUMMYFUNCTION("""COMPUTED_VALUE"""),134.76)</f>
        <v>134.76</v>
      </c>
      <c r="D494" s="1">
        <f ca="1">IFERROR(__xludf.DUMMYFUNCTION("""COMPUTED_VALUE"""),239.23)</f>
        <v>239.23</v>
      </c>
      <c r="E494" s="1">
        <f ca="1">IFERROR(__xludf.DUMMYFUNCTION("""COMPUTED_VALUE"""),143.01)</f>
        <v>143.01</v>
      </c>
      <c r="F494">
        <f t="shared" ca="1" si="61"/>
        <v>3.8794840790004549E-3</v>
      </c>
      <c r="G494">
        <f t="shared" ca="1" si="62"/>
        <v>1.0119181470654331E-2</v>
      </c>
      <c r="H494">
        <f t="shared" ca="1" si="63"/>
        <v>3.018741352563829E-3</v>
      </c>
      <c r="I494">
        <f t="shared" ca="1" si="64"/>
        <v>2.523478385547338E-2</v>
      </c>
      <c r="O494">
        <f t="shared" ca="1" si="65"/>
        <v>1.0591925152167556</v>
      </c>
      <c r="P494">
        <f t="shared" ca="1" si="66"/>
        <v>1.0276040872350161</v>
      </c>
      <c r="Q494">
        <f t="shared" ca="1" si="67"/>
        <v>0.99824744418944322</v>
      </c>
      <c r="R494">
        <f t="shared" ca="1" si="68"/>
        <v>1.1033019595741409</v>
      </c>
    </row>
    <row r="495" spans="1:18" x14ac:dyDescent="0.3">
      <c r="A495" s="2">
        <f ca="1">IFERROR(__xludf.DUMMYFUNCTION("""COMPUTED_VALUE"""),44943.6666666666)</f>
        <v>44943.666666666599</v>
      </c>
      <c r="B495" s="1">
        <f ca="1">IFERROR(__xludf.DUMMYFUNCTION("""COMPUTED_VALUE"""),397.77)</f>
        <v>397.77</v>
      </c>
      <c r="C495" s="1">
        <f ca="1">IFERROR(__xludf.DUMMYFUNCTION("""COMPUTED_VALUE"""),135.94)</f>
        <v>135.94</v>
      </c>
      <c r="D495" s="1">
        <f ca="1">IFERROR(__xludf.DUMMYFUNCTION("""COMPUTED_VALUE"""),240.35)</f>
        <v>240.35</v>
      </c>
      <c r="E495" s="1">
        <f ca="1">IFERROR(__xludf.DUMMYFUNCTION("""COMPUTED_VALUE"""),140.8)</f>
        <v>140.80000000000001</v>
      </c>
      <c r="F495">
        <f t="shared" ca="1" si="61"/>
        <v>-1.8318695106650394E-3</v>
      </c>
      <c r="G495">
        <f t="shared" ca="1" si="62"/>
        <v>8.7563075096468313E-3</v>
      </c>
      <c r="H495">
        <f t="shared" ca="1" si="63"/>
        <v>4.6816870793796959E-3</v>
      </c>
      <c r="I495">
        <f t="shared" ca="1" si="64"/>
        <v>-1.5453464792671699E-2</v>
      </c>
      <c r="O495">
        <f t="shared" ca="1" si="65"/>
        <v>1.0572522127422055</v>
      </c>
      <c r="P495">
        <f t="shared" ca="1" si="66"/>
        <v>1.0366021046210159</v>
      </c>
      <c r="Q495">
        <f t="shared" ca="1" si="67"/>
        <v>1.0029209263509289</v>
      </c>
      <c r="R495">
        <f t="shared" ca="1" si="68"/>
        <v>1.0862521215861762</v>
      </c>
    </row>
    <row r="496" spans="1:18" x14ac:dyDescent="0.3">
      <c r="A496" s="2">
        <f ca="1">IFERROR(__xludf.DUMMYFUNCTION("""COMPUTED_VALUE"""),44944.6666666666)</f>
        <v>44944.666666666599</v>
      </c>
      <c r="B496" s="1">
        <f ca="1">IFERROR(__xludf.DUMMYFUNCTION("""COMPUTED_VALUE"""),391.49)</f>
        <v>391.49</v>
      </c>
      <c r="C496" s="1">
        <f ca="1">IFERROR(__xludf.DUMMYFUNCTION("""COMPUTED_VALUE"""),135.21)</f>
        <v>135.21</v>
      </c>
      <c r="D496" s="1">
        <f ca="1">IFERROR(__xludf.DUMMYFUNCTION("""COMPUTED_VALUE"""),235.81)</f>
        <v>235.81</v>
      </c>
      <c r="E496" s="1">
        <f ca="1">IFERROR(__xludf.DUMMYFUNCTION("""COMPUTED_VALUE"""),136.57)</f>
        <v>136.57</v>
      </c>
      <c r="F496">
        <f t="shared" ca="1" si="61"/>
        <v>-1.5788018201473145E-2</v>
      </c>
      <c r="G496">
        <f t="shared" ca="1" si="62"/>
        <v>-5.3700161836103414E-3</v>
      </c>
      <c r="H496">
        <f t="shared" ca="1" si="63"/>
        <v>-1.8889120033284759E-2</v>
      </c>
      <c r="I496">
        <f t="shared" ca="1" si="64"/>
        <v>-3.0042613636363763E-2</v>
      </c>
      <c r="O496">
        <f t="shared" ca="1" si="65"/>
        <v>1.0405602955638837</v>
      </c>
      <c r="P496">
        <f t="shared" ca="1" si="66"/>
        <v>1.0310355345432365</v>
      </c>
      <c r="Q496">
        <f t="shared" ca="1" si="67"/>
        <v>0.98397663258919299</v>
      </c>
      <c r="R496">
        <f t="shared" ca="1" si="68"/>
        <v>1.0536182687856823</v>
      </c>
    </row>
    <row r="497" spans="1:18" x14ac:dyDescent="0.3">
      <c r="A497" s="2">
        <f ca="1">IFERROR(__xludf.DUMMYFUNCTION("""COMPUTED_VALUE"""),44945.6666666666)</f>
        <v>44945.666666666599</v>
      </c>
      <c r="B497" s="1">
        <f ca="1">IFERROR(__xludf.DUMMYFUNCTION("""COMPUTED_VALUE"""),388.64)</f>
        <v>388.64</v>
      </c>
      <c r="C497" s="1">
        <f ca="1">IFERROR(__xludf.DUMMYFUNCTION("""COMPUTED_VALUE"""),135.27)</f>
        <v>135.27000000000001</v>
      </c>
      <c r="D497" s="1">
        <f ca="1">IFERROR(__xludf.DUMMYFUNCTION("""COMPUTED_VALUE"""),231.93)</f>
        <v>231.93</v>
      </c>
      <c r="E497" s="1">
        <f ca="1">IFERROR(__xludf.DUMMYFUNCTION("""COMPUTED_VALUE"""),134.75)</f>
        <v>134.75</v>
      </c>
      <c r="F497">
        <f t="shared" ca="1" si="61"/>
        <v>-7.2798794349792396E-3</v>
      </c>
      <c r="G497">
        <f t="shared" ca="1" si="62"/>
        <v>4.437541601952686E-4</v>
      </c>
      <c r="H497">
        <f t="shared" ca="1" si="63"/>
        <v>-1.6453924769941883E-2</v>
      </c>
      <c r="I497">
        <f t="shared" ca="1" si="64"/>
        <v>-1.3326499231163457E-2</v>
      </c>
      <c r="O497">
        <f t="shared" ca="1" si="65"/>
        <v>1.0329851420673524</v>
      </c>
      <c r="P497">
        <f t="shared" ca="1" si="66"/>
        <v>1.0314930608509993</v>
      </c>
      <c r="Q497">
        <f t="shared" ca="1" si="67"/>
        <v>0.9677863551011896</v>
      </c>
      <c r="R497">
        <f t="shared" ca="1" si="68"/>
        <v>1.0395772257367701</v>
      </c>
    </row>
    <row r="498" spans="1:18" x14ac:dyDescent="0.3">
      <c r="A498" s="2">
        <f ca="1">IFERROR(__xludf.DUMMYFUNCTION("""COMPUTED_VALUE"""),44946.6666666666)</f>
        <v>44946.666666666599</v>
      </c>
      <c r="B498" s="1">
        <f ca="1">IFERROR(__xludf.DUMMYFUNCTION("""COMPUTED_VALUE"""),395.88)</f>
        <v>395.88</v>
      </c>
      <c r="C498" s="1">
        <f ca="1">IFERROR(__xludf.DUMMYFUNCTION("""COMPUTED_VALUE"""),137.87)</f>
        <v>137.87</v>
      </c>
      <c r="D498" s="1">
        <f ca="1">IFERROR(__xludf.DUMMYFUNCTION("""COMPUTED_VALUE"""),240.22)</f>
        <v>240.22</v>
      </c>
      <c r="E498" s="1">
        <f ca="1">IFERROR(__xludf.DUMMYFUNCTION("""COMPUTED_VALUE"""),135.08)</f>
        <v>135.08000000000001</v>
      </c>
      <c r="F498">
        <f t="shared" ca="1" si="61"/>
        <v>1.8629065459036663E-2</v>
      </c>
      <c r="G498">
        <f t="shared" ca="1" si="62"/>
        <v>1.9220817624011195E-2</v>
      </c>
      <c r="H498">
        <f t="shared" ca="1" si="63"/>
        <v>3.5743543310481574E-2</v>
      </c>
      <c r="I498">
        <f t="shared" ca="1" si="64"/>
        <v>2.4489795918368274E-3</v>
      </c>
      <c r="O498">
        <f t="shared" ca="1" si="65"/>
        <v>1.0522286898971374</v>
      </c>
      <c r="P498">
        <f t="shared" ca="1" si="66"/>
        <v>1.0513192008540495</v>
      </c>
      <c r="Q498">
        <f t="shared" ca="1" si="67"/>
        <v>1.0023784686000421</v>
      </c>
      <c r="R498">
        <f t="shared" ca="1" si="68"/>
        <v>1.0421231291467377</v>
      </c>
    </row>
    <row r="499" spans="1:18" x14ac:dyDescent="0.3">
      <c r="A499" s="2">
        <f ca="1">IFERROR(__xludf.DUMMYFUNCTION("""COMPUTED_VALUE"""),44949.6666666666)</f>
        <v>44949.666666666599</v>
      </c>
      <c r="B499" s="1">
        <f ca="1">IFERROR(__xludf.DUMMYFUNCTION("""COMPUTED_VALUE"""),400.63)</f>
        <v>400.63</v>
      </c>
      <c r="C499" s="1">
        <f ca="1">IFERROR(__xludf.DUMMYFUNCTION("""COMPUTED_VALUE"""),141.11)</f>
        <v>141.11000000000001</v>
      </c>
      <c r="D499" s="1">
        <f ca="1">IFERROR(__xludf.DUMMYFUNCTION("""COMPUTED_VALUE"""),242.58)</f>
        <v>242.58</v>
      </c>
      <c r="E499" s="1">
        <f ca="1">IFERROR(__xludf.DUMMYFUNCTION("""COMPUTED_VALUE"""),137.27)</f>
        <v>137.27000000000001</v>
      </c>
      <c r="F499">
        <f t="shared" ca="1" si="61"/>
        <v>1.1998585429928261E-2</v>
      </c>
      <c r="G499">
        <f t="shared" ca="1" si="62"/>
        <v>2.3500398926525053E-2</v>
      </c>
      <c r="H499">
        <f t="shared" ca="1" si="63"/>
        <v>9.8243276996087484E-3</v>
      </c>
      <c r="I499">
        <f t="shared" ca="1" si="64"/>
        <v>1.6212614746816682E-2</v>
      </c>
      <c r="O499">
        <f t="shared" ca="1" si="65"/>
        <v>1.0648539457246897</v>
      </c>
      <c r="P499">
        <f t="shared" ca="1" si="66"/>
        <v>1.0760256214732351</v>
      </c>
      <c r="Q499">
        <f t="shared" ca="1" si="67"/>
        <v>1.012226163154601</v>
      </c>
      <c r="R499">
        <f t="shared" ca="1" si="68"/>
        <v>1.0590186699583408</v>
      </c>
    </row>
    <row r="500" spans="1:18" x14ac:dyDescent="0.3">
      <c r="A500" s="2">
        <f ca="1">IFERROR(__xludf.DUMMYFUNCTION("""COMPUTED_VALUE"""),44950.6666666666)</f>
        <v>44950.666666666599</v>
      </c>
      <c r="B500" s="1">
        <f ca="1">IFERROR(__xludf.DUMMYFUNCTION("""COMPUTED_VALUE"""),400.2)</f>
        <v>400.2</v>
      </c>
      <c r="C500" s="1">
        <f ca="1">IFERROR(__xludf.DUMMYFUNCTION("""COMPUTED_VALUE"""),142.53)</f>
        <v>142.53</v>
      </c>
      <c r="D500" s="1">
        <f ca="1">IFERROR(__xludf.DUMMYFUNCTION("""COMPUTED_VALUE"""),242.04)</f>
        <v>242.04</v>
      </c>
      <c r="E500" s="1">
        <f ca="1">IFERROR(__xludf.DUMMYFUNCTION("""COMPUTED_VALUE"""),138.45)</f>
        <v>138.44999999999999</v>
      </c>
      <c r="F500">
        <f t="shared" ca="1" si="61"/>
        <v>-1.0733095374784885E-3</v>
      </c>
      <c r="G500">
        <f t="shared" ca="1" si="62"/>
        <v>1.0063071362766546E-2</v>
      </c>
      <c r="H500">
        <f t="shared" ca="1" si="63"/>
        <v>-2.2260697501855901E-3</v>
      </c>
      <c r="I500">
        <f t="shared" ca="1" si="64"/>
        <v>8.5961972754423997E-3</v>
      </c>
      <c r="O500">
        <f t="shared" ca="1" si="65"/>
        <v>1.0637110278287218</v>
      </c>
      <c r="P500">
        <f t="shared" ca="1" si="66"/>
        <v>1.0868537440902855</v>
      </c>
      <c r="Q500">
        <f t="shared" ca="1" si="67"/>
        <v>1.0099728771124561</v>
      </c>
      <c r="R500">
        <f t="shared" ca="1" si="68"/>
        <v>1.0681222033636795</v>
      </c>
    </row>
    <row r="501" spans="1:18" x14ac:dyDescent="0.3">
      <c r="A501" s="2">
        <f ca="1">IFERROR(__xludf.DUMMYFUNCTION("""COMPUTED_VALUE"""),44951.6666666666)</f>
        <v>44951.666666666599</v>
      </c>
      <c r="B501" s="1">
        <f ca="1">IFERROR(__xludf.DUMMYFUNCTION("""COMPUTED_VALUE"""),400.35)</f>
        <v>400.35</v>
      </c>
      <c r="C501" s="1">
        <f ca="1">IFERROR(__xludf.DUMMYFUNCTION("""COMPUTED_VALUE"""),141.86)</f>
        <v>141.86000000000001</v>
      </c>
      <c r="D501" s="1">
        <f ca="1">IFERROR(__xludf.DUMMYFUNCTION("""COMPUTED_VALUE"""),240.61)</f>
        <v>240.61</v>
      </c>
      <c r="E501" s="1">
        <f ca="1">IFERROR(__xludf.DUMMYFUNCTION("""COMPUTED_VALUE"""),139.12)</f>
        <v>139.12</v>
      </c>
      <c r="F501">
        <f t="shared" ca="1" si="61"/>
        <v>3.7481259370323369E-4</v>
      </c>
      <c r="G501">
        <f t="shared" ca="1" si="62"/>
        <v>-4.700764751280344E-3</v>
      </c>
      <c r="H501">
        <f t="shared" ca="1" si="63"/>
        <v>-5.908114361262512E-3</v>
      </c>
      <c r="I501">
        <f t="shared" ca="1" si="64"/>
        <v>4.8392921632359406E-3</v>
      </c>
      <c r="O501">
        <f t="shared" ca="1" si="65"/>
        <v>1.0641097201180132</v>
      </c>
      <c r="P501">
        <f t="shared" ca="1" si="66"/>
        <v>1.0817447003202687</v>
      </c>
      <c r="Q501">
        <f t="shared" ca="1" si="67"/>
        <v>1.0040058418527025</v>
      </c>
      <c r="R501">
        <f t="shared" ca="1" si="68"/>
        <v>1.0732911587717955</v>
      </c>
    </row>
    <row r="502" spans="1:18" x14ac:dyDescent="0.3">
      <c r="A502" s="2">
        <f ca="1">IFERROR(__xludf.DUMMYFUNCTION("""COMPUTED_VALUE"""),44952.6666666666)</f>
        <v>44952.666666666599</v>
      </c>
      <c r="B502" s="1">
        <f ca="1">IFERROR(__xludf.DUMMYFUNCTION("""COMPUTED_VALUE"""),404.75)</f>
        <v>404.75</v>
      </c>
      <c r="C502" s="1">
        <f ca="1">IFERROR(__xludf.DUMMYFUNCTION("""COMPUTED_VALUE"""),143.96)</f>
        <v>143.96</v>
      </c>
      <c r="D502" s="1">
        <f ca="1">IFERROR(__xludf.DUMMYFUNCTION("""COMPUTED_VALUE"""),248)</f>
        <v>248</v>
      </c>
      <c r="E502" s="1">
        <f ca="1">IFERROR(__xludf.DUMMYFUNCTION("""COMPUTED_VALUE"""),139.98)</f>
        <v>139.97999999999999</v>
      </c>
      <c r="F502">
        <f t="shared" ca="1" si="61"/>
        <v>1.0990383414512245E-2</v>
      </c>
      <c r="G502">
        <f t="shared" ca="1" si="62"/>
        <v>1.4803327224023643E-2</v>
      </c>
      <c r="H502">
        <f t="shared" ca="1" si="63"/>
        <v>3.0713602925896619E-2</v>
      </c>
      <c r="I502">
        <f t="shared" ca="1" si="64"/>
        <v>6.1817136285220323E-3</v>
      </c>
      <c r="O502">
        <f t="shared" ca="1" si="65"/>
        <v>1.0758046939372194</v>
      </c>
      <c r="P502">
        <f t="shared" ca="1" si="66"/>
        <v>1.0977581210919629</v>
      </c>
      <c r="Q502">
        <f t="shared" ca="1" si="67"/>
        <v>1.0348424786146468</v>
      </c>
      <c r="R502">
        <f t="shared" ca="1" si="68"/>
        <v>1.0799259373553474</v>
      </c>
    </row>
    <row r="503" spans="1:18" x14ac:dyDescent="0.3">
      <c r="A503" s="2">
        <f ca="1">IFERROR(__xludf.DUMMYFUNCTION("""COMPUTED_VALUE"""),44953.6666666666)</f>
        <v>44953.666666666599</v>
      </c>
      <c r="B503" s="1">
        <f ca="1">IFERROR(__xludf.DUMMYFUNCTION("""COMPUTED_VALUE"""),405.68)</f>
        <v>405.68</v>
      </c>
      <c r="C503" s="1">
        <f ca="1">IFERROR(__xludf.DUMMYFUNCTION("""COMPUTED_VALUE"""),145.93)</f>
        <v>145.93</v>
      </c>
      <c r="D503" s="1">
        <f ca="1">IFERROR(__xludf.DUMMYFUNCTION("""COMPUTED_VALUE"""),248.16)</f>
        <v>248.16</v>
      </c>
      <c r="E503" s="1">
        <f ca="1">IFERROR(__xludf.DUMMYFUNCTION("""COMPUTED_VALUE"""),140.32)</f>
        <v>140.32</v>
      </c>
      <c r="F503">
        <f t="shared" ca="1" si="61"/>
        <v>2.29771463866586E-3</v>
      </c>
      <c r="G503">
        <f t="shared" ca="1" si="62"/>
        <v>1.368435676576826E-2</v>
      </c>
      <c r="H503">
        <f t="shared" ca="1" si="63"/>
        <v>6.4516129032256688E-4</v>
      </c>
      <c r="I503">
        <f t="shared" ca="1" si="64"/>
        <v>2.4289184169167268E-3</v>
      </c>
      <c r="O503">
        <f t="shared" ca="1" si="65"/>
        <v>1.0782765861308243</v>
      </c>
      <c r="P503">
        <f t="shared" ca="1" si="66"/>
        <v>1.1127802348635047</v>
      </c>
      <c r="Q503">
        <f t="shared" ca="1" si="67"/>
        <v>1.0355101189234306</v>
      </c>
      <c r="R503">
        <f t="shared" ca="1" si="68"/>
        <v>1.0825489893534959</v>
      </c>
    </row>
    <row r="504" spans="1:18" x14ac:dyDescent="0.3">
      <c r="A504" s="2">
        <f ca="1">IFERROR(__xludf.DUMMYFUNCTION("""COMPUTED_VALUE"""),44956.6666666666)</f>
        <v>44956.666666666599</v>
      </c>
      <c r="B504" s="1">
        <f ca="1">IFERROR(__xludf.DUMMYFUNCTION("""COMPUTED_VALUE"""),400.59)</f>
        <v>400.59</v>
      </c>
      <c r="C504" s="1">
        <f ca="1">IFERROR(__xludf.DUMMYFUNCTION("""COMPUTED_VALUE"""),143)</f>
        <v>143</v>
      </c>
      <c r="D504" s="1">
        <f ca="1">IFERROR(__xludf.DUMMYFUNCTION("""COMPUTED_VALUE"""),242.71)</f>
        <v>242.71</v>
      </c>
      <c r="E504" s="1">
        <f ca="1">IFERROR(__xludf.DUMMYFUNCTION("""COMPUTED_VALUE"""),139.13)</f>
        <v>139.13</v>
      </c>
      <c r="F504">
        <f t="shared" ca="1" si="61"/>
        <v>-1.2546834943798145E-2</v>
      </c>
      <c r="G504">
        <f t="shared" ca="1" si="62"/>
        <v>-2.0078119646405858E-2</v>
      </c>
      <c r="H504">
        <f t="shared" ca="1" si="63"/>
        <v>-2.1961637653126968E-2</v>
      </c>
      <c r="I504">
        <f t="shared" ca="1" si="64"/>
        <v>-8.4806157354617856E-3</v>
      </c>
      <c r="O504">
        <f t="shared" ca="1" si="65"/>
        <v>1.0647476277808787</v>
      </c>
      <c r="P504">
        <f t="shared" ca="1" si="66"/>
        <v>1.0904377001677596</v>
      </c>
      <c r="Q504">
        <f t="shared" ca="1" si="67"/>
        <v>1.0127686209054878</v>
      </c>
      <c r="R504">
        <f t="shared" ca="1" si="68"/>
        <v>1.0733683073599765</v>
      </c>
    </row>
    <row r="505" spans="1:18" x14ac:dyDescent="0.3">
      <c r="A505" s="2">
        <f ca="1">IFERROR(__xludf.DUMMYFUNCTION("""COMPUTED_VALUE"""),44957.6666666666)</f>
        <v>44957.666666666599</v>
      </c>
      <c r="B505" s="1">
        <f ca="1">IFERROR(__xludf.DUMMYFUNCTION("""COMPUTED_VALUE"""),406.48)</f>
        <v>406.48</v>
      </c>
      <c r="C505" s="1">
        <f ca="1">IFERROR(__xludf.DUMMYFUNCTION("""COMPUTED_VALUE"""),144.29)</f>
        <v>144.29</v>
      </c>
      <c r="D505" s="1">
        <f ca="1">IFERROR(__xludf.DUMMYFUNCTION("""COMPUTED_VALUE"""),247.81)</f>
        <v>247.81</v>
      </c>
      <c r="E505" s="1">
        <f ca="1">IFERROR(__xludf.DUMMYFUNCTION("""COMPUTED_VALUE"""),139.96)</f>
        <v>139.96</v>
      </c>
      <c r="F505">
        <f t="shared" ca="1" si="61"/>
        <v>1.4703312613894614E-2</v>
      </c>
      <c r="G505">
        <f t="shared" ca="1" si="62"/>
        <v>9.0209790209789652E-3</v>
      </c>
      <c r="H505">
        <f t="shared" ca="1" si="63"/>
        <v>2.1012731243047235E-2</v>
      </c>
      <c r="I505">
        <f t="shared" ca="1" si="64"/>
        <v>5.9656436426364732E-3</v>
      </c>
      <c r="O505">
        <f t="shared" ca="1" si="65"/>
        <v>1.0804029450070438</v>
      </c>
      <c r="P505">
        <f t="shared" ca="1" si="66"/>
        <v>1.1002745157846576</v>
      </c>
      <c r="Q505">
        <f t="shared" ca="1" si="67"/>
        <v>1.0340496557479664</v>
      </c>
      <c r="R505">
        <f t="shared" ca="1" si="68"/>
        <v>1.0797716401789861</v>
      </c>
    </row>
    <row r="506" spans="1:18" x14ac:dyDescent="0.3">
      <c r="A506" s="2">
        <f ca="1">IFERROR(__xludf.DUMMYFUNCTION("""COMPUTED_VALUE"""),44958.6666666666)</f>
        <v>44958.666666666599</v>
      </c>
      <c r="B506" s="1">
        <f ca="1">IFERROR(__xludf.DUMMYFUNCTION("""COMPUTED_VALUE"""),410.8)</f>
        <v>410.8</v>
      </c>
      <c r="C506" s="1">
        <f ca="1">IFERROR(__xludf.DUMMYFUNCTION("""COMPUTED_VALUE"""),145.43)</f>
        <v>145.43</v>
      </c>
      <c r="D506" s="1">
        <f ca="1">IFERROR(__xludf.DUMMYFUNCTION("""COMPUTED_VALUE"""),252.75)</f>
        <v>252.75</v>
      </c>
      <c r="E506" s="1">
        <f ca="1">IFERROR(__xludf.DUMMYFUNCTION("""COMPUTED_VALUE"""),139.59)</f>
        <v>139.59</v>
      </c>
      <c r="F506">
        <f t="shared" ca="1" si="61"/>
        <v>1.0627829167486698E-2</v>
      </c>
      <c r="G506">
        <f t="shared" ca="1" si="62"/>
        <v>7.9007554231063475E-3</v>
      </c>
      <c r="H506">
        <f t="shared" ca="1" si="63"/>
        <v>1.9934627335458609E-2</v>
      </c>
      <c r="I506">
        <f t="shared" ca="1" si="64"/>
        <v>-2.6436124607030903E-3</v>
      </c>
      <c r="O506">
        <f t="shared" ca="1" si="65"/>
        <v>1.0918852829386281</v>
      </c>
      <c r="P506">
        <f t="shared" ca="1" si="66"/>
        <v>1.108967515632149</v>
      </c>
      <c r="Q506">
        <f t="shared" ca="1" si="67"/>
        <v>1.0546630502816614</v>
      </c>
      <c r="R506">
        <f t="shared" ca="1" si="68"/>
        <v>1.0769171424162951</v>
      </c>
    </row>
    <row r="507" spans="1:18" x14ac:dyDescent="0.3">
      <c r="A507" s="2">
        <f ca="1">IFERROR(__xludf.DUMMYFUNCTION("""COMPUTED_VALUE"""),44959.6666666666)</f>
        <v>44959.666666666599</v>
      </c>
      <c r="B507" s="1">
        <f ca="1">IFERROR(__xludf.DUMMYFUNCTION("""COMPUTED_VALUE"""),416.78)</f>
        <v>416.78</v>
      </c>
      <c r="C507" s="1">
        <f ca="1">IFERROR(__xludf.DUMMYFUNCTION("""COMPUTED_VALUE"""),150.82)</f>
        <v>150.82</v>
      </c>
      <c r="D507" s="1">
        <f ca="1">IFERROR(__xludf.DUMMYFUNCTION("""COMPUTED_VALUE"""),264.6)</f>
        <v>264.60000000000002</v>
      </c>
      <c r="E507" s="1">
        <f ca="1">IFERROR(__xludf.DUMMYFUNCTION("""COMPUTED_VALUE"""),138.94)</f>
        <v>138.94</v>
      </c>
      <c r="F507">
        <f t="shared" ca="1" si="61"/>
        <v>1.4556962025316362E-2</v>
      </c>
      <c r="G507">
        <f t="shared" ca="1" si="62"/>
        <v>3.7062504297600121E-2</v>
      </c>
      <c r="H507">
        <f t="shared" ca="1" si="63"/>
        <v>4.6884272997032732E-2</v>
      </c>
      <c r="I507">
        <f t="shared" ca="1" si="64"/>
        <v>-4.6564940181961865E-3</v>
      </c>
      <c r="O507">
        <f t="shared" ca="1" si="65"/>
        <v>1.1077798155383674</v>
      </c>
      <c r="P507">
        <f t="shared" ca="1" si="66"/>
        <v>1.1500686289461644</v>
      </c>
      <c r="Q507">
        <f t="shared" ca="1" si="67"/>
        <v>1.10411016065095</v>
      </c>
      <c r="R507">
        <f t="shared" ca="1" si="68"/>
        <v>1.0719024841845406</v>
      </c>
    </row>
    <row r="508" spans="1:18" x14ac:dyDescent="0.3">
      <c r="A508" s="2">
        <f ca="1">IFERROR(__xludf.DUMMYFUNCTION("""COMPUTED_VALUE"""),44960.6666666666)</f>
        <v>44960.666666666599</v>
      </c>
      <c r="B508" s="1">
        <f ca="1">IFERROR(__xludf.DUMMYFUNCTION("""COMPUTED_VALUE"""),412.35)</f>
        <v>412.35</v>
      </c>
      <c r="C508" s="1">
        <f ca="1">IFERROR(__xludf.DUMMYFUNCTION("""COMPUTED_VALUE"""),154.5)</f>
        <v>154.5</v>
      </c>
      <c r="D508" s="1">
        <f ca="1">IFERROR(__xludf.DUMMYFUNCTION("""COMPUTED_VALUE"""),258.35)</f>
        <v>258.35000000000002</v>
      </c>
      <c r="E508" s="1">
        <f ca="1">IFERROR(__xludf.DUMMYFUNCTION("""COMPUTED_VALUE"""),141.09)</f>
        <v>141.09</v>
      </c>
      <c r="F508">
        <f t="shared" ca="1" si="61"/>
        <v>-1.0629108882383873E-2</v>
      </c>
      <c r="G508">
        <f t="shared" ca="1" si="62"/>
        <v>2.4399946956637098E-2</v>
      </c>
      <c r="H508">
        <f t="shared" ca="1" si="63"/>
        <v>-2.3620559334845047E-2</v>
      </c>
      <c r="I508">
        <f t="shared" ca="1" si="64"/>
        <v>1.5474305455592384E-2</v>
      </c>
      <c r="O508">
        <f t="shared" ca="1" si="65"/>
        <v>1.096005103261303</v>
      </c>
      <c r="P508">
        <f t="shared" ca="1" si="66"/>
        <v>1.1781302424889433</v>
      </c>
      <c r="Q508">
        <f t="shared" ca="1" si="67"/>
        <v>1.078030461089089</v>
      </c>
      <c r="R508">
        <f t="shared" ca="1" si="68"/>
        <v>1.0884894306434205</v>
      </c>
    </row>
    <row r="509" spans="1:18" x14ac:dyDescent="0.3">
      <c r="A509" s="2">
        <f ca="1">IFERROR(__xludf.DUMMYFUNCTION("""COMPUTED_VALUE"""),44963.6666666666)</f>
        <v>44963.666666666599</v>
      </c>
      <c r="B509" s="1">
        <f ca="1">IFERROR(__xludf.DUMMYFUNCTION("""COMPUTED_VALUE"""),409.83)</f>
        <v>409.83</v>
      </c>
      <c r="C509" s="1">
        <f ca="1">IFERROR(__xludf.DUMMYFUNCTION("""COMPUTED_VALUE"""),151.73)</f>
        <v>151.72999999999999</v>
      </c>
      <c r="D509" s="1">
        <f ca="1">IFERROR(__xludf.DUMMYFUNCTION("""COMPUTED_VALUE"""),256.77)</f>
        <v>256.77</v>
      </c>
      <c r="E509" s="1">
        <f ca="1">IFERROR(__xludf.DUMMYFUNCTION("""COMPUTED_VALUE"""),141.92)</f>
        <v>141.91999999999999</v>
      </c>
      <c r="F509">
        <f t="shared" ca="1" si="61"/>
        <v>-6.1113132048018397E-3</v>
      </c>
      <c r="G509">
        <f t="shared" ca="1" si="62"/>
        <v>-1.7928802588996831E-2</v>
      </c>
      <c r="H509">
        <f t="shared" ca="1" si="63"/>
        <v>-6.1157344687441098E-3</v>
      </c>
      <c r="I509">
        <f t="shared" ca="1" si="64"/>
        <v>5.8827698632077687E-3</v>
      </c>
      <c r="O509">
        <f t="shared" ca="1" si="65"/>
        <v>1.089307072801212</v>
      </c>
      <c r="P509">
        <f t="shared" ca="1" si="66"/>
        <v>1.1570077779472321</v>
      </c>
      <c r="Q509">
        <f t="shared" ca="1" si="67"/>
        <v>1.0714375130398504</v>
      </c>
      <c r="R509">
        <f t="shared" ca="1" si="68"/>
        <v>1.0948927634624299</v>
      </c>
    </row>
    <row r="510" spans="1:18" x14ac:dyDescent="0.3">
      <c r="A510" s="2">
        <f ca="1">IFERROR(__xludf.DUMMYFUNCTION("""COMPUTED_VALUE"""),44964.6666666666)</f>
        <v>44964.666666666599</v>
      </c>
      <c r="B510" s="1">
        <f ca="1">IFERROR(__xludf.DUMMYFUNCTION("""COMPUTED_VALUE"""),415.19)</f>
        <v>415.19</v>
      </c>
      <c r="C510" s="1">
        <f ca="1">IFERROR(__xludf.DUMMYFUNCTION("""COMPUTED_VALUE"""),154.65)</f>
        <v>154.65</v>
      </c>
      <c r="D510" s="1">
        <f ca="1">IFERROR(__xludf.DUMMYFUNCTION("""COMPUTED_VALUE"""),267.56)</f>
        <v>267.56</v>
      </c>
      <c r="E510" s="1">
        <f ca="1">IFERROR(__xludf.DUMMYFUNCTION("""COMPUTED_VALUE"""),143.65)</f>
        <v>143.65</v>
      </c>
      <c r="F510">
        <f t="shared" ca="1" si="61"/>
        <v>1.3078593563184769E-2</v>
      </c>
      <c r="G510">
        <f t="shared" ca="1" si="62"/>
        <v>1.9244710999802385E-2</v>
      </c>
      <c r="H510">
        <f t="shared" ca="1" si="63"/>
        <v>4.2022043073567869E-2</v>
      </c>
      <c r="I510">
        <f t="shared" ca="1" si="64"/>
        <v>1.2189966178128652E-2</v>
      </c>
      <c r="O510">
        <f t="shared" ca="1" si="65"/>
        <v>1.1035536772718815</v>
      </c>
      <c r="P510">
        <f t="shared" ca="1" si="66"/>
        <v>1.1792740582583501</v>
      </c>
      <c r="Q510">
        <f t="shared" ca="1" si="67"/>
        <v>1.1164615063634473</v>
      </c>
      <c r="R510">
        <f t="shared" ca="1" si="68"/>
        <v>1.1082394692177147</v>
      </c>
    </row>
    <row r="511" spans="1:18" x14ac:dyDescent="0.3">
      <c r="A511" s="2">
        <f ca="1">IFERROR(__xludf.DUMMYFUNCTION("""COMPUTED_VALUE"""),44965.6666666666)</f>
        <v>44965.666666666599</v>
      </c>
      <c r="B511" s="1">
        <f ca="1">IFERROR(__xludf.DUMMYFUNCTION("""COMPUTED_VALUE"""),410.65)</f>
        <v>410.65</v>
      </c>
      <c r="C511" s="1">
        <f ca="1">IFERROR(__xludf.DUMMYFUNCTION("""COMPUTED_VALUE"""),151.92)</f>
        <v>151.91999999999999</v>
      </c>
      <c r="D511" s="1">
        <f ca="1">IFERROR(__xludf.DUMMYFUNCTION("""COMPUTED_VALUE"""),266.73)</f>
        <v>266.73</v>
      </c>
      <c r="E511" s="1">
        <f ca="1">IFERROR(__xludf.DUMMYFUNCTION("""COMPUTED_VALUE"""),142.64)</f>
        <v>142.63999999999999</v>
      </c>
      <c r="F511">
        <f t="shared" ca="1" si="61"/>
        <v>-1.0934752763794938E-2</v>
      </c>
      <c r="G511">
        <f t="shared" ca="1" si="62"/>
        <v>-1.7652764306498661E-2</v>
      </c>
      <c r="H511">
        <f t="shared" ca="1" si="63"/>
        <v>-3.1021079384062791E-3</v>
      </c>
      <c r="I511">
        <f t="shared" ca="1" si="64"/>
        <v>-7.0309780717021878E-3</v>
      </c>
      <c r="O511">
        <f t="shared" ca="1" si="65"/>
        <v>1.0914865906493367</v>
      </c>
      <c r="P511">
        <f t="shared" ca="1" si="66"/>
        <v>1.1584566112551473</v>
      </c>
      <c r="Q511">
        <f t="shared" ca="1" si="67"/>
        <v>1.1129981222616323</v>
      </c>
      <c r="R511">
        <f t="shared" ca="1" si="68"/>
        <v>1.1004474618114501</v>
      </c>
    </row>
    <row r="512" spans="1:18" x14ac:dyDescent="0.3">
      <c r="A512" s="2">
        <f ca="1">IFERROR(__xludf.DUMMYFUNCTION("""COMPUTED_VALUE"""),44966.6666666666)</f>
        <v>44966.666666666599</v>
      </c>
      <c r="B512" s="1">
        <f ca="1">IFERROR(__xludf.DUMMYFUNCTION("""COMPUTED_VALUE"""),407.09)</f>
        <v>407.09</v>
      </c>
      <c r="C512" s="1">
        <f ca="1">IFERROR(__xludf.DUMMYFUNCTION("""COMPUTED_VALUE"""),150.87)</f>
        <v>150.87</v>
      </c>
      <c r="D512" s="1">
        <f ca="1">IFERROR(__xludf.DUMMYFUNCTION("""COMPUTED_VALUE"""),263.62)</f>
        <v>263.62</v>
      </c>
      <c r="E512" s="1">
        <f ca="1">IFERROR(__xludf.DUMMYFUNCTION("""COMPUTED_VALUE"""),140.42)</f>
        <v>140.41999999999999</v>
      </c>
      <c r="F512">
        <f t="shared" ca="1" si="61"/>
        <v>-8.6691830025569273E-3</v>
      </c>
      <c r="G512">
        <f t="shared" ca="1" si="62"/>
        <v>-6.9115323854659228E-3</v>
      </c>
      <c r="H512">
        <f t="shared" ca="1" si="63"/>
        <v>-1.1659730813931742E-2</v>
      </c>
      <c r="I512">
        <f t="shared" ca="1" si="64"/>
        <v>-1.5563656758272568E-2</v>
      </c>
      <c r="O512">
        <f t="shared" ca="1" si="65"/>
        <v>1.0820242936501607</v>
      </c>
      <c r="P512">
        <f t="shared" ca="1" si="66"/>
        <v>1.1504499008693003</v>
      </c>
      <c r="Q512">
        <f t="shared" ca="1" si="67"/>
        <v>1.10002086375965</v>
      </c>
      <c r="R512">
        <f t="shared" ca="1" si="68"/>
        <v>1.0833204752353045</v>
      </c>
    </row>
    <row r="513" spans="1:18" x14ac:dyDescent="0.3">
      <c r="A513" s="2">
        <f ca="1">IFERROR(__xludf.DUMMYFUNCTION("""COMPUTED_VALUE"""),44967.6666666666)</f>
        <v>44967.666666666599</v>
      </c>
      <c r="B513" s="1">
        <f ca="1">IFERROR(__xludf.DUMMYFUNCTION("""COMPUTED_VALUE"""),408.04)</f>
        <v>408.04</v>
      </c>
      <c r="C513" s="1">
        <f ca="1">IFERROR(__xludf.DUMMYFUNCTION("""COMPUTED_VALUE"""),151.01)</f>
        <v>151.01</v>
      </c>
      <c r="D513" s="1">
        <f ca="1">IFERROR(__xludf.DUMMYFUNCTION("""COMPUTED_VALUE"""),263.1)</f>
        <v>263.10000000000002</v>
      </c>
      <c r="E513" s="1">
        <f ca="1">IFERROR(__xludf.DUMMYFUNCTION("""COMPUTED_VALUE"""),141.04)</f>
        <v>141.04</v>
      </c>
      <c r="F513">
        <f t="shared" ca="1" si="61"/>
        <v>2.3336362966421319E-3</v>
      </c>
      <c r="G513">
        <f t="shared" ca="1" si="62"/>
        <v>9.2795121627882514E-4</v>
      </c>
      <c r="H513">
        <f t="shared" ca="1" si="63"/>
        <v>-1.9725362263863962E-3</v>
      </c>
      <c r="I513">
        <f t="shared" ca="1" si="64"/>
        <v>4.4153254522148171E-3</v>
      </c>
      <c r="O513">
        <f t="shared" ca="1" si="65"/>
        <v>1.0845493448156713</v>
      </c>
      <c r="P513">
        <f t="shared" ca="1" si="66"/>
        <v>1.1515174622540798</v>
      </c>
      <c r="Q513">
        <f t="shared" ca="1" si="67"/>
        <v>1.0978510327561033</v>
      </c>
      <c r="R513">
        <f t="shared" ca="1" si="68"/>
        <v>1.0881036877025163</v>
      </c>
    </row>
    <row r="514" spans="1:18" x14ac:dyDescent="0.3">
      <c r="A514" s="2">
        <f ca="1">IFERROR(__xludf.DUMMYFUNCTION("""COMPUTED_VALUE"""),44970.6666666666)</f>
        <v>44970.666666666599</v>
      </c>
      <c r="B514" s="1">
        <f ca="1">IFERROR(__xludf.DUMMYFUNCTION("""COMPUTED_VALUE"""),412.83)</f>
        <v>412.83</v>
      </c>
      <c r="C514" s="1">
        <f ca="1">IFERROR(__xludf.DUMMYFUNCTION("""COMPUTED_VALUE"""),153.85)</f>
        <v>153.85</v>
      </c>
      <c r="D514" s="1">
        <f ca="1">IFERROR(__xludf.DUMMYFUNCTION("""COMPUTED_VALUE"""),271.32)</f>
        <v>271.32</v>
      </c>
      <c r="E514" s="1">
        <f ca="1">IFERROR(__xludf.DUMMYFUNCTION("""COMPUTED_VALUE"""),142.57)</f>
        <v>142.57</v>
      </c>
      <c r="F514">
        <f t="shared" ca="1" si="61"/>
        <v>1.1739045191647788E-2</v>
      </c>
      <c r="G514">
        <f t="shared" ca="1" si="62"/>
        <v>1.8806701542944199E-2</v>
      </c>
      <c r="H514">
        <f t="shared" ca="1" si="63"/>
        <v>3.1242873432154959E-2</v>
      </c>
      <c r="I514">
        <f t="shared" ca="1" si="64"/>
        <v>1.0847986386840621E-2</v>
      </c>
      <c r="O514">
        <f t="shared" ca="1" si="65"/>
        <v>1.0972809185870345</v>
      </c>
      <c r="P514">
        <f t="shared" ca="1" si="66"/>
        <v>1.173173707488181</v>
      </c>
      <c r="Q514">
        <f t="shared" ca="1" si="67"/>
        <v>1.1321510536198629</v>
      </c>
      <c r="R514">
        <f t="shared" ca="1" si="68"/>
        <v>1.0999074216941844</v>
      </c>
    </row>
    <row r="515" spans="1:18" x14ac:dyDescent="0.3">
      <c r="A515" s="2">
        <f ca="1">IFERROR(__xludf.DUMMYFUNCTION("""COMPUTED_VALUE"""),44971.6666666666)</f>
        <v>44971.666666666599</v>
      </c>
      <c r="B515" s="1">
        <f ca="1">IFERROR(__xludf.DUMMYFUNCTION("""COMPUTED_VALUE"""),412.64)</f>
        <v>412.64</v>
      </c>
      <c r="C515" s="1">
        <f ca="1">IFERROR(__xludf.DUMMYFUNCTION("""COMPUTED_VALUE"""),153.2)</f>
        <v>153.19999999999999</v>
      </c>
      <c r="D515" s="1">
        <f ca="1">IFERROR(__xludf.DUMMYFUNCTION("""COMPUTED_VALUE"""),272.17)</f>
        <v>272.17</v>
      </c>
      <c r="E515" s="1">
        <f ca="1">IFERROR(__xludf.DUMMYFUNCTION("""COMPUTED_VALUE"""),143.2)</f>
        <v>143.19999999999999</v>
      </c>
      <c r="F515">
        <f t="shared" ca="1" si="61"/>
        <v>-4.6023787030980725E-4</v>
      </c>
      <c r="G515">
        <f t="shared" ca="1" si="62"/>
        <v>-4.2248943776405957E-3</v>
      </c>
      <c r="H515">
        <f t="shared" ca="1" si="63"/>
        <v>3.1328320802005852E-3</v>
      </c>
      <c r="I515">
        <f t="shared" ca="1" si="64"/>
        <v>4.4188819527249453E-3</v>
      </c>
      <c r="O515">
        <f t="shared" ca="1" si="65"/>
        <v>1.0967759083539323</v>
      </c>
      <c r="P515">
        <f t="shared" ca="1" si="66"/>
        <v>1.1682171724874184</v>
      </c>
      <c r="Q515">
        <f t="shared" ca="1" si="67"/>
        <v>1.1356978927602761</v>
      </c>
      <c r="R515">
        <f t="shared" ca="1" si="68"/>
        <v>1.104767782749577</v>
      </c>
    </row>
    <row r="516" spans="1:18" x14ac:dyDescent="0.3">
      <c r="A516" s="2">
        <f ca="1">IFERROR(__xludf.DUMMYFUNCTION("""COMPUTED_VALUE"""),44972.6666666666)</f>
        <v>44972.666666666599</v>
      </c>
      <c r="B516" s="1">
        <f ca="1">IFERROR(__xludf.DUMMYFUNCTION("""COMPUTED_VALUE"""),413.98)</f>
        <v>413.98</v>
      </c>
      <c r="C516" s="1">
        <f ca="1">IFERROR(__xludf.DUMMYFUNCTION("""COMPUTED_VALUE"""),155.33)</f>
        <v>155.33000000000001</v>
      </c>
      <c r="D516" s="1">
        <f ca="1">IFERROR(__xludf.DUMMYFUNCTION("""COMPUTED_VALUE"""),269.32)</f>
        <v>269.32</v>
      </c>
      <c r="E516" s="1">
        <f ca="1">IFERROR(__xludf.DUMMYFUNCTION("""COMPUTED_VALUE"""),143.8)</f>
        <v>143.80000000000001</v>
      </c>
      <c r="F516">
        <f t="shared" ref="F516:F579" ca="1" si="69">(B516-B515)/B515</f>
        <v>3.2473827064754554E-3</v>
      </c>
      <c r="G516">
        <f t="shared" ref="G516:G579" ca="1" si="70">(C516-C515)/C515</f>
        <v>1.3903394255874831E-2</v>
      </c>
      <c r="H516">
        <f t="shared" ref="H516:H579" ca="1" si="71">(D516-D515)/D515</f>
        <v>-1.0471396553624656E-2</v>
      </c>
      <c r="I516">
        <f t="shared" ref="I516:I579" ca="1" si="72">(E516-E515)/E515</f>
        <v>4.1899441340783718E-3</v>
      </c>
      <c r="O516">
        <f t="shared" ref="O516:O579" ca="1" si="73">O515*(1+F516)</f>
        <v>1.1003375594715998</v>
      </c>
      <c r="P516">
        <f t="shared" ref="P516:P579" ca="1" si="74">P515*(1+G516)</f>
        <v>1.1844593564129944</v>
      </c>
      <c r="Q516">
        <f t="shared" ref="Q516:Q579" ca="1" si="75">Q515*(1+H516)</f>
        <v>1.1238055497600674</v>
      </c>
      <c r="R516">
        <f t="shared" ref="R516:R579" ca="1" si="76">R515*(1+I516)</f>
        <v>1.1093966980404275</v>
      </c>
    </row>
    <row r="517" spans="1:18" x14ac:dyDescent="0.3">
      <c r="A517" s="2">
        <f ca="1">IFERROR(__xludf.DUMMYFUNCTION("""COMPUTED_VALUE"""),44973.6666666666)</f>
        <v>44973.666666666599</v>
      </c>
      <c r="B517" s="1">
        <f ca="1">IFERROR(__xludf.DUMMYFUNCTION("""COMPUTED_VALUE"""),408.28)</f>
        <v>408.28</v>
      </c>
      <c r="C517" s="1">
        <f ca="1">IFERROR(__xludf.DUMMYFUNCTION("""COMPUTED_VALUE"""),153.71)</f>
        <v>153.71</v>
      </c>
      <c r="D517" s="1">
        <f ca="1">IFERROR(__xludf.DUMMYFUNCTION("""COMPUTED_VALUE"""),262.15)</f>
        <v>262.14999999999998</v>
      </c>
      <c r="E517" s="1">
        <f ca="1">IFERROR(__xludf.DUMMYFUNCTION("""COMPUTED_VALUE"""),141.82)</f>
        <v>141.82</v>
      </c>
      <c r="F517">
        <f t="shared" ca="1" si="69"/>
        <v>-1.3768781100536366E-2</v>
      </c>
      <c r="G517">
        <f t="shared" ca="1" si="70"/>
        <v>-1.0429408356402527E-2</v>
      </c>
      <c r="H517">
        <f t="shared" ca="1" si="71"/>
        <v>-2.662260507945944E-2</v>
      </c>
      <c r="I517">
        <f t="shared" ca="1" si="72"/>
        <v>-1.3769123783032114E-2</v>
      </c>
      <c r="O517">
        <f t="shared" ca="1" si="73"/>
        <v>1.0851872524785369</v>
      </c>
      <c r="P517">
        <f t="shared" ca="1" si="74"/>
        <v>1.1721061461034015</v>
      </c>
      <c r="Q517">
        <f t="shared" ca="1" si="75"/>
        <v>1.0938869184227002</v>
      </c>
      <c r="R517">
        <f t="shared" ca="1" si="76"/>
        <v>1.0941212775806217</v>
      </c>
    </row>
    <row r="518" spans="1:18" x14ac:dyDescent="0.3">
      <c r="A518" s="2">
        <f ca="1">IFERROR(__xludf.DUMMYFUNCTION("""COMPUTED_VALUE"""),44974.6666666666)</f>
        <v>44974.666666666599</v>
      </c>
      <c r="B518" s="1">
        <f ca="1">IFERROR(__xludf.DUMMYFUNCTION("""COMPUTED_VALUE"""),407.26)</f>
        <v>407.26</v>
      </c>
      <c r="C518" s="1">
        <f ca="1">IFERROR(__xludf.DUMMYFUNCTION("""COMPUTED_VALUE"""),152.55)</f>
        <v>152.55000000000001</v>
      </c>
      <c r="D518" s="1">
        <f ca="1">IFERROR(__xludf.DUMMYFUNCTION("""COMPUTED_VALUE"""),258.06)</f>
        <v>258.06</v>
      </c>
      <c r="E518" s="1">
        <f ca="1">IFERROR(__xludf.DUMMYFUNCTION("""COMPUTED_VALUE"""),142.24)</f>
        <v>142.24</v>
      </c>
      <c r="F518">
        <f t="shared" ca="1" si="69"/>
        <v>-2.4982854903497155E-3</v>
      </c>
      <c r="G518">
        <f t="shared" ca="1" si="70"/>
        <v>-7.5466788107474893E-3</v>
      </c>
      <c r="H518">
        <f t="shared" ca="1" si="71"/>
        <v>-1.5601754720579727E-2</v>
      </c>
      <c r="I518">
        <f t="shared" ca="1" si="72"/>
        <v>2.9615004935835279E-3</v>
      </c>
      <c r="O518">
        <f t="shared" ca="1" si="73"/>
        <v>1.0824761449113574</v>
      </c>
      <c r="P518">
        <f t="shared" ca="1" si="74"/>
        <v>1.1632606374866561</v>
      </c>
      <c r="Q518">
        <f t="shared" ca="1" si="75"/>
        <v>1.0768203630294186</v>
      </c>
      <c r="R518">
        <f t="shared" ca="1" si="76"/>
        <v>1.0973615182842169</v>
      </c>
    </row>
    <row r="519" spans="1:18" x14ac:dyDescent="0.3">
      <c r="A519" s="2">
        <f ca="1">IFERROR(__xludf.DUMMYFUNCTION("""COMPUTED_VALUE"""),44978.6666666666)</f>
        <v>44978.666666666599</v>
      </c>
      <c r="B519" s="1">
        <f ca="1">IFERROR(__xludf.DUMMYFUNCTION("""COMPUTED_VALUE"""),399.09)</f>
        <v>399.09</v>
      </c>
      <c r="C519" s="1">
        <f ca="1">IFERROR(__xludf.DUMMYFUNCTION("""COMPUTED_VALUE"""),148.48)</f>
        <v>148.47999999999999</v>
      </c>
      <c r="D519" s="1">
        <f ca="1">IFERROR(__xludf.DUMMYFUNCTION("""COMPUTED_VALUE"""),252.67)</f>
        <v>252.67</v>
      </c>
      <c r="E519" s="1">
        <f ca="1">IFERROR(__xludf.DUMMYFUNCTION("""COMPUTED_VALUE"""),139.63)</f>
        <v>139.63</v>
      </c>
      <c r="F519">
        <f t="shared" ca="1" si="69"/>
        <v>-2.0060894760104149E-2</v>
      </c>
      <c r="G519">
        <f t="shared" ca="1" si="70"/>
        <v>-2.6679777122255138E-2</v>
      </c>
      <c r="H519">
        <f t="shared" ca="1" si="71"/>
        <v>-2.0886615515771582E-2</v>
      </c>
      <c r="I519">
        <f t="shared" ca="1" si="72"/>
        <v>-1.8349268841394921E-2</v>
      </c>
      <c r="O519">
        <f t="shared" ca="1" si="73"/>
        <v>1.0607607048879673</v>
      </c>
      <c r="P519">
        <f t="shared" ca="1" si="74"/>
        <v>1.1322251029434196</v>
      </c>
      <c r="Q519">
        <f t="shared" ca="1" si="75"/>
        <v>1.0543292301272698</v>
      </c>
      <c r="R519">
        <f t="shared" ca="1" si="76"/>
        <v>1.0772257367690186</v>
      </c>
    </row>
    <row r="520" spans="1:18" x14ac:dyDescent="0.3">
      <c r="A520" s="2">
        <f ca="1">IFERROR(__xludf.DUMMYFUNCTION("""COMPUTED_VALUE"""),44979.6666666666)</f>
        <v>44979.666666666599</v>
      </c>
      <c r="B520" s="1">
        <f ca="1">IFERROR(__xludf.DUMMYFUNCTION("""COMPUTED_VALUE"""),398.54)</f>
        <v>398.54</v>
      </c>
      <c r="C520" s="1">
        <f ca="1">IFERROR(__xludf.DUMMYFUNCTION("""COMPUTED_VALUE"""),148.91)</f>
        <v>148.91</v>
      </c>
      <c r="D520" s="1">
        <f ca="1">IFERROR(__xludf.DUMMYFUNCTION("""COMPUTED_VALUE"""),251.51)</f>
        <v>251.51</v>
      </c>
      <c r="E520" s="1">
        <f ca="1">IFERROR(__xludf.DUMMYFUNCTION("""COMPUTED_VALUE"""),138.56)</f>
        <v>138.56</v>
      </c>
      <c r="F520">
        <f t="shared" ca="1" si="69"/>
        <v>-1.3781352577111794E-3</v>
      </c>
      <c r="G520">
        <f t="shared" ca="1" si="70"/>
        <v>2.8960129310345289E-3</v>
      </c>
      <c r="H520">
        <f t="shared" ca="1" si="71"/>
        <v>-4.590968456880503E-3</v>
      </c>
      <c r="I520">
        <f t="shared" ca="1" si="72"/>
        <v>-7.6631096469239645E-3</v>
      </c>
      <c r="O520">
        <f t="shared" ca="1" si="73"/>
        <v>1.0592988331605666</v>
      </c>
      <c r="P520">
        <f t="shared" ca="1" si="74"/>
        <v>1.1355040414823856</v>
      </c>
      <c r="Q520">
        <f t="shared" ca="1" si="75"/>
        <v>1.0494888378885885</v>
      </c>
      <c r="R520">
        <f t="shared" ca="1" si="76"/>
        <v>1.0689708378336691</v>
      </c>
    </row>
    <row r="521" spans="1:18" x14ac:dyDescent="0.3">
      <c r="A521" s="2">
        <f ca="1">IFERROR(__xludf.DUMMYFUNCTION("""COMPUTED_VALUE"""),44980.6666666666)</f>
        <v>44980.666666666599</v>
      </c>
      <c r="B521" s="1">
        <f ca="1">IFERROR(__xludf.DUMMYFUNCTION("""COMPUTED_VALUE"""),400.66)</f>
        <v>400.66</v>
      </c>
      <c r="C521" s="1">
        <f ca="1">IFERROR(__xludf.DUMMYFUNCTION("""COMPUTED_VALUE"""),149.4)</f>
        <v>149.4</v>
      </c>
      <c r="D521" s="1">
        <f ca="1">IFERROR(__xludf.DUMMYFUNCTION("""COMPUTED_VALUE"""),254.77)</f>
        <v>254.77</v>
      </c>
      <c r="E521" s="1">
        <f ca="1">IFERROR(__xludf.DUMMYFUNCTION("""COMPUTED_VALUE"""),139.67)</f>
        <v>139.66999999999999</v>
      </c>
      <c r="F521">
        <f t="shared" ca="1" si="69"/>
        <v>5.3194158679179112E-3</v>
      </c>
      <c r="G521">
        <f t="shared" ca="1" si="70"/>
        <v>3.2905782015983419E-3</v>
      </c>
      <c r="H521">
        <f t="shared" ca="1" si="71"/>
        <v>1.2961711263965725E-2</v>
      </c>
      <c r="I521">
        <f t="shared" ca="1" si="72"/>
        <v>8.0109699769052058E-3</v>
      </c>
      <c r="O521">
        <f t="shared" ca="1" si="73"/>
        <v>1.0649336841825479</v>
      </c>
      <c r="P521">
        <f t="shared" ca="1" si="74"/>
        <v>1.1392405063291144</v>
      </c>
      <c r="Q521">
        <f t="shared" ca="1" si="75"/>
        <v>1.0630920091800553</v>
      </c>
      <c r="R521">
        <f t="shared" ca="1" si="76"/>
        <v>1.077534331121742</v>
      </c>
    </row>
    <row r="522" spans="1:18" x14ac:dyDescent="0.3">
      <c r="A522" s="2">
        <f ca="1">IFERROR(__xludf.DUMMYFUNCTION("""COMPUTED_VALUE"""),44981.6666666666)</f>
        <v>44981.666666666599</v>
      </c>
      <c r="B522" s="1">
        <f ca="1">IFERROR(__xludf.DUMMYFUNCTION("""COMPUTED_VALUE"""),396.38)</f>
        <v>396.38</v>
      </c>
      <c r="C522" s="1">
        <f ca="1">IFERROR(__xludf.DUMMYFUNCTION("""COMPUTED_VALUE"""),146.71)</f>
        <v>146.71</v>
      </c>
      <c r="D522" s="1">
        <f ca="1">IFERROR(__xludf.DUMMYFUNCTION("""COMPUTED_VALUE"""),249.22)</f>
        <v>249.22</v>
      </c>
      <c r="E522" s="1">
        <f ca="1">IFERROR(__xludf.DUMMYFUNCTION("""COMPUTED_VALUE"""),140.93)</f>
        <v>140.93</v>
      </c>
      <c r="F522">
        <f t="shared" ca="1" si="69"/>
        <v>-1.0682374082763513E-2</v>
      </c>
      <c r="G522">
        <f t="shared" ca="1" si="70"/>
        <v>-1.8005354752342689E-2</v>
      </c>
      <c r="H522">
        <f t="shared" ca="1" si="71"/>
        <v>-2.1784354515837857E-2</v>
      </c>
      <c r="I522">
        <f t="shared" ca="1" si="72"/>
        <v>9.0212644089641258E-3</v>
      </c>
      <c r="O522">
        <f t="shared" ca="1" si="73"/>
        <v>1.0535576641947744</v>
      </c>
      <c r="P522">
        <f t="shared" ca="1" si="74"/>
        <v>1.1187280768644203</v>
      </c>
      <c r="Q522">
        <f t="shared" ca="1" si="75"/>
        <v>1.0399332359691227</v>
      </c>
      <c r="R522">
        <f t="shared" ca="1" si="76"/>
        <v>1.0872550532325276</v>
      </c>
    </row>
    <row r="523" spans="1:18" x14ac:dyDescent="0.3">
      <c r="A523" s="2">
        <f ca="1">IFERROR(__xludf.DUMMYFUNCTION("""COMPUTED_VALUE"""),44984.6666666666)</f>
        <v>44984.666666666599</v>
      </c>
      <c r="B523" s="1">
        <f ca="1">IFERROR(__xludf.DUMMYFUNCTION("""COMPUTED_VALUE"""),397.73)</f>
        <v>397.73</v>
      </c>
      <c r="C523" s="1">
        <f ca="1">IFERROR(__xludf.DUMMYFUNCTION("""COMPUTED_VALUE"""),147.92)</f>
        <v>147.91999999999999</v>
      </c>
      <c r="D523" s="1">
        <f ca="1">IFERROR(__xludf.DUMMYFUNCTION("""COMPUTED_VALUE"""),250.16)</f>
        <v>250.16</v>
      </c>
      <c r="E523" s="1">
        <f ca="1">IFERROR(__xludf.DUMMYFUNCTION("""COMPUTED_VALUE"""),142.16)</f>
        <v>142.16</v>
      </c>
      <c r="F523">
        <f t="shared" ca="1" si="69"/>
        <v>3.4058226953933668E-3</v>
      </c>
      <c r="G523">
        <f t="shared" ca="1" si="70"/>
        <v>8.2475632199576002E-3</v>
      </c>
      <c r="H523">
        <f t="shared" ca="1" si="71"/>
        <v>3.7717679158975914E-3</v>
      </c>
      <c r="I523">
        <f t="shared" ca="1" si="72"/>
        <v>8.7277371744837132E-3</v>
      </c>
      <c r="O523">
        <f t="shared" ca="1" si="73"/>
        <v>1.0571458947983947</v>
      </c>
      <c r="P523">
        <f t="shared" ca="1" si="74"/>
        <v>1.1279548574043012</v>
      </c>
      <c r="Q523">
        <f t="shared" ca="1" si="75"/>
        <v>1.0438556227832265</v>
      </c>
      <c r="R523">
        <f t="shared" ca="1" si="76"/>
        <v>1.0967443295787702</v>
      </c>
    </row>
    <row r="524" spans="1:18" x14ac:dyDescent="0.3">
      <c r="A524" s="2">
        <f ca="1">IFERROR(__xludf.DUMMYFUNCTION("""COMPUTED_VALUE"""),44985.6666666666)</f>
        <v>44985.666666666599</v>
      </c>
      <c r="B524" s="1">
        <f ca="1">IFERROR(__xludf.DUMMYFUNCTION("""COMPUTED_VALUE"""),396.26)</f>
        <v>396.26</v>
      </c>
      <c r="C524" s="1">
        <f ca="1">IFERROR(__xludf.DUMMYFUNCTION("""COMPUTED_VALUE"""),147.41)</f>
        <v>147.41</v>
      </c>
      <c r="D524" s="1">
        <f ca="1">IFERROR(__xludf.DUMMYFUNCTION("""COMPUTED_VALUE"""),249.42)</f>
        <v>249.42</v>
      </c>
      <c r="E524" s="1">
        <f ca="1">IFERROR(__xludf.DUMMYFUNCTION("""COMPUTED_VALUE"""),143.35)</f>
        <v>143.35</v>
      </c>
      <c r="F524">
        <f t="shared" ca="1" si="69"/>
        <v>-3.6959746561738547E-3</v>
      </c>
      <c r="G524">
        <f t="shared" ca="1" si="70"/>
        <v>-3.4478096268252497E-3</v>
      </c>
      <c r="H524">
        <f t="shared" ca="1" si="71"/>
        <v>-2.9581068116405866E-3</v>
      </c>
      <c r="I524">
        <f t="shared" ca="1" si="72"/>
        <v>8.3708497467641935E-3</v>
      </c>
      <c r="O524">
        <f t="shared" ca="1" si="73"/>
        <v>1.0532387103633416</v>
      </c>
      <c r="P524">
        <f t="shared" ca="1" si="74"/>
        <v>1.1240658837883184</v>
      </c>
      <c r="Q524">
        <f t="shared" ca="1" si="75"/>
        <v>1.0407677863551021</v>
      </c>
      <c r="R524">
        <f t="shared" ca="1" si="76"/>
        <v>1.1059250115722898</v>
      </c>
    </row>
    <row r="525" spans="1:18" x14ac:dyDescent="0.3">
      <c r="A525" s="2">
        <f ca="1">IFERROR(__xludf.DUMMYFUNCTION("""COMPUTED_VALUE"""),44986.6666666666)</f>
        <v>44986.666666666599</v>
      </c>
      <c r="B525" s="1">
        <f ca="1">IFERROR(__xludf.DUMMYFUNCTION("""COMPUTED_VALUE"""),394.74)</f>
        <v>394.74</v>
      </c>
      <c r="C525" s="1">
        <f ca="1">IFERROR(__xludf.DUMMYFUNCTION("""COMPUTED_VALUE"""),145.31)</f>
        <v>145.31</v>
      </c>
      <c r="D525" s="1">
        <f ca="1">IFERROR(__xludf.DUMMYFUNCTION("""COMPUTED_VALUE"""),246.27)</f>
        <v>246.27</v>
      </c>
      <c r="E525" s="1">
        <f ca="1">IFERROR(__xludf.DUMMYFUNCTION("""COMPUTED_VALUE"""),142.55)</f>
        <v>142.55000000000001</v>
      </c>
      <c r="F525">
        <f t="shared" ca="1" si="69"/>
        <v>-3.8358653409377224E-3</v>
      </c>
      <c r="G525">
        <f t="shared" ca="1" si="70"/>
        <v>-1.4245980598331147E-2</v>
      </c>
      <c r="H525">
        <f t="shared" ca="1" si="71"/>
        <v>-1.26292999759441E-2</v>
      </c>
      <c r="I525">
        <f t="shared" ca="1" si="72"/>
        <v>-5.5807464248342027E-3</v>
      </c>
      <c r="O525">
        <f t="shared" ca="1" si="73"/>
        <v>1.0491986284985249</v>
      </c>
      <c r="P525">
        <f t="shared" ca="1" si="74"/>
        <v>1.108052463016624</v>
      </c>
      <c r="Q525">
        <f t="shared" ca="1" si="75"/>
        <v>1.0276236177759244</v>
      </c>
      <c r="R525">
        <f t="shared" ca="1" si="76"/>
        <v>1.0997531245178231</v>
      </c>
    </row>
    <row r="526" spans="1:18" x14ac:dyDescent="0.3">
      <c r="A526" s="2">
        <f ca="1">IFERROR(__xludf.DUMMYFUNCTION("""COMPUTED_VALUE"""),44987.6666666666)</f>
        <v>44987.666666666599</v>
      </c>
      <c r="B526" s="1">
        <f ca="1">IFERROR(__xludf.DUMMYFUNCTION("""COMPUTED_VALUE"""),397.81)</f>
        <v>397.81</v>
      </c>
      <c r="C526" s="1">
        <f ca="1">IFERROR(__xludf.DUMMYFUNCTION("""COMPUTED_VALUE"""),145.91)</f>
        <v>145.91</v>
      </c>
      <c r="D526" s="1">
        <f ca="1">IFERROR(__xludf.DUMMYFUNCTION("""COMPUTED_VALUE"""),251.11)</f>
        <v>251.11</v>
      </c>
      <c r="E526" s="1">
        <f ca="1">IFERROR(__xludf.DUMMYFUNCTION("""COMPUTED_VALUE"""),141.07)</f>
        <v>141.07</v>
      </c>
      <c r="F526">
        <f t="shared" ca="1" si="69"/>
        <v>7.7772711151643942E-3</v>
      </c>
      <c r="G526">
        <f t="shared" ca="1" si="70"/>
        <v>4.1291032964007593E-3</v>
      </c>
      <c r="H526">
        <f t="shared" ca="1" si="71"/>
        <v>1.965322613391807E-2</v>
      </c>
      <c r="I526">
        <f t="shared" ca="1" si="72"/>
        <v>-1.0382321992283536E-2</v>
      </c>
      <c r="O526">
        <f t="shared" ca="1" si="73"/>
        <v>1.0573585306860167</v>
      </c>
      <c r="P526">
        <f t="shared" ca="1" si="74"/>
        <v>1.112627726094251</v>
      </c>
      <c r="Q526">
        <f t="shared" ca="1" si="75"/>
        <v>1.0478197371166298</v>
      </c>
      <c r="R526">
        <f t="shared" ca="1" si="76"/>
        <v>1.0883351334670592</v>
      </c>
    </row>
    <row r="527" spans="1:18" x14ac:dyDescent="0.3">
      <c r="A527" s="2">
        <f ca="1">IFERROR(__xludf.DUMMYFUNCTION("""COMPUTED_VALUE"""),44988.6666666666)</f>
        <v>44988.666666666599</v>
      </c>
      <c r="B527" s="1">
        <f ca="1">IFERROR(__xludf.DUMMYFUNCTION("""COMPUTED_VALUE"""),404.19)</f>
        <v>404.19</v>
      </c>
      <c r="C527" s="1">
        <f ca="1">IFERROR(__xludf.DUMMYFUNCTION("""COMPUTED_VALUE"""),151.03)</f>
        <v>151.03</v>
      </c>
      <c r="D527" s="1">
        <f ca="1">IFERROR(__xludf.DUMMYFUNCTION("""COMPUTED_VALUE"""),255.29)</f>
        <v>255.29</v>
      </c>
      <c r="E527" s="1">
        <f ca="1">IFERROR(__xludf.DUMMYFUNCTION("""COMPUTED_VALUE"""),143.66)</f>
        <v>143.66</v>
      </c>
      <c r="F527">
        <f t="shared" ca="1" si="69"/>
        <v>1.6037806993288242E-2</v>
      </c>
      <c r="G527">
        <f t="shared" ca="1" si="70"/>
        <v>3.5090124049071379E-2</v>
      </c>
      <c r="H527">
        <f t="shared" ca="1" si="71"/>
        <v>1.6646091354386439E-2</v>
      </c>
      <c r="I527">
        <f t="shared" ca="1" si="72"/>
        <v>1.8359679591692091E-2</v>
      </c>
      <c r="O527">
        <f t="shared" ca="1" si="73"/>
        <v>1.0743162427238659</v>
      </c>
      <c r="P527">
        <f t="shared" ca="1" si="74"/>
        <v>1.1516699710233345</v>
      </c>
      <c r="Q527">
        <f t="shared" ca="1" si="75"/>
        <v>1.0652618401836025</v>
      </c>
      <c r="R527">
        <f t="shared" ca="1" si="76"/>
        <v>1.1083166178058959</v>
      </c>
    </row>
    <row r="528" spans="1:18" x14ac:dyDescent="0.3">
      <c r="A528" s="2">
        <f ca="1">IFERROR(__xludf.DUMMYFUNCTION("""COMPUTED_VALUE"""),44991.6666666666)</f>
        <v>44991.666666666599</v>
      </c>
      <c r="B528" s="1">
        <f ca="1">IFERROR(__xludf.DUMMYFUNCTION("""COMPUTED_VALUE"""),404.47)</f>
        <v>404.47</v>
      </c>
      <c r="C528" s="1">
        <f ca="1">IFERROR(__xludf.DUMMYFUNCTION("""COMPUTED_VALUE"""),153.83)</f>
        <v>153.83000000000001</v>
      </c>
      <c r="D528" s="1">
        <f ca="1">IFERROR(__xludf.DUMMYFUNCTION("""COMPUTED_VALUE"""),256.87)</f>
        <v>256.87</v>
      </c>
      <c r="E528" s="1">
        <f ca="1">IFERROR(__xludf.DUMMYFUNCTION("""COMPUTED_VALUE"""),142.82)</f>
        <v>142.82</v>
      </c>
      <c r="F528">
        <f t="shared" ca="1" si="69"/>
        <v>6.927435117148607E-4</v>
      </c>
      <c r="G528">
        <f t="shared" ca="1" si="70"/>
        <v>1.8539363040455614E-2</v>
      </c>
      <c r="H528">
        <f t="shared" ca="1" si="71"/>
        <v>6.1890399153903897E-3</v>
      </c>
      <c r="I528">
        <f t="shared" ca="1" si="72"/>
        <v>-5.8471390783795306E-3</v>
      </c>
      <c r="O528">
        <f t="shared" ca="1" si="73"/>
        <v>1.0750604683305427</v>
      </c>
      <c r="P528">
        <f t="shared" ca="1" si="74"/>
        <v>1.173021198718927</v>
      </c>
      <c r="Q528">
        <f t="shared" ca="1" si="75"/>
        <v>1.0718547882328409</v>
      </c>
      <c r="R528">
        <f t="shared" ca="1" si="76"/>
        <v>1.1018361363987055</v>
      </c>
    </row>
    <row r="529" spans="1:18" x14ac:dyDescent="0.3">
      <c r="A529" s="2">
        <f ca="1">IFERROR(__xludf.DUMMYFUNCTION("""COMPUTED_VALUE"""),44992.6666666666)</f>
        <v>44992.666666666599</v>
      </c>
      <c r="B529" s="1">
        <f ca="1">IFERROR(__xludf.DUMMYFUNCTION("""COMPUTED_VALUE"""),398.27)</f>
        <v>398.27</v>
      </c>
      <c r="C529" s="1">
        <f ca="1">IFERROR(__xludf.DUMMYFUNCTION("""COMPUTED_VALUE"""),151.6)</f>
        <v>151.6</v>
      </c>
      <c r="D529" s="1">
        <f ca="1">IFERROR(__xludf.DUMMYFUNCTION("""COMPUTED_VALUE"""),254.15)</f>
        <v>254.15</v>
      </c>
      <c r="E529" s="1">
        <f ca="1">IFERROR(__xludf.DUMMYFUNCTION("""COMPUTED_VALUE"""),138.62)</f>
        <v>138.62</v>
      </c>
      <c r="F529">
        <f t="shared" ca="1" si="69"/>
        <v>-1.5328701757856071E-2</v>
      </c>
      <c r="G529">
        <f t="shared" ca="1" si="70"/>
        <v>-1.4496522134824273E-2</v>
      </c>
      <c r="H529">
        <f t="shared" ca="1" si="71"/>
        <v>-1.0589013898080736E-2</v>
      </c>
      <c r="I529">
        <f t="shared" ca="1" si="72"/>
        <v>-2.9407645987956789E-2</v>
      </c>
      <c r="O529">
        <f t="shared" ca="1" si="73"/>
        <v>1.0585811870398427</v>
      </c>
      <c r="P529">
        <f t="shared" ca="1" si="74"/>
        <v>1.1560164709470799</v>
      </c>
      <c r="Q529">
        <f t="shared" ca="1" si="75"/>
        <v>1.060504902983519</v>
      </c>
      <c r="R529">
        <f t="shared" ca="1" si="76"/>
        <v>1.0694337293627543</v>
      </c>
    </row>
    <row r="530" spans="1:18" x14ac:dyDescent="0.3">
      <c r="A530" s="2">
        <f ca="1">IFERROR(__xludf.DUMMYFUNCTION("""COMPUTED_VALUE"""),44993.6666666666)</f>
        <v>44993.666666666599</v>
      </c>
      <c r="B530" s="1">
        <f ca="1">IFERROR(__xludf.DUMMYFUNCTION("""COMPUTED_VALUE"""),398.92)</f>
        <v>398.92</v>
      </c>
      <c r="C530" s="1">
        <f ca="1">IFERROR(__xludf.DUMMYFUNCTION("""COMPUTED_VALUE"""),152.87)</f>
        <v>152.87</v>
      </c>
      <c r="D530" s="1">
        <f ca="1">IFERROR(__xludf.DUMMYFUNCTION("""COMPUTED_VALUE"""),253.7)</f>
        <v>253.7</v>
      </c>
      <c r="E530" s="1">
        <f ca="1">IFERROR(__xludf.DUMMYFUNCTION("""COMPUTED_VALUE"""),137.8)</f>
        <v>137.80000000000001</v>
      </c>
      <c r="F530">
        <f t="shared" ca="1" si="69"/>
        <v>1.6320586536772393E-3</v>
      </c>
      <c r="G530">
        <f t="shared" ca="1" si="70"/>
        <v>8.377308707124078E-3</v>
      </c>
      <c r="H530">
        <f t="shared" ca="1" si="71"/>
        <v>-1.7706079087153926E-3</v>
      </c>
      <c r="I530">
        <f t="shared" ca="1" si="72"/>
        <v>-5.9154523156831132E-3</v>
      </c>
      <c r="O530">
        <f t="shared" ca="1" si="73"/>
        <v>1.0603088536267711</v>
      </c>
      <c r="P530">
        <f t="shared" ca="1" si="74"/>
        <v>1.1657007777947239</v>
      </c>
      <c r="Q530">
        <f t="shared" ca="1" si="75"/>
        <v>1.0586271646150649</v>
      </c>
      <c r="R530">
        <f t="shared" ca="1" si="76"/>
        <v>1.0631075451319256</v>
      </c>
    </row>
    <row r="531" spans="1:18" x14ac:dyDescent="0.3">
      <c r="A531" s="2">
        <f ca="1">IFERROR(__xludf.DUMMYFUNCTION("""COMPUTED_VALUE"""),44994.6666666666)</f>
        <v>44994.666666666599</v>
      </c>
      <c r="B531" s="1">
        <f ca="1">IFERROR(__xludf.DUMMYFUNCTION("""COMPUTED_VALUE"""),391.56)</f>
        <v>391.56</v>
      </c>
      <c r="C531" s="1">
        <f ca="1">IFERROR(__xludf.DUMMYFUNCTION("""COMPUTED_VALUE"""),150.59)</f>
        <v>150.59</v>
      </c>
      <c r="D531" s="1">
        <f ca="1">IFERROR(__xludf.DUMMYFUNCTION("""COMPUTED_VALUE"""),252.32)</f>
        <v>252.32</v>
      </c>
      <c r="E531" s="1">
        <f ca="1">IFERROR(__xludf.DUMMYFUNCTION("""COMPUTED_VALUE"""),130.34)</f>
        <v>130.34</v>
      </c>
      <c r="F531">
        <f t="shared" ca="1" si="69"/>
        <v>-1.8449814499147732E-2</v>
      </c>
      <c r="G531">
        <f t="shared" ca="1" si="70"/>
        <v>-1.4914633348596855E-2</v>
      </c>
      <c r="H531">
        <f t="shared" ca="1" si="71"/>
        <v>-5.4394954670870929E-3</v>
      </c>
      <c r="I531">
        <f t="shared" ca="1" si="72"/>
        <v>-5.4136429608127777E-2</v>
      </c>
      <c r="O531">
        <f t="shared" ca="1" si="73"/>
        <v>1.0407463519655531</v>
      </c>
      <c r="P531">
        <f t="shared" ca="1" si="74"/>
        <v>1.1483147780997414</v>
      </c>
      <c r="Q531">
        <f t="shared" ca="1" si="75"/>
        <v>1.052868766951806</v>
      </c>
      <c r="R531">
        <f t="shared" ca="1" si="76"/>
        <v>1.0055546983490216</v>
      </c>
    </row>
    <row r="532" spans="1:18" x14ac:dyDescent="0.3">
      <c r="A532" s="2">
        <f ca="1">IFERROR(__xludf.DUMMYFUNCTION("""COMPUTED_VALUE"""),44995.6666666666)</f>
        <v>44995.666666666599</v>
      </c>
      <c r="B532" s="1">
        <f ca="1">IFERROR(__xludf.DUMMYFUNCTION("""COMPUTED_VALUE"""),385.91)</f>
        <v>385.91</v>
      </c>
      <c r="C532" s="1">
        <f ca="1">IFERROR(__xludf.DUMMYFUNCTION("""COMPUTED_VALUE"""),148.5)</f>
        <v>148.5</v>
      </c>
      <c r="D532" s="1">
        <f ca="1">IFERROR(__xludf.DUMMYFUNCTION("""COMPUTED_VALUE"""),248.59)</f>
        <v>248.59</v>
      </c>
      <c r="E532" s="1">
        <f ca="1">IFERROR(__xludf.DUMMYFUNCTION("""COMPUTED_VALUE"""),133.65)</f>
        <v>133.65</v>
      </c>
      <c r="F532">
        <f t="shared" ca="1" si="69"/>
        <v>-1.4429461640616962E-2</v>
      </c>
      <c r="G532">
        <f t="shared" ca="1" si="70"/>
        <v>-1.3878743608473361E-2</v>
      </c>
      <c r="H532">
        <f t="shared" ca="1" si="71"/>
        <v>-1.4782815472415939E-2</v>
      </c>
      <c r="I532">
        <f t="shared" ca="1" si="72"/>
        <v>2.5395120454196733E-2</v>
      </c>
      <c r="O532">
        <f t="shared" ca="1" si="73"/>
        <v>1.025728942402254</v>
      </c>
      <c r="P532">
        <f t="shared" ca="1" si="74"/>
        <v>1.132377611712674</v>
      </c>
      <c r="Q532">
        <f t="shared" ca="1" si="75"/>
        <v>1.0373044022532873</v>
      </c>
      <c r="R532">
        <f t="shared" ca="1" si="76"/>
        <v>1.0310908810368784</v>
      </c>
    </row>
    <row r="533" spans="1:18" x14ac:dyDescent="0.3">
      <c r="A533" s="2">
        <f ca="1">IFERROR(__xludf.DUMMYFUNCTION("""COMPUTED_VALUE"""),44998.6666666666)</f>
        <v>44998.666666666599</v>
      </c>
      <c r="B533" s="1">
        <f ca="1">IFERROR(__xludf.DUMMYFUNCTION("""COMPUTED_VALUE"""),385.36)</f>
        <v>385.36</v>
      </c>
      <c r="C533" s="1">
        <f ca="1">IFERROR(__xludf.DUMMYFUNCTION("""COMPUTED_VALUE"""),150.47)</f>
        <v>150.47</v>
      </c>
      <c r="D533" s="1">
        <f ca="1">IFERROR(__xludf.DUMMYFUNCTION("""COMPUTED_VALUE"""),253.92)</f>
        <v>253.92</v>
      </c>
      <c r="E533" s="1">
        <f ca="1">IFERROR(__xludf.DUMMYFUNCTION("""COMPUTED_VALUE"""),131.25)</f>
        <v>131.25</v>
      </c>
      <c r="F533">
        <f t="shared" ca="1" si="69"/>
        <v>-1.4252027674846761E-3</v>
      </c>
      <c r="G533">
        <f t="shared" ca="1" si="70"/>
        <v>1.3265993265993259E-2</v>
      </c>
      <c r="H533">
        <f t="shared" ca="1" si="71"/>
        <v>2.1440926827305942E-2</v>
      </c>
      <c r="I533">
        <f t="shared" ca="1" si="72"/>
        <v>-1.7957351290684667E-2</v>
      </c>
      <c r="O533">
        <f t="shared" ca="1" si="73"/>
        <v>1.0242670706748531</v>
      </c>
      <c r="P533">
        <f t="shared" ca="1" si="74"/>
        <v>1.1473997254842159</v>
      </c>
      <c r="Q533">
        <f t="shared" ca="1" si="75"/>
        <v>1.0595451700396423</v>
      </c>
      <c r="R533">
        <f t="shared" ca="1" si="76"/>
        <v>1.0125752198734776</v>
      </c>
    </row>
    <row r="534" spans="1:18" x14ac:dyDescent="0.3">
      <c r="A534" s="2">
        <f ca="1">IFERROR(__xludf.DUMMYFUNCTION("""COMPUTED_VALUE"""),44999.6666666666)</f>
        <v>44999.666666666599</v>
      </c>
      <c r="B534" s="1">
        <f ca="1">IFERROR(__xludf.DUMMYFUNCTION("""COMPUTED_VALUE"""),391.73)</f>
        <v>391.73</v>
      </c>
      <c r="C534" s="1">
        <f ca="1">IFERROR(__xludf.DUMMYFUNCTION("""COMPUTED_VALUE"""),152.59)</f>
        <v>152.59</v>
      </c>
      <c r="D534" s="1">
        <f ca="1">IFERROR(__xludf.DUMMYFUNCTION("""COMPUTED_VALUE"""),260.79)</f>
        <v>260.79000000000002</v>
      </c>
      <c r="E534" s="1">
        <f ca="1">IFERROR(__xludf.DUMMYFUNCTION("""COMPUTED_VALUE"""),134.62)</f>
        <v>134.62</v>
      </c>
      <c r="F534">
        <f t="shared" ca="1" si="69"/>
        <v>1.6529997924019109E-2</v>
      </c>
      <c r="G534">
        <f t="shared" ca="1" si="70"/>
        <v>1.4089187213398051E-2</v>
      </c>
      <c r="H534">
        <f t="shared" ca="1" si="71"/>
        <v>2.7055765595463268E-2</v>
      </c>
      <c r="I534">
        <f t="shared" ca="1" si="72"/>
        <v>2.5676190476190512E-2</v>
      </c>
      <c r="O534">
        <f t="shared" ca="1" si="73"/>
        <v>1.0411982032267497</v>
      </c>
      <c r="P534">
        <f t="shared" ca="1" si="74"/>
        <v>1.1635656550251645</v>
      </c>
      <c r="Q534">
        <f t="shared" ca="1" si="75"/>
        <v>1.0882119757980402</v>
      </c>
      <c r="R534">
        <f t="shared" ca="1" si="76"/>
        <v>1.0385742940904195</v>
      </c>
    </row>
    <row r="535" spans="1:18" x14ac:dyDescent="0.3">
      <c r="A535" s="2">
        <f ca="1">IFERROR(__xludf.DUMMYFUNCTION("""COMPUTED_VALUE"""),45000.6666666666)</f>
        <v>45000.666666666599</v>
      </c>
      <c r="B535" s="1">
        <f ca="1">IFERROR(__xludf.DUMMYFUNCTION("""COMPUTED_VALUE"""),389.28)</f>
        <v>389.28</v>
      </c>
      <c r="C535" s="1">
        <f ca="1">IFERROR(__xludf.DUMMYFUNCTION("""COMPUTED_VALUE"""),152.99)</f>
        <v>152.99</v>
      </c>
      <c r="D535" s="1">
        <f ca="1">IFERROR(__xludf.DUMMYFUNCTION("""COMPUTED_VALUE"""),265.44)</f>
        <v>265.44</v>
      </c>
      <c r="E535" s="1">
        <f ca="1">IFERROR(__xludf.DUMMYFUNCTION("""COMPUTED_VALUE"""),128.26)</f>
        <v>128.26</v>
      </c>
      <c r="F535">
        <f t="shared" ca="1" si="69"/>
        <v>-6.2543078140557149E-3</v>
      </c>
      <c r="G535">
        <f t="shared" ca="1" si="70"/>
        <v>2.6214037617144355E-3</v>
      </c>
      <c r="H535">
        <f t="shared" ca="1" si="71"/>
        <v>1.7830438283676434E-2</v>
      </c>
      <c r="I535">
        <f t="shared" ca="1" si="72"/>
        <v>-4.7244094488189073E-2</v>
      </c>
      <c r="O535">
        <f t="shared" ca="1" si="73"/>
        <v>1.0346862291683279</v>
      </c>
      <c r="P535">
        <f t="shared" ca="1" si="74"/>
        <v>1.1666158304102492</v>
      </c>
      <c r="Q535">
        <f t="shared" ca="1" si="75"/>
        <v>1.1076152722720647</v>
      </c>
      <c r="R535">
        <f t="shared" ca="1" si="76"/>
        <v>0.98950779200740735</v>
      </c>
    </row>
    <row r="536" spans="1:18" x14ac:dyDescent="0.3">
      <c r="A536" s="2">
        <f ca="1">IFERROR(__xludf.DUMMYFUNCTION("""COMPUTED_VALUE"""),45001.6666666666)</f>
        <v>45001.666666666599</v>
      </c>
      <c r="B536" s="1">
        <f ca="1">IFERROR(__xludf.DUMMYFUNCTION("""COMPUTED_VALUE"""),396.11)</f>
        <v>396.11</v>
      </c>
      <c r="C536" s="1">
        <f ca="1">IFERROR(__xludf.DUMMYFUNCTION("""COMPUTED_VALUE"""),155.85)</f>
        <v>155.85</v>
      </c>
      <c r="D536" s="1">
        <f ca="1">IFERROR(__xludf.DUMMYFUNCTION("""COMPUTED_VALUE"""),276.2)</f>
        <v>276.2</v>
      </c>
      <c r="E536" s="1">
        <f ca="1">IFERROR(__xludf.DUMMYFUNCTION("""COMPUTED_VALUE"""),130.75)</f>
        <v>130.75</v>
      </c>
      <c r="F536">
        <f t="shared" ca="1" si="69"/>
        <v>1.7545211672832E-2</v>
      </c>
      <c r="G536">
        <f t="shared" ca="1" si="70"/>
        <v>1.8694032289692041E-2</v>
      </c>
      <c r="H536">
        <f t="shared" ca="1" si="71"/>
        <v>4.053646775165759E-2</v>
      </c>
      <c r="I536">
        <f t="shared" ca="1" si="72"/>
        <v>1.9413690940277634E-2</v>
      </c>
      <c r="O536">
        <f t="shared" ca="1" si="73"/>
        <v>1.0528400180740507</v>
      </c>
      <c r="P536">
        <f t="shared" ca="1" si="74"/>
        <v>1.1884245844136043</v>
      </c>
      <c r="Q536">
        <f t="shared" ca="1" si="75"/>
        <v>1.1525140830377647</v>
      </c>
      <c r="R536">
        <f t="shared" ca="1" si="76"/>
        <v>1.0087177904644355</v>
      </c>
    </row>
    <row r="537" spans="1:18" x14ac:dyDescent="0.3">
      <c r="A537" s="2">
        <f ca="1">IFERROR(__xludf.DUMMYFUNCTION("""COMPUTED_VALUE"""),45002.6666666666)</f>
        <v>45002.666666666599</v>
      </c>
      <c r="B537" s="1">
        <f ca="1">IFERROR(__xludf.DUMMYFUNCTION("""COMPUTED_VALUE"""),389.99)</f>
        <v>389.99</v>
      </c>
      <c r="C537" s="1">
        <f ca="1">IFERROR(__xludf.DUMMYFUNCTION("""COMPUTED_VALUE"""),155)</f>
        <v>155</v>
      </c>
      <c r="D537" s="1">
        <f ca="1">IFERROR(__xludf.DUMMYFUNCTION("""COMPUTED_VALUE"""),279.43)</f>
        <v>279.43</v>
      </c>
      <c r="E537" s="1">
        <f ca="1">IFERROR(__xludf.DUMMYFUNCTION("""COMPUTED_VALUE"""),125.81)</f>
        <v>125.81</v>
      </c>
      <c r="F537">
        <f t="shared" ca="1" si="69"/>
        <v>-1.5450253717401743E-2</v>
      </c>
      <c r="G537">
        <f t="shared" ca="1" si="70"/>
        <v>-5.4539621430862648E-3</v>
      </c>
      <c r="H537">
        <f t="shared" ca="1" si="71"/>
        <v>1.1694424330195578E-2</v>
      </c>
      <c r="I537">
        <f t="shared" ca="1" si="72"/>
        <v>-3.7782026768642431E-2</v>
      </c>
      <c r="O537">
        <f t="shared" ca="1" si="73"/>
        <v>1.0365733726709727</v>
      </c>
      <c r="P537">
        <f t="shared" ca="1" si="74"/>
        <v>1.1819429617202994</v>
      </c>
      <c r="Q537">
        <f t="shared" ca="1" si="75"/>
        <v>1.1659920717713346</v>
      </c>
      <c r="R537">
        <f t="shared" ca="1" si="76"/>
        <v>0.97060638790310239</v>
      </c>
    </row>
    <row r="538" spans="1:18" x14ac:dyDescent="0.3">
      <c r="A538" s="2">
        <f ca="1">IFERROR(__xludf.DUMMYFUNCTION("""COMPUTED_VALUE"""),45005.6666666666)</f>
        <v>45005.666666666599</v>
      </c>
      <c r="B538" s="1">
        <f ca="1">IFERROR(__xludf.DUMMYFUNCTION("""COMPUTED_VALUE"""),393.74)</f>
        <v>393.74</v>
      </c>
      <c r="C538" s="1">
        <f ca="1">IFERROR(__xludf.DUMMYFUNCTION("""COMPUTED_VALUE"""),157.4)</f>
        <v>157.4</v>
      </c>
      <c r="D538" s="1">
        <f ca="1">IFERROR(__xludf.DUMMYFUNCTION("""COMPUTED_VALUE"""),272.23)</f>
        <v>272.23</v>
      </c>
      <c r="E538" s="1">
        <f ca="1">IFERROR(__xludf.DUMMYFUNCTION("""COMPUTED_VALUE"""),127.14)</f>
        <v>127.14</v>
      </c>
      <c r="F538">
        <f t="shared" ca="1" si="69"/>
        <v>9.61563117003E-3</v>
      </c>
      <c r="G538">
        <f t="shared" ca="1" si="70"/>
        <v>1.5483870967741972E-2</v>
      </c>
      <c r="H538">
        <f t="shared" ca="1" si="71"/>
        <v>-2.5766739433847434E-2</v>
      </c>
      <c r="I538">
        <f t="shared" ca="1" si="72"/>
        <v>1.0571496701375076E-2</v>
      </c>
      <c r="O538">
        <f t="shared" ca="1" si="73"/>
        <v>1.0465406799032508</v>
      </c>
      <c r="P538">
        <f t="shared" ca="1" si="74"/>
        <v>1.2002440140308075</v>
      </c>
      <c r="Q538">
        <f t="shared" ca="1" si="75"/>
        <v>1.1359482578760707</v>
      </c>
      <c r="R538">
        <f t="shared" ca="1" si="76"/>
        <v>0.98086715013115355</v>
      </c>
    </row>
    <row r="539" spans="1:18" x14ac:dyDescent="0.3">
      <c r="A539" s="2">
        <f ca="1">IFERROR(__xludf.DUMMYFUNCTION("""COMPUTED_VALUE"""),45006.6666666666)</f>
        <v>45006.666666666599</v>
      </c>
      <c r="B539" s="1">
        <f ca="1">IFERROR(__xludf.DUMMYFUNCTION("""COMPUTED_VALUE"""),398.91)</f>
        <v>398.91</v>
      </c>
      <c r="C539" s="1">
        <f ca="1">IFERROR(__xludf.DUMMYFUNCTION("""COMPUTED_VALUE"""),159.28)</f>
        <v>159.28</v>
      </c>
      <c r="D539" s="1">
        <f ca="1">IFERROR(__xludf.DUMMYFUNCTION("""COMPUTED_VALUE"""),273.78)</f>
        <v>273.77999999999997</v>
      </c>
      <c r="E539" s="1">
        <f ca="1">IFERROR(__xludf.DUMMYFUNCTION("""COMPUTED_VALUE"""),130.55)</f>
        <v>130.55000000000001</v>
      </c>
      <c r="F539">
        <f t="shared" ca="1" si="69"/>
        <v>1.3130492202976624E-2</v>
      </c>
      <c r="G539">
        <f t="shared" ca="1" si="70"/>
        <v>1.1944091486658166E-2</v>
      </c>
      <c r="H539">
        <f t="shared" ca="1" si="71"/>
        <v>5.6937148734524275E-3</v>
      </c>
      <c r="I539">
        <f t="shared" ca="1" si="72"/>
        <v>2.6820827434324453E-2</v>
      </c>
      <c r="O539">
        <f t="shared" ca="1" si="73"/>
        <v>1.0602822741408184</v>
      </c>
      <c r="P539">
        <f t="shared" ca="1" si="74"/>
        <v>1.2145798383407054</v>
      </c>
      <c r="Q539">
        <f t="shared" ca="1" si="75"/>
        <v>1.1424160233674119</v>
      </c>
      <c r="R539">
        <f t="shared" ca="1" si="76"/>
        <v>1.0071748187008189</v>
      </c>
    </row>
    <row r="540" spans="1:18" x14ac:dyDescent="0.3">
      <c r="A540" s="2">
        <f ca="1">IFERROR(__xludf.DUMMYFUNCTION("""COMPUTED_VALUE"""),45007.6666666666)</f>
        <v>45007.666666666599</v>
      </c>
      <c r="B540" s="1">
        <f ca="1">IFERROR(__xludf.DUMMYFUNCTION("""COMPUTED_VALUE"""),392.11)</f>
        <v>392.11</v>
      </c>
      <c r="C540" s="1">
        <f ca="1">IFERROR(__xludf.DUMMYFUNCTION("""COMPUTED_VALUE"""),157.83)</f>
        <v>157.83000000000001</v>
      </c>
      <c r="D540" s="1">
        <f ca="1">IFERROR(__xludf.DUMMYFUNCTION("""COMPUTED_VALUE"""),272.29)</f>
        <v>272.29000000000002</v>
      </c>
      <c r="E540" s="1">
        <f ca="1">IFERROR(__xludf.DUMMYFUNCTION("""COMPUTED_VALUE"""),127.18)</f>
        <v>127.18</v>
      </c>
      <c r="F540">
        <f t="shared" ca="1" si="69"/>
        <v>-1.7046451580557044E-2</v>
      </c>
      <c r="G540">
        <f t="shared" ca="1" si="70"/>
        <v>-9.1034655951782312E-3</v>
      </c>
      <c r="H540">
        <f t="shared" ca="1" si="71"/>
        <v>-5.4423259551462941E-3</v>
      </c>
      <c r="I540">
        <f t="shared" ca="1" si="72"/>
        <v>-2.5813864419762574E-2</v>
      </c>
      <c r="O540">
        <f t="shared" ca="1" si="73"/>
        <v>1.042208223692954</v>
      </c>
      <c r="P540">
        <f t="shared" ca="1" si="74"/>
        <v>1.2035229525697735</v>
      </c>
      <c r="Q540">
        <f t="shared" ca="1" si="75"/>
        <v>1.1361986229918644</v>
      </c>
      <c r="R540">
        <f t="shared" ca="1" si="76"/>
        <v>0.98117574448387712</v>
      </c>
    </row>
    <row r="541" spans="1:18" x14ac:dyDescent="0.3">
      <c r="A541" s="2">
        <f ca="1">IFERROR(__xludf.DUMMYFUNCTION("""COMPUTED_VALUE"""),45008.6666666666)</f>
        <v>45008.666666666599</v>
      </c>
      <c r="B541" s="1">
        <f ca="1">IFERROR(__xludf.DUMMYFUNCTION("""COMPUTED_VALUE"""),393.17)</f>
        <v>393.17</v>
      </c>
      <c r="C541" s="1">
        <f ca="1">IFERROR(__xludf.DUMMYFUNCTION("""COMPUTED_VALUE"""),158.93)</f>
        <v>158.93</v>
      </c>
      <c r="D541" s="1">
        <f ca="1">IFERROR(__xludf.DUMMYFUNCTION("""COMPUTED_VALUE"""),277.66)</f>
        <v>277.66000000000003</v>
      </c>
      <c r="E541" s="1">
        <f ca="1">IFERROR(__xludf.DUMMYFUNCTION("""COMPUTED_VALUE"""),126.84)</f>
        <v>126.84</v>
      </c>
      <c r="F541">
        <f t="shared" ca="1" si="69"/>
        <v>2.7033230471041345E-3</v>
      </c>
      <c r="G541">
        <f t="shared" ca="1" si="70"/>
        <v>6.969524171576977E-3</v>
      </c>
      <c r="H541">
        <f t="shared" ca="1" si="71"/>
        <v>1.9721620331264476E-2</v>
      </c>
      <c r="I541">
        <f t="shared" ca="1" si="72"/>
        <v>-2.6733763170310064E-3</v>
      </c>
      <c r="O541">
        <f t="shared" ca="1" si="73"/>
        <v>1.0450256492039445</v>
      </c>
      <c r="P541">
        <f t="shared" ca="1" si="74"/>
        <v>1.2119109348787562</v>
      </c>
      <c r="Q541">
        <f t="shared" ca="1" si="75"/>
        <v>1.1586063008554155</v>
      </c>
      <c r="R541">
        <f t="shared" ca="1" si="76"/>
        <v>0.97855269248572863</v>
      </c>
    </row>
    <row r="542" spans="1:18" x14ac:dyDescent="0.3">
      <c r="A542" s="2">
        <f ca="1">IFERROR(__xludf.DUMMYFUNCTION("""COMPUTED_VALUE"""),45009.6666666666)</f>
        <v>45009.666666666599</v>
      </c>
      <c r="B542" s="1">
        <f ca="1">IFERROR(__xludf.DUMMYFUNCTION("""COMPUTED_VALUE"""),395.75)</f>
        <v>395.75</v>
      </c>
      <c r="C542" s="1">
        <f ca="1">IFERROR(__xludf.DUMMYFUNCTION("""COMPUTED_VALUE"""),160.25)</f>
        <v>160.25</v>
      </c>
      <c r="D542" s="1">
        <f ca="1">IFERROR(__xludf.DUMMYFUNCTION("""COMPUTED_VALUE"""),280.57)</f>
        <v>280.57</v>
      </c>
      <c r="E542" s="1">
        <f ca="1">IFERROR(__xludf.DUMMYFUNCTION("""COMPUTED_VALUE"""),124.91)</f>
        <v>124.91</v>
      </c>
      <c r="F542">
        <f t="shared" ca="1" si="69"/>
        <v>6.5620469517002414E-3</v>
      </c>
      <c r="G542">
        <f t="shared" ca="1" si="70"/>
        <v>8.3055433209588692E-3</v>
      </c>
      <c r="H542">
        <f t="shared" ca="1" si="71"/>
        <v>1.0480443708132132E-2</v>
      </c>
      <c r="I542">
        <f t="shared" ca="1" si="72"/>
        <v>-1.5216020182907653E-2</v>
      </c>
      <c r="O542">
        <f t="shared" ca="1" si="73"/>
        <v>1.0518831565797517</v>
      </c>
      <c r="P542">
        <f t="shared" ca="1" si="74"/>
        <v>1.2219765136495355</v>
      </c>
      <c r="Q542">
        <f t="shared" ca="1" si="75"/>
        <v>1.1707490089714179</v>
      </c>
      <c r="R542">
        <f t="shared" ca="1" si="76"/>
        <v>0.96366301496682716</v>
      </c>
    </row>
    <row r="543" spans="1:18" x14ac:dyDescent="0.3">
      <c r="A543" s="2">
        <f ca="1">IFERROR(__xludf.DUMMYFUNCTION("""COMPUTED_VALUE"""),45012.6666666666)</f>
        <v>45012.666666666599</v>
      </c>
      <c r="B543" s="1">
        <f ca="1">IFERROR(__xludf.DUMMYFUNCTION("""COMPUTED_VALUE"""),396.49)</f>
        <v>396.49</v>
      </c>
      <c r="C543" s="1">
        <f ca="1">IFERROR(__xludf.DUMMYFUNCTION("""COMPUTED_VALUE"""),158.28)</f>
        <v>158.28</v>
      </c>
      <c r="D543" s="1">
        <f ca="1">IFERROR(__xludf.DUMMYFUNCTION("""COMPUTED_VALUE"""),276.38)</f>
        <v>276.38</v>
      </c>
      <c r="E543" s="1">
        <f ca="1">IFERROR(__xludf.DUMMYFUNCTION("""COMPUTED_VALUE"""),128.49)</f>
        <v>128.49</v>
      </c>
      <c r="F543">
        <f t="shared" ca="1" si="69"/>
        <v>1.8698673404927582E-3</v>
      </c>
      <c r="G543">
        <f t="shared" ca="1" si="70"/>
        <v>-1.2293291731669259E-2</v>
      </c>
      <c r="H543">
        <f t="shared" ca="1" si="71"/>
        <v>-1.49338845920804E-2</v>
      </c>
      <c r="I543">
        <f t="shared" ca="1" si="72"/>
        <v>2.8660635657673624E-2</v>
      </c>
      <c r="O543">
        <f t="shared" ca="1" si="73"/>
        <v>1.0538500385402545</v>
      </c>
      <c r="P543">
        <f t="shared" ca="1" si="74"/>
        <v>1.2069543998779937</v>
      </c>
      <c r="Q543">
        <f t="shared" ca="1" si="75"/>
        <v>1.1532651783851462</v>
      </c>
      <c r="R543">
        <f t="shared" ca="1" si="76"/>
        <v>0.99128220953556656</v>
      </c>
    </row>
    <row r="544" spans="1:18" x14ac:dyDescent="0.3">
      <c r="A544" s="2">
        <f ca="1">IFERROR(__xludf.DUMMYFUNCTION("""COMPUTED_VALUE"""),45013.6666666666)</f>
        <v>45013.666666666599</v>
      </c>
      <c r="B544" s="1">
        <f ca="1">IFERROR(__xludf.DUMMYFUNCTION("""COMPUTED_VALUE"""),395.6)</f>
        <v>395.6</v>
      </c>
      <c r="C544" s="1">
        <f ca="1">IFERROR(__xludf.DUMMYFUNCTION("""COMPUTED_VALUE"""),157.65)</f>
        <v>157.65</v>
      </c>
      <c r="D544" s="1">
        <f ca="1">IFERROR(__xludf.DUMMYFUNCTION("""COMPUTED_VALUE"""),275.23)</f>
        <v>275.23</v>
      </c>
      <c r="E544" s="1">
        <f ca="1">IFERROR(__xludf.DUMMYFUNCTION("""COMPUTED_VALUE"""),128.88)</f>
        <v>128.88</v>
      </c>
      <c r="F544">
        <f t="shared" ca="1" si="69"/>
        <v>-2.2446972180886942E-3</v>
      </c>
      <c r="G544">
        <f t="shared" ca="1" si="70"/>
        <v>-3.9802880970431862E-3</v>
      </c>
      <c r="H544">
        <f t="shared" ca="1" si="71"/>
        <v>-4.1609378392068064E-3</v>
      </c>
      <c r="I544">
        <f t="shared" ca="1" si="72"/>
        <v>3.0352556619191091E-3</v>
      </c>
      <c r="O544">
        <f t="shared" ca="1" si="73"/>
        <v>1.0514844642904604</v>
      </c>
      <c r="P544">
        <f t="shared" ca="1" si="74"/>
        <v>1.2021503736464854</v>
      </c>
      <c r="Q544">
        <f t="shared" ca="1" si="75"/>
        <v>1.1484665136657639</v>
      </c>
      <c r="R544">
        <f t="shared" ca="1" si="76"/>
        <v>0.99429100447461904</v>
      </c>
    </row>
    <row r="545" spans="1:18" x14ac:dyDescent="0.3">
      <c r="A545" s="2">
        <f ca="1">IFERROR(__xludf.DUMMYFUNCTION("""COMPUTED_VALUE"""),45014.6666666666)</f>
        <v>45014.666666666599</v>
      </c>
      <c r="B545" s="1">
        <f ca="1">IFERROR(__xludf.DUMMYFUNCTION("""COMPUTED_VALUE"""),401.35)</f>
        <v>401.35</v>
      </c>
      <c r="C545" s="1">
        <f ca="1">IFERROR(__xludf.DUMMYFUNCTION("""COMPUTED_VALUE"""),160.77)</f>
        <v>160.77000000000001</v>
      </c>
      <c r="D545" s="1">
        <f ca="1">IFERROR(__xludf.DUMMYFUNCTION("""COMPUTED_VALUE"""),280.51)</f>
        <v>280.51</v>
      </c>
      <c r="E545" s="1">
        <f ca="1">IFERROR(__xludf.DUMMYFUNCTION("""COMPUTED_VALUE"""),129.14)</f>
        <v>129.13999999999999</v>
      </c>
      <c r="F545">
        <f t="shared" ca="1" si="69"/>
        <v>1.4534883720930232E-2</v>
      </c>
      <c r="G545">
        <f t="shared" ca="1" si="70"/>
        <v>1.9790675547098031E-2</v>
      </c>
      <c r="H545">
        <f t="shared" ca="1" si="71"/>
        <v>1.918395523743768E-2</v>
      </c>
      <c r="I545">
        <f t="shared" ca="1" si="72"/>
        <v>2.0173805090005501E-3</v>
      </c>
      <c r="O545">
        <f t="shared" ca="1" si="73"/>
        <v>1.0667676687132868</v>
      </c>
      <c r="P545">
        <f t="shared" ca="1" si="74"/>
        <v>1.2259417416501457</v>
      </c>
      <c r="Q545">
        <f t="shared" ca="1" si="75"/>
        <v>1.1704986438556242</v>
      </c>
      <c r="R545">
        <f t="shared" ca="1" si="76"/>
        <v>0.99629686776732063</v>
      </c>
    </row>
    <row r="546" spans="1:18" x14ac:dyDescent="0.3">
      <c r="A546" s="2">
        <f ca="1">IFERROR(__xludf.DUMMYFUNCTION("""COMPUTED_VALUE"""),45015.6666666666)</f>
        <v>45015.666666666599</v>
      </c>
      <c r="B546" s="1">
        <f ca="1">IFERROR(__xludf.DUMMYFUNCTION("""COMPUTED_VALUE"""),403.7)</f>
        <v>403.7</v>
      </c>
      <c r="C546" s="1">
        <f ca="1">IFERROR(__xludf.DUMMYFUNCTION("""COMPUTED_VALUE"""),162.36)</f>
        <v>162.36000000000001</v>
      </c>
      <c r="D546" s="1">
        <f ca="1">IFERROR(__xludf.DUMMYFUNCTION("""COMPUTED_VALUE"""),284.05)</f>
        <v>284.05</v>
      </c>
      <c r="E546" s="1">
        <f ca="1">IFERROR(__xludf.DUMMYFUNCTION("""COMPUTED_VALUE"""),128.75)</f>
        <v>128.75</v>
      </c>
      <c r="F546">
        <f t="shared" ca="1" si="69"/>
        <v>5.8552385698267487E-3</v>
      </c>
      <c r="G546">
        <f t="shared" ca="1" si="70"/>
        <v>9.8899048329912503E-3</v>
      </c>
      <c r="H546">
        <f t="shared" ca="1" si="71"/>
        <v>1.2619870949342343E-2</v>
      </c>
      <c r="I546">
        <f t="shared" ca="1" si="72"/>
        <v>-3.0199783181042777E-3</v>
      </c>
      <c r="O546">
        <f t="shared" ca="1" si="73"/>
        <v>1.0730138479121809</v>
      </c>
      <c r="P546">
        <f t="shared" ca="1" si="74"/>
        <v>1.2380661888058571</v>
      </c>
      <c r="Q546">
        <f t="shared" ca="1" si="75"/>
        <v>1.1852701856874623</v>
      </c>
      <c r="R546">
        <f t="shared" ca="1" si="76"/>
        <v>0.99328807282826814</v>
      </c>
    </row>
    <row r="547" spans="1:18" x14ac:dyDescent="0.3">
      <c r="A547" s="2">
        <f ca="1">IFERROR(__xludf.DUMMYFUNCTION("""COMPUTED_VALUE"""),45016.6666666666)</f>
        <v>45016.666666666599</v>
      </c>
      <c r="B547" s="1">
        <f ca="1">IFERROR(__xludf.DUMMYFUNCTION("""COMPUTED_VALUE"""),409.39)</f>
        <v>409.39</v>
      </c>
      <c r="C547" s="1">
        <f ca="1">IFERROR(__xludf.DUMMYFUNCTION("""COMPUTED_VALUE"""),164.9)</f>
        <v>164.9</v>
      </c>
      <c r="D547" s="1">
        <f ca="1">IFERROR(__xludf.DUMMYFUNCTION("""COMPUTED_VALUE"""),288.3)</f>
        <v>288.3</v>
      </c>
      <c r="E547" s="1">
        <f ca="1">IFERROR(__xludf.DUMMYFUNCTION("""COMPUTED_VALUE"""),130.31)</f>
        <v>130.31</v>
      </c>
      <c r="F547">
        <f t="shared" ca="1" si="69"/>
        <v>1.4094624721327713E-2</v>
      </c>
      <c r="G547">
        <f t="shared" ca="1" si="70"/>
        <v>1.5644247351564375E-2</v>
      </c>
      <c r="H547">
        <f t="shared" ca="1" si="71"/>
        <v>1.4962154550255236E-2</v>
      </c>
      <c r="I547">
        <f t="shared" ca="1" si="72"/>
        <v>1.2116504854368949E-2</v>
      </c>
      <c r="O547">
        <f t="shared" ca="1" si="73"/>
        <v>1.0881375754192908</v>
      </c>
      <c r="P547">
        <f t="shared" ca="1" si="74"/>
        <v>1.2574348025011444</v>
      </c>
      <c r="Q547">
        <f t="shared" ca="1" si="75"/>
        <v>1.2030043813895277</v>
      </c>
      <c r="R547">
        <f t="shared" ca="1" si="76"/>
        <v>1.0053232525844786</v>
      </c>
    </row>
    <row r="548" spans="1:18" x14ac:dyDescent="0.3">
      <c r="A548" s="2">
        <f ca="1">IFERROR(__xludf.DUMMYFUNCTION("""COMPUTED_VALUE"""),45019.6666666666)</f>
        <v>45019.666666666599</v>
      </c>
      <c r="B548" s="1">
        <f ca="1">IFERROR(__xludf.DUMMYFUNCTION("""COMPUTED_VALUE"""),410.95)</f>
        <v>410.95</v>
      </c>
      <c r="C548" s="1">
        <f ca="1">IFERROR(__xludf.DUMMYFUNCTION("""COMPUTED_VALUE"""),166.17)</f>
        <v>166.17</v>
      </c>
      <c r="D548" s="1">
        <f ca="1">IFERROR(__xludf.DUMMYFUNCTION("""COMPUTED_VALUE"""),287.23)</f>
        <v>287.23</v>
      </c>
      <c r="E548" s="1">
        <f ca="1">IFERROR(__xludf.DUMMYFUNCTION("""COMPUTED_VALUE"""),130.16)</f>
        <v>130.16</v>
      </c>
      <c r="F548">
        <f t="shared" ca="1" si="69"/>
        <v>3.8105473997899369E-3</v>
      </c>
      <c r="G548">
        <f t="shared" ca="1" si="70"/>
        <v>7.7016373559732065E-3</v>
      </c>
      <c r="H548">
        <f t="shared" ca="1" si="71"/>
        <v>-3.7114117238986927E-3</v>
      </c>
      <c r="I548">
        <f t="shared" ca="1" si="72"/>
        <v>-1.1511012201673369E-3</v>
      </c>
      <c r="O548">
        <f t="shared" ca="1" si="73"/>
        <v>1.0922839752279185</v>
      </c>
      <c r="P548">
        <f t="shared" ca="1" si="74"/>
        <v>1.2671191093487881</v>
      </c>
      <c r="Q548">
        <f t="shared" ca="1" si="75"/>
        <v>1.1985395368245371</v>
      </c>
      <c r="R548">
        <f t="shared" ca="1" si="76"/>
        <v>1.004166023761766</v>
      </c>
    </row>
    <row r="549" spans="1:18" x14ac:dyDescent="0.3">
      <c r="A549" s="2">
        <f ca="1">IFERROR(__xludf.DUMMYFUNCTION("""COMPUTED_VALUE"""),45020.6666666666)</f>
        <v>45020.666666666599</v>
      </c>
      <c r="B549" s="1">
        <f ca="1">IFERROR(__xludf.DUMMYFUNCTION("""COMPUTED_VALUE"""),408.67)</f>
        <v>408.67</v>
      </c>
      <c r="C549" s="1">
        <f ca="1">IFERROR(__xludf.DUMMYFUNCTION("""COMPUTED_VALUE"""),165.63)</f>
        <v>165.63</v>
      </c>
      <c r="D549" s="1">
        <f ca="1">IFERROR(__xludf.DUMMYFUNCTION("""COMPUTED_VALUE"""),287.18)</f>
        <v>287.18</v>
      </c>
      <c r="E549" s="1">
        <f ca="1">IFERROR(__xludf.DUMMYFUNCTION("""COMPUTED_VALUE"""),128.42)</f>
        <v>128.41999999999999</v>
      </c>
      <c r="F549">
        <f t="shared" ca="1" si="69"/>
        <v>-5.5481202092711344E-3</v>
      </c>
      <c r="G549">
        <f t="shared" ca="1" si="70"/>
        <v>-3.2496840584942655E-3</v>
      </c>
      <c r="H549">
        <f t="shared" ca="1" si="71"/>
        <v>-1.7407652404000755E-4</v>
      </c>
      <c r="I549">
        <f t="shared" ca="1" si="72"/>
        <v>-1.3368162261831662E-2</v>
      </c>
      <c r="O549">
        <f t="shared" ca="1" si="73"/>
        <v>1.0862238524306935</v>
      </c>
      <c r="P549">
        <f t="shared" ca="1" si="74"/>
        <v>1.263001372578924</v>
      </c>
      <c r="Q549">
        <f t="shared" ca="1" si="75"/>
        <v>1.1983308992280421</v>
      </c>
      <c r="R549">
        <f t="shared" ca="1" si="76"/>
        <v>0.9907421694183004</v>
      </c>
    </row>
    <row r="550" spans="1:18" x14ac:dyDescent="0.3">
      <c r="A550" s="2">
        <f ca="1">IFERROR(__xludf.DUMMYFUNCTION("""COMPUTED_VALUE"""),45021.6666666666)</f>
        <v>45021.666666666599</v>
      </c>
      <c r="B550" s="1">
        <f ca="1">IFERROR(__xludf.DUMMYFUNCTION("""COMPUTED_VALUE"""),407.6)</f>
        <v>407.6</v>
      </c>
      <c r="C550" s="1">
        <f ca="1">IFERROR(__xludf.DUMMYFUNCTION("""COMPUTED_VALUE"""),163.76)</f>
        <v>163.76</v>
      </c>
      <c r="D550" s="1">
        <f ca="1">IFERROR(__xludf.DUMMYFUNCTION("""COMPUTED_VALUE"""),284.34)</f>
        <v>284.33999999999997</v>
      </c>
      <c r="E550" s="1">
        <f ca="1">IFERROR(__xludf.DUMMYFUNCTION("""COMPUTED_VALUE"""),127.61)</f>
        <v>127.61</v>
      </c>
      <c r="F550">
        <f t="shared" ca="1" si="69"/>
        <v>-2.6182494433161061E-3</v>
      </c>
      <c r="G550">
        <f t="shared" ca="1" si="70"/>
        <v>-1.1290225200748684E-2</v>
      </c>
      <c r="H550">
        <f t="shared" ca="1" si="71"/>
        <v>-9.889268054878584E-3</v>
      </c>
      <c r="I550">
        <f t="shared" ca="1" si="72"/>
        <v>-6.3074287494158865E-3</v>
      </c>
      <c r="O550">
        <f t="shared" ca="1" si="73"/>
        <v>1.0833798474337502</v>
      </c>
      <c r="P550">
        <f t="shared" ca="1" si="74"/>
        <v>1.2487418026536532</v>
      </c>
      <c r="Q550">
        <f t="shared" ca="1" si="75"/>
        <v>1.1864802837471324</v>
      </c>
      <c r="R550">
        <f t="shared" ca="1" si="76"/>
        <v>0.98449313377565273</v>
      </c>
    </row>
    <row r="551" spans="1:18" x14ac:dyDescent="0.3">
      <c r="A551" s="2">
        <f ca="1">IFERROR(__xludf.DUMMYFUNCTION("""COMPUTED_VALUE"""),45022.6666666666)</f>
        <v>45022.666666666599</v>
      </c>
      <c r="B551" s="1">
        <f ca="1">IFERROR(__xludf.DUMMYFUNCTION("""COMPUTED_VALUE"""),409.19)</f>
        <v>409.19</v>
      </c>
      <c r="C551" s="1">
        <f ca="1">IFERROR(__xludf.DUMMYFUNCTION("""COMPUTED_VALUE"""),164.66)</f>
        <v>164.66</v>
      </c>
      <c r="D551" s="1">
        <f ca="1">IFERROR(__xludf.DUMMYFUNCTION("""COMPUTED_VALUE"""),291.6)</f>
        <v>291.60000000000002</v>
      </c>
      <c r="E551" s="1">
        <f ca="1">IFERROR(__xludf.DUMMYFUNCTION("""COMPUTED_VALUE"""),127.47)</f>
        <v>127.47</v>
      </c>
      <c r="F551">
        <f t="shared" ca="1" si="69"/>
        <v>3.9008832188419402E-3</v>
      </c>
      <c r="G551">
        <f t="shared" ca="1" si="70"/>
        <v>5.4958475818270994E-3</v>
      </c>
      <c r="H551">
        <f t="shared" ca="1" si="71"/>
        <v>2.553281282971108E-2</v>
      </c>
      <c r="I551">
        <f t="shared" ca="1" si="72"/>
        <v>-1.0970927043335206E-3</v>
      </c>
      <c r="O551">
        <f t="shared" ca="1" si="73"/>
        <v>1.0876059857002358</v>
      </c>
      <c r="P551">
        <f t="shared" ca="1" si="74"/>
        <v>1.2556046972700938</v>
      </c>
      <c r="Q551">
        <f t="shared" ca="1" si="75"/>
        <v>1.2167744627581905</v>
      </c>
      <c r="R551">
        <f t="shared" ca="1" si="76"/>
        <v>0.98341305354112096</v>
      </c>
    </row>
    <row r="552" spans="1:18" x14ac:dyDescent="0.3">
      <c r="A552" s="2">
        <f ca="1">IFERROR(__xludf.DUMMYFUNCTION("""COMPUTED_VALUE"""),45026.6666666666)</f>
        <v>45026.666666666599</v>
      </c>
      <c r="B552" s="1">
        <f ca="1">IFERROR(__xludf.DUMMYFUNCTION("""COMPUTED_VALUE"""),409.61)</f>
        <v>409.61</v>
      </c>
      <c r="C552" s="1">
        <f ca="1">IFERROR(__xludf.DUMMYFUNCTION("""COMPUTED_VALUE"""),162.03)</f>
        <v>162.03</v>
      </c>
      <c r="D552" s="1">
        <f ca="1">IFERROR(__xludf.DUMMYFUNCTION("""COMPUTED_VALUE"""),289.39)</f>
        <v>289.39</v>
      </c>
      <c r="E552" s="1">
        <f ca="1">IFERROR(__xludf.DUMMYFUNCTION("""COMPUTED_VALUE"""),127.89)</f>
        <v>127.89</v>
      </c>
      <c r="F552">
        <f t="shared" ca="1" si="69"/>
        <v>1.0264180454068181E-3</v>
      </c>
      <c r="G552">
        <f t="shared" ca="1" si="70"/>
        <v>-1.5972306571116212E-2</v>
      </c>
      <c r="H552">
        <f t="shared" ca="1" si="71"/>
        <v>-7.5788751714678882E-3</v>
      </c>
      <c r="I552">
        <f t="shared" ca="1" si="72"/>
        <v>3.2948929159802441E-3</v>
      </c>
      <c r="O552">
        <f t="shared" ca="1" si="73"/>
        <v>1.0887223241102508</v>
      </c>
      <c r="P552">
        <f t="shared" ca="1" si="74"/>
        <v>1.2355497941131623</v>
      </c>
      <c r="Q552">
        <f t="shared" ca="1" si="75"/>
        <v>1.2075526809931161</v>
      </c>
      <c r="R552">
        <f t="shared" ca="1" si="76"/>
        <v>0.98665329424471604</v>
      </c>
    </row>
    <row r="553" spans="1:18" x14ac:dyDescent="0.3">
      <c r="A553" s="2">
        <f ca="1">IFERROR(__xludf.DUMMYFUNCTION("""COMPUTED_VALUE"""),45027.6666666666)</f>
        <v>45027.666666666599</v>
      </c>
      <c r="B553" s="1">
        <f ca="1">IFERROR(__xludf.DUMMYFUNCTION("""COMPUTED_VALUE"""),409.72)</f>
        <v>409.72</v>
      </c>
      <c r="C553" s="1">
        <f ca="1">IFERROR(__xludf.DUMMYFUNCTION("""COMPUTED_VALUE"""),160.8)</f>
        <v>160.80000000000001</v>
      </c>
      <c r="D553" s="1">
        <f ca="1">IFERROR(__xludf.DUMMYFUNCTION("""COMPUTED_VALUE"""),282.83)</f>
        <v>282.83</v>
      </c>
      <c r="E553" s="1">
        <f ca="1">IFERROR(__xludf.DUMMYFUNCTION("""COMPUTED_VALUE"""),128.52)</f>
        <v>128.52000000000001</v>
      </c>
      <c r="F553">
        <f t="shared" ca="1" si="69"/>
        <v>2.6854813114917514E-4</v>
      </c>
      <c r="G553">
        <f t="shared" ca="1" si="70"/>
        <v>-7.5911868172560005E-3</v>
      </c>
      <c r="H553">
        <f t="shared" ca="1" si="71"/>
        <v>-2.266837140191438E-2</v>
      </c>
      <c r="I553">
        <f t="shared" ca="1" si="72"/>
        <v>4.926108374384312E-3</v>
      </c>
      <c r="O553">
        <f t="shared" ca="1" si="73"/>
        <v>1.089014698455731</v>
      </c>
      <c r="P553">
        <f t="shared" ca="1" si="74"/>
        <v>1.2261705048040272</v>
      </c>
      <c r="Q553">
        <f t="shared" ca="1" si="75"/>
        <v>1.1801794283329867</v>
      </c>
      <c r="R553">
        <f t="shared" ca="1" si="76"/>
        <v>0.99151365530010882</v>
      </c>
    </row>
    <row r="554" spans="1:18" x14ac:dyDescent="0.3">
      <c r="A554" s="2">
        <f ca="1">IFERROR(__xludf.DUMMYFUNCTION("""COMPUTED_VALUE"""),45028.6666666666)</f>
        <v>45028.666666666599</v>
      </c>
      <c r="B554" s="1">
        <f ca="1">IFERROR(__xludf.DUMMYFUNCTION("""COMPUTED_VALUE"""),408.05)</f>
        <v>408.05</v>
      </c>
      <c r="C554" s="1">
        <f ca="1">IFERROR(__xludf.DUMMYFUNCTION("""COMPUTED_VALUE"""),160.1)</f>
        <v>160.1</v>
      </c>
      <c r="D554" s="1">
        <f ca="1">IFERROR(__xludf.DUMMYFUNCTION("""COMPUTED_VALUE"""),283.49)</f>
        <v>283.49</v>
      </c>
      <c r="E554" s="1">
        <f ca="1">IFERROR(__xludf.DUMMYFUNCTION("""COMPUTED_VALUE"""),128.5)</f>
        <v>128.5</v>
      </c>
      <c r="F554">
        <f t="shared" ca="1" si="69"/>
        <v>-4.075954310260704E-3</v>
      </c>
      <c r="G554">
        <f t="shared" ca="1" si="70"/>
        <v>-4.3532338308458771E-3</v>
      </c>
      <c r="H554">
        <f t="shared" ca="1" si="71"/>
        <v>2.3335572605452924E-3</v>
      </c>
      <c r="I554">
        <f t="shared" ca="1" si="72"/>
        <v>-1.5561780267670579E-4</v>
      </c>
      <c r="O554">
        <f t="shared" ca="1" si="73"/>
        <v>1.0845759243016231</v>
      </c>
      <c r="P554">
        <f t="shared" ca="1" si="74"/>
        <v>1.2208326978801289</v>
      </c>
      <c r="Q554">
        <f t="shared" ca="1" si="75"/>
        <v>1.1829334446067192</v>
      </c>
      <c r="R554">
        <f t="shared" ca="1" si="76"/>
        <v>0.99135935812374709</v>
      </c>
    </row>
    <row r="555" spans="1:18" x14ac:dyDescent="0.3">
      <c r="A555" s="2">
        <f ca="1">IFERROR(__xludf.DUMMYFUNCTION("""COMPUTED_VALUE"""),45029.6666666666)</f>
        <v>45029.666666666599</v>
      </c>
      <c r="B555" s="1">
        <f ca="1">IFERROR(__xludf.DUMMYFUNCTION("""COMPUTED_VALUE"""),413.47)</f>
        <v>413.47</v>
      </c>
      <c r="C555" s="1">
        <f ca="1">IFERROR(__xludf.DUMMYFUNCTION("""COMPUTED_VALUE"""),165.56)</f>
        <v>165.56</v>
      </c>
      <c r="D555" s="1">
        <f ca="1">IFERROR(__xludf.DUMMYFUNCTION("""COMPUTED_VALUE"""),289.84)</f>
        <v>289.83999999999997</v>
      </c>
      <c r="E555" s="1">
        <f ca="1">IFERROR(__xludf.DUMMYFUNCTION("""COMPUTED_VALUE"""),128.99)</f>
        <v>128.99</v>
      </c>
      <c r="F555">
        <f t="shared" ca="1" si="69"/>
        <v>1.3282685945349874E-2</v>
      </c>
      <c r="G555">
        <f t="shared" ca="1" si="70"/>
        <v>3.4103685196752082E-2</v>
      </c>
      <c r="H555">
        <f t="shared" ca="1" si="71"/>
        <v>2.2399379166813522E-2</v>
      </c>
      <c r="I555">
        <f t="shared" ca="1" si="72"/>
        <v>3.8132295719845066E-3</v>
      </c>
      <c r="O555">
        <f t="shared" ca="1" si="73"/>
        <v>1.0989820056880091</v>
      </c>
      <c r="P555">
        <f t="shared" ca="1" si="74"/>
        <v>1.2624675918865342</v>
      </c>
      <c r="Q555">
        <f t="shared" ca="1" si="75"/>
        <v>1.2094304193615699</v>
      </c>
      <c r="R555">
        <f t="shared" ca="1" si="76"/>
        <v>0.99513963894460822</v>
      </c>
    </row>
    <row r="556" spans="1:18" x14ac:dyDescent="0.3">
      <c r="A556" s="2">
        <f ca="1">IFERROR(__xludf.DUMMYFUNCTION("""COMPUTED_VALUE"""),45030.6666666666)</f>
        <v>45030.666666666599</v>
      </c>
      <c r="B556" s="1">
        <f ca="1">IFERROR(__xludf.DUMMYFUNCTION("""COMPUTED_VALUE"""),412.46)</f>
        <v>412.46</v>
      </c>
      <c r="C556" s="1">
        <f ca="1">IFERROR(__xludf.DUMMYFUNCTION("""COMPUTED_VALUE"""),165.21)</f>
        <v>165.21</v>
      </c>
      <c r="D556" s="1">
        <f ca="1">IFERROR(__xludf.DUMMYFUNCTION("""COMPUTED_VALUE"""),286.14)</f>
        <v>286.14</v>
      </c>
      <c r="E556" s="1">
        <f ca="1">IFERROR(__xludf.DUMMYFUNCTION("""COMPUTED_VALUE"""),138.73)</f>
        <v>138.72999999999999</v>
      </c>
      <c r="F556">
        <f t="shared" ca="1" si="69"/>
        <v>-2.4427407067019315E-3</v>
      </c>
      <c r="G556">
        <f t="shared" ca="1" si="70"/>
        <v>-2.11403720705481E-3</v>
      </c>
      <c r="H556">
        <f t="shared" ca="1" si="71"/>
        <v>-1.2765663814518317E-2</v>
      </c>
      <c r="I556">
        <f t="shared" ca="1" si="72"/>
        <v>7.5509729436390269E-2</v>
      </c>
      <c r="O556">
        <f t="shared" ca="1" si="73"/>
        <v>1.096297477606782</v>
      </c>
      <c r="P556">
        <f t="shared" ca="1" si="74"/>
        <v>1.2597986884245851</v>
      </c>
      <c r="Q556">
        <f t="shared" ca="1" si="75"/>
        <v>1.1939912372209482</v>
      </c>
      <c r="R556">
        <f t="shared" ca="1" si="76"/>
        <v>1.0702823638327426</v>
      </c>
    </row>
    <row r="557" spans="1:18" x14ac:dyDescent="0.3">
      <c r="A557" s="2">
        <f ca="1">IFERROR(__xludf.DUMMYFUNCTION("""COMPUTED_VALUE"""),45033.6666666666)</f>
        <v>45033.666666666599</v>
      </c>
      <c r="B557" s="1">
        <f ca="1">IFERROR(__xludf.DUMMYFUNCTION("""COMPUTED_VALUE"""),413.94)</f>
        <v>413.94</v>
      </c>
      <c r="C557" s="1">
        <f ca="1">IFERROR(__xludf.DUMMYFUNCTION("""COMPUTED_VALUE"""),165.23)</f>
        <v>165.23</v>
      </c>
      <c r="D557" s="1">
        <f ca="1">IFERROR(__xludf.DUMMYFUNCTION("""COMPUTED_VALUE"""),288.8)</f>
        <v>288.8</v>
      </c>
      <c r="E557" s="1">
        <f ca="1">IFERROR(__xludf.DUMMYFUNCTION("""COMPUTED_VALUE"""),139.83)</f>
        <v>139.83000000000001</v>
      </c>
      <c r="F557">
        <f t="shared" ca="1" si="69"/>
        <v>3.5882267371381911E-3</v>
      </c>
      <c r="G557">
        <f t="shared" ca="1" si="70"/>
        <v>1.210580473335864E-4</v>
      </c>
      <c r="H557">
        <f t="shared" ca="1" si="71"/>
        <v>9.2961487383799012E-3</v>
      </c>
      <c r="I557">
        <f t="shared" ca="1" si="72"/>
        <v>7.9290708570606411E-3</v>
      </c>
      <c r="O557">
        <f t="shared" ca="1" si="73"/>
        <v>1.1002312415277877</v>
      </c>
      <c r="P557">
        <f t="shared" ca="1" si="74"/>
        <v>1.2599511971938393</v>
      </c>
      <c r="Q557">
        <f t="shared" ca="1" si="75"/>
        <v>1.2050907573544762</v>
      </c>
      <c r="R557">
        <f t="shared" ca="1" si="76"/>
        <v>1.0787687085326347</v>
      </c>
    </row>
    <row r="558" spans="1:18" x14ac:dyDescent="0.3">
      <c r="A558" s="2">
        <f ca="1">IFERROR(__xludf.DUMMYFUNCTION("""COMPUTED_VALUE"""),45034.6666666666)</f>
        <v>45034.666666666599</v>
      </c>
      <c r="B558" s="1">
        <f ca="1">IFERROR(__xludf.DUMMYFUNCTION("""COMPUTED_VALUE"""),414.21)</f>
        <v>414.21</v>
      </c>
      <c r="C558" s="1">
        <f ca="1">IFERROR(__xludf.DUMMYFUNCTION("""COMPUTED_VALUE"""),166.47)</f>
        <v>166.47</v>
      </c>
      <c r="D558" s="1">
        <f ca="1">IFERROR(__xludf.DUMMYFUNCTION("""COMPUTED_VALUE"""),288.37)</f>
        <v>288.37</v>
      </c>
      <c r="E558" s="1">
        <f ca="1">IFERROR(__xludf.DUMMYFUNCTION("""COMPUTED_VALUE"""),141.4)</f>
        <v>141.4</v>
      </c>
      <c r="F558">
        <f t="shared" ca="1" si="69"/>
        <v>6.522684447020868E-4</v>
      </c>
      <c r="G558">
        <f t="shared" ca="1" si="70"/>
        <v>7.5046904315197553E-3</v>
      </c>
      <c r="H558">
        <f t="shared" ca="1" si="71"/>
        <v>-1.4889196675900512E-3</v>
      </c>
      <c r="I558">
        <f t="shared" ca="1" si="72"/>
        <v>1.1227919616677344E-2</v>
      </c>
      <c r="O558">
        <f t="shared" ca="1" si="73"/>
        <v>1.1009488876485118</v>
      </c>
      <c r="P558">
        <f t="shared" ca="1" si="74"/>
        <v>1.2694067408876017</v>
      </c>
      <c r="Q558">
        <f t="shared" ca="1" si="75"/>
        <v>1.2032964740246201</v>
      </c>
      <c r="R558">
        <f t="shared" ca="1" si="76"/>
        <v>1.0908810368770261</v>
      </c>
    </row>
    <row r="559" spans="1:18" x14ac:dyDescent="0.3">
      <c r="A559" s="2">
        <f ca="1">IFERROR(__xludf.DUMMYFUNCTION("""COMPUTED_VALUE"""),45035.6666666666)</f>
        <v>45035.666666666599</v>
      </c>
      <c r="B559" s="1">
        <f ca="1">IFERROR(__xludf.DUMMYFUNCTION("""COMPUTED_VALUE"""),414.14)</f>
        <v>414.14</v>
      </c>
      <c r="C559" s="1">
        <f ca="1">IFERROR(__xludf.DUMMYFUNCTION("""COMPUTED_VALUE"""),167.63)</f>
        <v>167.63</v>
      </c>
      <c r="D559" s="1">
        <f ca="1">IFERROR(__xludf.DUMMYFUNCTION("""COMPUTED_VALUE"""),288.45)</f>
        <v>288.45</v>
      </c>
      <c r="E559" s="1">
        <f ca="1">IFERROR(__xludf.DUMMYFUNCTION("""COMPUTED_VALUE"""),141.22)</f>
        <v>141.22</v>
      </c>
      <c r="F559">
        <f t="shared" ca="1" si="69"/>
        <v>-1.6899640279083842E-4</v>
      </c>
      <c r="G559">
        <f t="shared" ca="1" si="70"/>
        <v>6.9682225025529919E-3</v>
      </c>
      <c r="H559">
        <f t="shared" ca="1" si="71"/>
        <v>2.7742136838084436E-4</v>
      </c>
      <c r="I559">
        <f t="shared" ca="1" si="72"/>
        <v>-1.2729844413013212E-3</v>
      </c>
      <c r="O559">
        <f t="shared" ca="1" si="73"/>
        <v>1.1007628312468427</v>
      </c>
      <c r="P559">
        <f t="shared" ca="1" si="74"/>
        <v>1.2782522495043471</v>
      </c>
      <c r="Q559">
        <f t="shared" ca="1" si="75"/>
        <v>1.203630294179012</v>
      </c>
      <c r="R559">
        <f t="shared" ca="1" si="76"/>
        <v>1.089492362289771</v>
      </c>
    </row>
    <row r="560" spans="1:18" x14ac:dyDescent="0.3">
      <c r="A560" s="2">
        <f ca="1">IFERROR(__xludf.DUMMYFUNCTION("""COMPUTED_VALUE"""),45036.6666666666)</f>
        <v>45036.666666666599</v>
      </c>
      <c r="B560" s="1">
        <f ca="1">IFERROR(__xludf.DUMMYFUNCTION("""COMPUTED_VALUE"""),411.88)</f>
        <v>411.88</v>
      </c>
      <c r="C560" s="1">
        <f ca="1">IFERROR(__xludf.DUMMYFUNCTION("""COMPUTED_VALUE"""),166.65)</f>
        <v>166.65</v>
      </c>
      <c r="D560" s="1">
        <f ca="1">IFERROR(__xludf.DUMMYFUNCTION("""COMPUTED_VALUE"""),286.11)</f>
        <v>286.11</v>
      </c>
      <c r="E560" s="1">
        <f ca="1">IFERROR(__xludf.DUMMYFUNCTION("""COMPUTED_VALUE"""),140.81)</f>
        <v>140.81</v>
      </c>
      <c r="F560">
        <f t="shared" ca="1" si="69"/>
        <v>-5.457091804703702E-3</v>
      </c>
      <c r="G560">
        <f t="shared" ca="1" si="70"/>
        <v>-5.8462089124857713E-3</v>
      </c>
      <c r="H560">
        <f t="shared" ca="1" si="71"/>
        <v>-8.1123244929796334E-3</v>
      </c>
      <c r="I560">
        <f t="shared" ca="1" si="72"/>
        <v>-2.9032714912901616E-3</v>
      </c>
      <c r="O560">
        <f t="shared" ca="1" si="73"/>
        <v>1.0947558674215232</v>
      </c>
      <c r="P560">
        <f t="shared" ca="1" si="74"/>
        <v>1.2707793198108899</v>
      </c>
      <c r="Q560">
        <f t="shared" ca="1" si="75"/>
        <v>1.1938660546630513</v>
      </c>
      <c r="R560">
        <f t="shared" ca="1" si="76"/>
        <v>1.0863292701743565</v>
      </c>
    </row>
    <row r="561" spans="1:18" x14ac:dyDescent="0.3">
      <c r="A561" s="2">
        <f ca="1">IFERROR(__xludf.DUMMYFUNCTION("""COMPUTED_VALUE"""),45037.6666666666)</f>
        <v>45037.666666666599</v>
      </c>
      <c r="B561" s="1">
        <f ca="1">IFERROR(__xludf.DUMMYFUNCTION("""COMPUTED_VALUE"""),412.2)</f>
        <v>412.2</v>
      </c>
      <c r="C561" s="1">
        <f ca="1">IFERROR(__xludf.DUMMYFUNCTION("""COMPUTED_VALUE"""),165.02)</f>
        <v>165.02</v>
      </c>
      <c r="D561" s="1">
        <f ca="1">IFERROR(__xludf.DUMMYFUNCTION("""COMPUTED_VALUE"""),285.76)</f>
        <v>285.76</v>
      </c>
      <c r="E561" s="1">
        <f ca="1">IFERROR(__xludf.DUMMYFUNCTION("""COMPUTED_VALUE"""),140.54)</f>
        <v>140.54</v>
      </c>
      <c r="F561">
        <f t="shared" ca="1" si="69"/>
        <v>7.7692531805378549E-4</v>
      </c>
      <c r="G561">
        <f t="shared" ca="1" si="70"/>
        <v>-9.7809780978097526E-3</v>
      </c>
      <c r="H561">
        <f t="shared" ca="1" si="71"/>
        <v>-1.2233057215756972E-3</v>
      </c>
      <c r="I561">
        <f t="shared" ca="1" si="72"/>
        <v>-1.9174774518855922E-3</v>
      </c>
      <c r="O561">
        <f t="shared" ca="1" si="73"/>
        <v>1.0956064109720109</v>
      </c>
      <c r="P561">
        <f t="shared" ca="1" si="74"/>
        <v>1.2583498551166701</v>
      </c>
      <c r="Q561">
        <f t="shared" ca="1" si="75"/>
        <v>1.1924055914875871</v>
      </c>
      <c r="R561">
        <f t="shared" ca="1" si="76"/>
        <v>1.0842462582934738</v>
      </c>
    </row>
    <row r="562" spans="1:18" x14ac:dyDescent="0.3">
      <c r="A562" s="2">
        <f ca="1">IFERROR(__xludf.DUMMYFUNCTION("""COMPUTED_VALUE"""),45040.6666666666)</f>
        <v>45040.666666666599</v>
      </c>
      <c r="B562" s="1">
        <f ca="1">IFERROR(__xludf.DUMMYFUNCTION("""COMPUTED_VALUE"""),412.63)</f>
        <v>412.63</v>
      </c>
      <c r="C562" s="1">
        <f ca="1">IFERROR(__xludf.DUMMYFUNCTION("""COMPUTED_VALUE"""),165.33)</f>
        <v>165.33</v>
      </c>
      <c r="D562" s="1">
        <f ca="1">IFERROR(__xludf.DUMMYFUNCTION("""COMPUTED_VALUE"""),281.77)</f>
        <v>281.77</v>
      </c>
      <c r="E562" s="1">
        <f ca="1">IFERROR(__xludf.DUMMYFUNCTION("""COMPUTED_VALUE"""),140.73)</f>
        <v>140.72999999999999</v>
      </c>
      <c r="F562">
        <f t="shared" ca="1" si="69"/>
        <v>1.0431829209121952E-3</v>
      </c>
      <c r="G562">
        <f t="shared" ca="1" si="70"/>
        <v>1.8785601745243137E-3</v>
      </c>
      <c r="H562">
        <f t="shared" ca="1" si="71"/>
        <v>-1.3962765957446841E-2</v>
      </c>
      <c r="I562">
        <f t="shared" ca="1" si="72"/>
        <v>1.3519282766472017E-3</v>
      </c>
      <c r="O562">
        <f t="shared" ca="1" si="73"/>
        <v>1.0967493288679788</v>
      </c>
      <c r="P562">
        <f t="shared" ca="1" si="74"/>
        <v>1.2607137410401108</v>
      </c>
      <c r="Q562">
        <f t="shared" ca="1" si="75"/>
        <v>1.1757563112872949</v>
      </c>
      <c r="R562">
        <f t="shared" ca="1" si="76"/>
        <v>1.0857120814689096</v>
      </c>
    </row>
    <row r="563" spans="1:18" x14ac:dyDescent="0.3">
      <c r="A563" s="2">
        <f ca="1">IFERROR(__xludf.DUMMYFUNCTION("""COMPUTED_VALUE"""),45041.6666666666)</f>
        <v>45041.666666666599</v>
      </c>
      <c r="B563" s="1">
        <f ca="1">IFERROR(__xludf.DUMMYFUNCTION("""COMPUTED_VALUE"""),406.08)</f>
        <v>406.08</v>
      </c>
      <c r="C563" s="1">
        <f ca="1">IFERROR(__xludf.DUMMYFUNCTION("""COMPUTED_VALUE"""),163.77)</f>
        <v>163.77000000000001</v>
      </c>
      <c r="D563" s="1">
        <f ca="1">IFERROR(__xludf.DUMMYFUNCTION("""COMPUTED_VALUE"""),275.42)</f>
        <v>275.42</v>
      </c>
      <c r="E563" s="1">
        <f ca="1">IFERROR(__xludf.DUMMYFUNCTION("""COMPUTED_VALUE"""),137.67)</f>
        <v>137.66999999999999</v>
      </c>
      <c r="F563">
        <f t="shared" ca="1" si="69"/>
        <v>-1.5873785231321064E-2</v>
      </c>
      <c r="G563">
        <f t="shared" ca="1" si="70"/>
        <v>-9.4356741063328017E-3</v>
      </c>
      <c r="H563">
        <f t="shared" ca="1" si="71"/>
        <v>-2.2536111012527827E-2</v>
      </c>
      <c r="I563">
        <f t="shared" ca="1" si="72"/>
        <v>-2.1743764655723745E-2</v>
      </c>
      <c r="O563">
        <f t="shared" ca="1" si="73"/>
        <v>1.079339765568933</v>
      </c>
      <c r="P563">
        <f t="shared" ca="1" si="74"/>
        <v>1.2488180570382805</v>
      </c>
      <c r="Q563">
        <f t="shared" ca="1" si="75"/>
        <v>1.1492593365324442</v>
      </c>
      <c r="R563">
        <f t="shared" ca="1" si="76"/>
        <v>1.0621046134855738</v>
      </c>
    </row>
    <row r="564" spans="1:18" x14ac:dyDescent="0.3">
      <c r="A564" s="2">
        <f ca="1">IFERROR(__xludf.DUMMYFUNCTION("""COMPUTED_VALUE"""),45042.6666666666)</f>
        <v>45042.666666666599</v>
      </c>
      <c r="B564" s="1">
        <f ca="1">IFERROR(__xludf.DUMMYFUNCTION("""COMPUTED_VALUE"""),404.36)</f>
        <v>404.36</v>
      </c>
      <c r="C564" s="1">
        <f ca="1">IFERROR(__xludf.DUMMYFUNCTION("""COMPUTED_VALUE"""),163.76)</f>
        <v>163.76</v>
      </c>
      <c r="D564" s="1">
        <f ca="1">IFERROR(__xludf.DUMMYFUNCTION("""COMPUTED_VALUE"""),295.37)</f>
        <v>295.37</v>
      </c>
      <c r="E564" s="1">
        <f ca="1">IFERROR(__xludf.DUMMYFUNCTION("""COMPUTED_VALUE"""),135.23)</f>
        <v>135.22999999999999</v>
      </c>
      <c r="F564">
        <f t="shared" ca="1" si="69"/>
        <v>-4.2356185973206522E-3</v>
      </c>
      <c r="G564">
        <f t="shared" ca="1" si="70"/>
        <v>-6.106124442827946E-5</v>
      </c>
      <c r="H564">
        <f t="shared" ca="1" si="71"/>
        <v>7.2434826809962924E-2</v>
      </c>
      <c r="I564">
        <f t="shared" ca="1" si="72"/>
        <v>-1.7723541802861901E-2</v>
      </c>
      <c r="O564">
        <f t="shared" ca="1" si="73"/>
        <v>1.0747680939850615</v>
      </c>
      <c r="P564">
        <f t="shared" ca="1" si="74"/>
        <v>1.2487418026536532</v>
      </c>
      <c r="Q564">
        <f t="shared" ca="1" si="75"/>
        <v>1.2325057375339046</v>
      </c>
      <c r="R564">
        <f t="shared" ca="1" si="76"/>
        <v>1.0432803579694496</v>
      </c>
    </row>
    <row r="565" spans="1:18" x14ac:dyDescent="0.3">
      <c r="A565" s="2">
        <f ca="1">IFERROR(__xludf.DUMMYFUNCTION("""COMPUTED_VALUE"""),45043.6666666666)</f>
        <v>45043.666666666599</v>
      </c>
      <c r="B565" s="1">
        <f ca="1">IFERROR(__xludf.DUMMYFUNCTION("""COMPUTED_VALUE"""),412.41)</f>
        <v>412.41</v>
      </c>
      <c r="C565" s="1">
        <f ca="1">IFERROR(__xludf.DUMMYFUNCTION("""COMPUTED_VALUE"""),168.41)</f>
        <v>168.41</v>
      </c>
      <c r="D565" s="1">
        <f ca="1">IFERROR(__xludf.DUMMYFUNCTION("""COMPUTED_VALUE"""),304.83)</f>
        <v>304.83</v>
      </c>
      <c r="E565" s="1">
        <f ca="1">IFERROR(__xludf.DUMMYFUNCTION("""COMPUTED_VALUE"""),137.05)</f>
        <v>137.05000000000001</v>
      </c>
      <c r="F565">
        <f t="shared" ca="1" si="69"/>
        <v>1.990800276980911E-2</v>
      </c>
      <c r="G565">
        <f t="shared" ca="1" si="70"/>
        <v>2.8395212506106535E-2</v>
      </c>
      <c r="H565">
        <f t="shared" ca="1" si="71"/>
        <v>3.2027626366929546E-2</v>
      </c>
      <c r="I565">
        <f t="shared" ca="1" si="72"/>
        <v>1.3458552096428468E-2</v>
      </c>
      <c r="O565">
        <f t="shared" ca="1" si="73"/>
        <v>1.0961645801770186</v>
      </c>
      <c r="P565">
        <f t="shared" ca="1" si="74"/>
        <v>1.284200091505262</v>
      </c>
      <c r="Q565">
        <f t="shared" ca="1" si="75"/>
        <v>1.2719799707907373</v>
      </c>
      <c r="R565">
        <f t="shared" ca="1" si="76"/>
        <v>1.057321401018362</v>
      </c>
    </row>
    <row r="566" spans="1:18" x14ac:dyDescent="0.3">
      <c r="A566" s="2">
        <f ca="1">IFERROR(__xludf.DUMMYFUNCTION("""COMPUTED_VALUE"""),45044.6666666666)</f>
        <v>45044.666666666599</v>
      </c>
      <c r="B566" s="1">
        <f ca="1">IFERROR(__xludf.DUMMYFUNCTION("""COMPUTED_VALUE"""),415.93)</f>
        <v>415.93</v>
      </c>
      <c r="C566" s="1">
        <f ca="1">IFERROR(__xludf.DUMMYFUNCTION("""COMPUTED_VALUE"""),169.68)</f>
        <v>169.68</v>
      </c>
      <c r="D566" s="1">
        <f ca="1">IFERROR(__xludf.DUMMYFUNCTION("""COMPUTED_VALUE"""),307.26)</f>
        <v>307.26</v>
      </c>
      <c r="E566" s="1">
        <f ca="1">IFERROR(__xludf.DUMMYFUNCTION("""COMPUTED_VALUE"""),138.24)</f>
        <v>138.24</v>
      </c>
      <c r="F566">
        <f t="shared" ca="1" si="69"/>
        <v>8.5351955578186305E-3</v>
      </c>
      <c r="G566">
        <f t="shared" ca="1" si="70"/>
        <v>7.5411198859925794E-3</v>
      </c>
      <c r="H566">
        <f t="shared" ca="1" si="71"/>
        <v>7.9716563330381098E-3</v>
      </c>
      <c r="I566">
        <f t="shared" ca="1" si="72"/>
        <v>8.6829624224735325E-3</v>
      </c>
      <c r="O566">
        <f t="shared" ca="1" si="73"/>
        <v>1.1055205592323836</v>
      </c>
      <c r="P566">
        <f t="shared" ca="1" si="74"/>
        <v>1.2938843983529058</v>
      </c>
      <c r="Q566">
        <f t="shared" ca="1" si="75"/>
        <v>1.2821197579803889</v>
      </c>
      <c r="R566">
        <f t="shared" ca="1" si="76"/>
        <v>1.0665020830118817</v>
      </c>
    </row>
    <row r="567" spans="1:18" x14ac:dyDescent="0.3">
      <c r="A567" s="2">
        <f ca="1">IFERROR(__xludf.DUMMYFUNCTION("""COMPUTED_VALUE"""),45047.6666666666)</f>
        <v>45047.666666666599</v>
      </c>
      <c r="B567" s="1">
        <f ca="1">IFERROR(__xludf.DUMMYFUNCTION("""COMPUTED_VALUE"""),415.51)</f>
        <v>415.51</v>
      </c>
      <c r="C567" s="1">
        <f ca="1">IFERROR(__xludf.DUMMYFUNCTION("""COMPUTED_VALUE"""),169.59)</f>
        <v>169.59</v>
      </c>
      <c r="D567" s="1">
        <f ca="1">IFERROR(__xludf.DUMMYFUNCTION("""COMPUTED_VALUE"""),305.56)</f>
        <v>305.56</v>
      </c>
      <c r="E567" s="1">
        <f ca="1">IFERROR(__xludf.DUMMYFUNCTION("""COMPUTED_VALUE"""),141.2)</f>
        <v>141.19999999999999</v>
      </c>
      <c r="F567">
        <f t="shared" ca="1" si="69"/>
        <v>-1.0097853004111652E-3</v>
      </c>
      <c r="G567">
        <f t="shared" ca="1" si="70"/>
        <v>-5.3041018387555046E-4</v>
      </c>
      <c r="H567">
        <f t="shared" ca="1" si="71"/>
        <v>-5.5327735468332639E-3</v>
      </c>
      <c r="I567">
        <f t="shared" ca="1" si="72"/>
        <v>2.1412037037036889E-2</v>
      </c>
      <c r="O567">
        <f t="shared" ca="1" si="73"/>
        <v>1.1044042208223683</v>
      </c>
      <c r="P567">
        <f t="shared" ca="1" si="74"/>
        <v>1.2931981088912616</v>
      </c>
      <c r="Q567">
        <f t="shared" ca="1" si="75"/>
        <v>1.2750260796995627</v>
      </c>
      <c r="R567">
        <f t="shared" ca="1" si="76"/>
        <v>1.0893380651134092</v>
      </c>
    </row>
    <row r="568" spans="1:18" x14ac:dyDescent="0.3">
      <c r="A568" s="2">
        <f ca="1">IFERROR(__xludf.DUMMYFUNCTION("""COMPUTED_VALUE"""),45048.6666666666)</f>
        <v>45048.666666666599</v>
      </c>
      <c r="B568" s="1">
        <f ca="1">IFERROR(__xludf.DUMMYFUNCTION("""COMPUTED_VALUE"""),410.84)</f>
        <v>410.84</v>
      </c>
      <c r="C568" s="1">
        <f ca="1">IFERROR(__xludf.DUMMYFUNCTION("""COMPUTED_VALUE"""),168.54)</f>
        <v>168.54</v>
      </c>
      <c r="D568" s="1">
        <f ca="1">IFERROR(__xludf.DUMMYFUNCTION("""COMPUTED_VALUE"""),305.41)</f>
        <v>305.41000000000003</v>
      </c>
      <c r="E568" s="1">
        <f ca="1">IFERROR(__xludf.DUMMYFUNCTION("""COMPUTED_VALUE"""),138.92)</f>
        <v>138.91999999999999</v>
      </c>
      <c r="F568">
        <f t="shared" ca="1" si="69"/>
        <v>-1.1239200019253485E-2</v>
      </c>
      <c r="G568">
        <f t="shared" ca="1" si="70"/>
        <v>-6.1914027949761859E-3</v>
      </c>
      <c r="H568">
        <f t="shared" ca="1" si="71"/>
        <v>-4.9090195051700893E-4</v>
      </c>
      <c r="I568">
        <f t="shared" ca="1" si="72"/>
        <v>-1.6147308781869697E-2</v>
      </c>
      <c r="O568">
        <f t="shared" ca="1" si="73"/>
        <v>1.091991600882438</v>
      </c>
      <c r="P568">
        <f t="shared" ca="1" si="74"/>
        <v>1.2851913985054144</v>
      </c>
      <c r="Q568">
        <f t="shared" ca="1" si="75"/>
        <v>1.2744001669100782</v>
      </c>
      <c r="R568">
        <f t="shared" ca="1" si="76"/>
        <v>1.0717481870081786</v>
      </c>
    </row>
    <row r="569" spans="1:18" x14ac:dyDescent="0.3">
      <c r="A569" s="2">
        <f ca="1">IFERROR(__xludf.DUMMYFUNCTION("""COMPUTED_VALUE"""),45049.6666666666)</f>
        <v>45049.666666666599</v>
      </c>
      <c r="B569" s="1">
        <f ca="1">IFERROR(__xludf.DUMMYFUNCTION("""COMPUTED_VALUE"""),408.02)</f>
        <v>408.02</v>
      </c>
      <c r="C569" s="1">
        <f ca="1">IFERROR(__xludf.DUMMYFUNCTION("""COMPUTED_VALUE"""),167.45)</f>
        <v>167.45</v>
      </c>
      <c r="D569" s="1">
        <f ca="1">IFERROR(__xludf.DUMMYFUNCTION("""COMPUTED_VALUE"""),304.4)</f>
        <v>304.39999999999998</v>
      </c>
      <c r="E569" s="1">
        <f ca="1">IFERROR(__xludf.DUMMYFUNCTION("""COMPUTED_VALUE"""),135.98)</f>
        <v>135.97999999999999</v>
      </c>
      <c r="F569">
        <f t="shared" ca="1" si="69"/>
        <v>-6.8639859799435139E-3</v>
      </c>
      <c r="G569">
        <f t="shared" ca="1" si="70"/>
        <v>-6.4673074641034972E-3</v>
      </c>
      <c r="H569">
        <f t="shared" ca="1" si="71"/>
        <v>-3.3070298942406854E-3</v>
      </c>
      <c r="I569">
        <f t="shared" ca="1" si="72"/>
        <v>-2.1163259429887692E-2</v>
      </c>
      <c r="O569">
        <f t="shared" ca="1" si="73"/>
        <v>1.0844961858437647</v>
      </c>
      <c r="P569">
        <f t="shared" ca="1" si="74"/>
        <v>1.2768796705810588</v>
      </c>
      <c r="Q569">
        <f t="shared" ca="1" si="75"/>
        <v>1.2701856874608812</v>
      </c>
      <c r="R569">
        <f t="shared" ca="1" si="76"/>
        <v>1.0490665020830128</v>
      </c>
    </row>
    <row r="570" spans="1:18" x14ac:dyDescent="0.3">
      <c r="A570" s="2">
        <f ca="1">IFERROR(__xludf.DUMMYFUNCTION("""COMPUTED_VALUE"""),45050.6666666666)</f>
        <v>45050.666666666599</v>
      </c>
      <c r="B570" s="1">
        <f ca="1">IFERROR(__xludf.DUMMYFUNCTION("""COMPUTED_VALUE"""),405.13)</f>
        <v>405.13</v>
      </c>
      <c r="C570" s="1">
        <f ca="1">IFERROR(__xludf.DUMMYFUNCTION("""COMPUTED_VALUE"""),165.79)</f>
        <v>165.79</v>
      </c>
      <c r="D570" s="1">
        <f ca="1">IFERROR(__xludf.DUMMYFUNCTION("""COMPUTED_VALUE"""),305.41)</f>
        <v>305.41000000000003</v>
      </c>
      <c r="E570" s="1">
        <f ca="1">IFERROR(__xludf.DUMMYFUNCTION("""COMPUTED_VALUE"""),134.12)</f>
        <v>134.12</v>
      </c>
      <c r="F570">
        <f t="shared" ca="1" si="69"/>
        <v>-7.0829861281309411E-3</v>
      </c>
      <c r="G570">
        <f t="shared" ca="1" si="70"/>
        <v>-9.913406987160327E-3</v>
      </c>
      <c r="H570">
        <f t="shared" ca="1" si="71"/>
        <v>3.3180026281210508E-3</v>
      </c>
      <c r="I570">
        <f t="shared" ca="1" si="72"/>
        <v>-1.3678482129724851E-2</v>
      </c>
      <c r="O570">
        <f t="shared" ca="1" si="73"/>
        <v>1.0768147144034224</v>
      </c>
      <c r="P570">
        <f t="shared" ca="1" si="74"/>
        <v>1.2642214427329574</v>
      </c>
      <c r="Q570">
        <f t="shared" ca="1" si="75"/>
        <v>1.2744001669100782</v>
      </c>
      <c r="R570">
        <f t="shared" ca="1" si="76"/>
        <v>1.0347168646813774</v>
      </c>
    </row>
    <row r="571" spans="1:18" x14ac:dyDescent="0.3">
      <c r="A571" s="2">
        <f ca="1">IFERROR(__xludf.DUMMYFUNCTION("""COMPUTED_VALUE"""),45051.6666666666)</f>
        <v>45051.666666666599</v>
      </c>
      <c r="B571" s="1">
        <f ca="1">IFERROR(__xludf.DUMMYFUNCTION("""COMPUTED_VALUE"""),412.63)</f>
        <v>412.63</v>
      </c>
      <c r="C571" s="1">
        <f ca="1">IFERROR(__xludf.DUMMYFUNCTION("""COMPUTED_VALUE"""),173.57)</f>
        <v>173.57</v>
      </c>
      <c r="D571" s="1">
        <f ca="1">IFERROR(__xludf.DUMMYFUNCTION("""COMPUTED_VALUE"""),310.65)</f>
        <v>310.64999999999998</v>
      </c>
      <c r="E571" s="1">
        <f ca="1">IFERROR(__xludf.DUMMYFUNCTION("""COMPUTED_VALUE"""),136.74)</f>
        <v>136.74</v>
      </c>
      <c r="F571">
        <f t="shared" ca="1" si="69"/>
        <v>1.8512576210105398E-2</v>
      </c>
      <c r="G571">
        <f t="shared" ca="1" si="70"/>
        <v>4.6926835152904287E-2</v>
      </c>
      <c r="H571">
        <f t="shared" ca="1" si="71"/>
        <v>1.7157264005762587E-2</v>
      </c>
      <c r="I571">
        <f t="shared" ca="1" si="72"/>
        <v>1.9534745004473639E-2</v>
      </c>
      <c r="O571">
        <f t="shared" ca="1" si="73"/>
        <v>1.0967493288679786</v>
      </c>
      <c r="P571">
        <f t="shared" ca="1" si="74"/>
        <v>1.3235473539728537</v>
      </c>
      <c r="Q571">
        <f t="shared" ca="1" si="75"/>
        <v>1.2962653870227423</v>
      </c>
      <c r="R571">
        <f t="shared" ca="1" si="76"/>
        <v>1.0549297947847565</v>
      </c>
    </row>
    <row r="572" spans="1:18" x14ac:dyDescent="0.3">
      <c r="A572" s="2">
        <f ca="1">IFERROR(__xludf.DUMMYFUNCTION("""COMPUTED_VALUE"""),45054.6666666666)</f>
        <v>45054.666666666599</v>
      </c>
      <c r="B572" s="1">
        <f ca="1">IFERROR(__xludf.DUMMYFUNCTION("""COMPUTED_VALUE"""),412.74)</f>
        <v>412.74</v>
      </c>
      <c r="C572" s="1">
        <f ca="1">IFERROR(__xludf.DUMMYFUNCTION("""COMPUTED_VALUE"""),173.5)</f>
        <v>173.5</v>
      </c>
      <c r="D572" s="1">
        <f ca="1">IFERROR(__xludf.DUMMYFUNCTION("""COMPUTED_VALUE"""),308.65)</f>
        <v>308.64999999999998</v>
      </c>
      <c r="E572" s="1">
        <f ca="1">IFERROR(__xludf.DUMMYFUNCTION("""COMPUTED_VALUE"""),137.07)</f>
        <v>137.07</v>
      </c>
      <c r="F572">
        <f t="shared" ca="1" si="69"/>
        <v>2.6658265273977571E-4</v>
      </c>
      <c r="G572">
        <f t="shared" ca="1" si="70"/>
        <v>-4.0329550037444941E-4</v>
      </c>
      <c r="H572">
        <f t="shared" ca="1" si="71"/>
        <v>-6.4381136327056176E-3</v>
      </c>
      <c r="I572">
        <f t="shared" ca="1" si="72"/>
        <v>2.4133391838524502E-3</v>
      </c>
      <c r="O572">
        <f t="shared" ca="1" si="73"/>
        <v>1.0970417032134587</v>
      </c>
      <c r="P572">
        <f t="shared" ca="1" si="74"/>
        <v>1.323013573280464</v>
      </c>
      <c r="Q572">
        <f t="shared" ca="1" si="75"/>
        <v>1.2879198831629468</v>
      </c>
      <c r="R572">
        <f t="shared" ca="1" si="76"/>
        <v>1.057475698194724</v>
      </c>
    </row>
    <row r="573" spans="1:18" x14ac:dyDescent="0.3">
      <c r="A573" s="2">
        <f ca="1">IFERROR(__xludf.DUMMYFUNCTION("""COMPUTED_VALUE"""),45055.6666666666)</f>
        <v>45055.666666666599</v>
      </c>
      <c r="B573" s="1">
        <f ca="1">IFERROR(__xludf.DUMMYFUNCTION("""COMPUTED_VALUE"""),410.93)</f>
        <v>410.93</v>
      </c>
      <c r="C573" s="1">
        <f ca="1">IFERROR(__xludf.DUMMYFUNCTION("""COMPUTED_VALUE"""),171.77)</f>
        <v>171.77</v>
      </c>
      <c r="D573" s="1">
        <f ca="1">IFERROR(__xludf.DUMMYFUNCTION("""COMPUTED_VALUE"""),307)</f>
        <v>307</v>
      </c>
      <c r="E573" s="1">
        <f ca="1">IFERROR(__xludf.DUMMYFUNCTION("""COMPUTED_VALUE"""),136.41)</f>
        <v>136.41</v>
      </c>
      <c r="F573">
        <f t="shared" ca="1" si="69"/>
        <v>-4.3853273247080543E-3</v>
      </c>
      <c r="G573">
        <f t="shared" ca="1" si="70"/>
        <v>-9.9711815561959061E-3</v>
      </c>
      <c r="H573">
        <f t="shared" ca="1" si="71"/>
        <v>-5.3458610076137286E-3</v>
      </c>
      <c r="I573">
        <f t="shared" ca="1" si="72"/>
        <v>-4.8150579995622431E-3</v>
      </c>
      <c r="O573">
        <f t="shared" ca="1" si="73"/>
        <v>1.0922308162560124</v>
      </c>
      <c r="P573">
        <f t="shared" ca="1" si="74"/>
        <v>1.3098215647399729</v>
      </c>
      <c r="Q573">
        <f t="shared" ca="1" si="75"/>
        <v>1.2810348424786155</v>
      </c>
      <c r="R573">
        <f t="shared" ca="1" si="76"/>
        <v>1.0523838913747887</v>
      </c>
    </row>
    <row r="574" spans="1:18" x14ac:dyDescent="0.3">
      <c r="A574" s="2">
        <f ca="1">IFERROR(__xludf.DUMMYFUNCTION("""COMPUTED_VALUE"""),45056.6666666666)</f>
        <v>45056.666666666599</v>
      </c>
      <c r="B574" s="1">
        <f ca="1">IFERROR(__xludf.DUMMYFUNCTION("""COMPUTED_VALUE"""),412.85)</f>
        <v>412.85</v>
      </c>
      <c r="C574" s="1">
        <f ca="1">IFERROR(__xludf.DUMMYFUNCTION("""COMPUTED_VALUE"""),173.56)</f>
        <v>173.56</v>
      </c>
      <c r="D574" s="1">
        <f ca="1">IFERROR(__xludf.DUMMYFUNCTION("""COMPUTED_VALUE"""),312.31)</f>
        <v>312.31</v>
      </c>
      <c r="E574" s="1">
        <f ca="1">IFERROR(__xludf.DUMMYFUNCTION("""COMPUTED_VALUE"""),136.48)</f>
        <v>136.47999999999999</v>
      </c>
      <c r="F574">
        <f t="shared" ca="1" si="69"/>
        <v>4.6723286204463435E-3</v>
      </c>
      <c r="G574">
        <f t="shared" ca="1" si="70"/>
        <v>1.0420911684228864E-2</v>
      </c>
      <c r="H574">
        <f t="shared" ca="1" si="71"/>
        <v>1.7296416938110758E-2</v>
      </c>
      <c r="I574">
        <f t="shared" ca="1" si="72"/>
        <v>5.1315885932111415E-4</v>
      </c>
      <c r="O574">
        <f t="shared" ca="1" si="73"/>
        <v>1.0973340775589389</v>
      </c>
      <c r="P574">
        <f t="shared" ca="1" si="74"/>
        <v>1.3234710995882266</v>
      </c>
      <c r="Q574">
        <f t="shared" ca="1" si="75"/>
        <v>1.3031921552263726</v>
      </c>
      <c r="R574">
        <f t="shared" ca="1" si="76"/>
        <v>1.0529239314920544</v>
      </c>
    </row>
    <row r="575" spans="1:18" x14ac:dyDescent="0.3">
      <c r="A575" s="2">
        <f ca="1">IFERROR(__xludf.DUMMYFUNCTION("""COMPUTED_VALUE"""),45057.6666666666)</f>
        <v>45057.666666666599</v>
      </c>
      <c r="B575" s="1">
        <f ca="1">IFERROR(__xludf.DUMMYFUNCTION("""COMPUTED_VALUE"""),412.13)</f>
        <v>412.13</v>
      </c>
      <c r="C575" s="1">
        <f ca="1">IFERROR(__xludf.DUMMYFUNCTION("""COMPUTED_VALUE"""),173.75)</f>
        <v>173.75</v>
      </c>
      <c r="D575" s="1">
        <f ca="1">IFERROR(__xludf.DUMMYFUNCTION("""COMPUTED_VALUE"""),310.11)</f>
        <v>310.11</v>
      </c>
      <c r="E575" s="1">
        <f ca="1">IFERROR(__xludf.DUMMYFUNCTION("""COMPUTED_VALUE"""),136.05)</f>
        <v>136.05000000000001</v>
      </c>
      <c r="F575">
        <f t="shared" ca="1" si="69"/>
        <v>-1.7439748092528211E-3</v>
      </c>
      <c r="G575">
        <f t="shared" ca="1" si="70"/>
        <v>1.0947222862410563E-3</v>
      </c>
      <c r="H575">
        <f t="shared" ca="1" si="71"/>
        <v>-7.0442829240177666E-3</v>
      </c>
      <c r="I575">
        <f t="shared" ca="1" si="72"/>
        <v>-3.1506447831182475E-3</v>
      </c>
      <c r="O575">
        <f t="shared" ca="1" si="73"/>
        <v>1.0954203545703414</v>
      </c>
      <c r="P575">
        <f t="shared" ca="1" si="74"/>
        <v>1.3249199328961416</v>
      </c>
      <c r="Q575">
        <f t="shared" ca="1" si="75"/>
        <v>1.2940121009805974</v>
      </c>
      <c r="R575">
        <f t="shared" ca="1" si="76"/>
        <v>1.0496065422002787</v>
      </c>
    </row>
    <row r="576" spans="1:18" x14ac:dyDescent="0.3">
      <c r="A576" s="2">
        <f ca="1">IFERROR(__xludf.DUMMYFUNCTION("""COMPUTED_VALUE"""),45058.6666666666)</f>
        <v>45058.666666666599</v>
      </c>
      <c r="B576" s="1">
        <f ca="1">IFERROR(__xludf.DUMMYFUNCTION("""COMPUTED_VALUE"""),411.59)</f>
        <v>411.59</v>
      </c>
      <c r="C576" s="1">
        <f ca="1">IFERROR(__xludf.DUMMYFUNCTION("""COMPUTED_VALUE"""),172.57)</f>
        <v>172.57</v>
      </c>
      <c r="D576" s="1">
        <f ca="1">IFERROR(__xludf.DUMMYFUNCTION("""COMPUTED_VALUE"""),308.97)</f>
        <v>308.97000000000003</v>
      </c>
      <c r="E576" s="1">
        <f ca="1">IFERROR(__xludf.DUMMYFUNCTION("""COMPUTED_VALUE"""),134.1)</f>
        <v>134.1</v>
      </c>
      <c r="F576">
        <f t="shared" ca="1" si="69"/>
        <v>-1.3102661781477214E-3</v>
      </c>
      <c r="G576">
        <f t="shared" ca="1" si="70"/>
        <v>-6.7913669064748597E-3</v>
      </c>
      <c r="H576">
        <f t="shared" ca="1" si="71"/>
        <v>-3.6761149269613565E-3</v>
      </c>
      <c r="I576">
        <f t="shared" ca="1" si="72"/>
        <v>-1.4332965821389319E-2</v>
      </c>
      <c r="O576">
        <f t="shared" ca="1" si="73"/>
        <v>1.0939850623288934</v>
      </c>
      <c r="P576">
        <f t="shared" ca="1" si="74"/>
        <v>1.3159219155101418</v>
      </c>
      <c r="Q576">
        <f t="shared" ca="1" si="75"/>
        <v>1.2892551637805139</v>
      </c>
      <c r="R576">
        <f t="shared" ca="1" si="76"/>
        <v>1.0345625675050154</v>
      </c>
    </row>
    <row r="577" spans="1:18" x14ac:dyDescent="0.3">
      <c r="A577" s="2">
        <f ca="1">IFERROR(__xludf.DUMMYFUNCTION("""COMPUTED_VALUE"""),45061.6666666666)</f>
        <v>45061.666666666599</v>
      </c>
      <c r="B577" s="1">
        <f ca="1">IFERROR(__xludf.DUMMYFUNCTION("""COMPUTED_VALUE"""),413.01)</f>
        <v>413.01</v>
      </c>
      <c r="C577" s="1">
        <f ca="1">IFERROR(__xludf.DUMMYFUNCTION("""COMPUTED_VALUE"""),172.07)</f>
        <v>172.07</v>
      </c>
      <c r="D577" s="1">
        <f ca="1">IFERROR(__xludf.DUMMYFUNCTION("""COMPUTED_VALUE"""),309.46)</f>
        <v>309.45999999999998</v>
      </c>
      <c r="E577" s="1">
        <f ca="1">IFERROR(__xludf.DUMMYFUNCTION("""COMPUTED_VALUE"""),135.23)</f>
        <v>135.22999999999999</v>
      </c>
      <c r="F577">
        <f t="shared" ca="1" si="69"/>
        <v>3.4500352292330134E-3</v>
      </c>
      <c r="G577">
        <f t="shared" ca="1" si="70"/>
        <v>-2.8973749782696878E-3</v>
      </c>
      <c r="H577">
        <f t="shared" ca="1" si="71"/>
        <v>1.5859144900797883E-3</v>
      </c>
      <c r="I577">
        <f t="shared" ca="1" si="72"/>
        <v>8.4265473527218165E-3</v>
      </c>
      <c r="O577">
        <f t="shared" ca="1" si="73"/>
        <v>1.0977593493341828</v>
      </c>
      <c r="P577">
        <f t="shared" ca="1" si="74"/>
        <v>1.3121091962787861</v>
      </c>
      <c r="Q577">
        <f t="shared" ca="1" si="75"/>
        <v>1.2912998122261636</v>
      </c>
      <c r="R577">
        <f t="shared" ca="1" si="76"/>
        <v>1.0432803579694498</v>
      </c>
    </row>
    <row r="578" spans="1:18" x14ac:dyDescent="0.3">
      <c r="A578" s="2">
        <f ca="1">IFERROR(__xludf.DUMMYFUNCTION("""COMPUTED_VALUE"""),45062.6666666666)</f>
        <v>45062.666666666599</v>
      </c>
      <c r="B578" s="1">
        <f ca="1">IFERROR(__xludf.DUMMYFUNCTION("""COMPUTED_VALUE"""),410.25)</f>
        <v>410.25</v>
      </c>
      <c r="C578" s="1">
        <f ca="1">IFERROR(__xludf.DUMMYFUNCTION("""COMPUTED_VALUE"""),172.07)</f>
        <v>172.07</v>
      </c>
      <c r="D578" s="1">
        <f ca="1">IFERROR(__xludf.DUMMYFUNCTION("""COMPUTED_VALUE"""),311.74)</f>
        <v>311.74</v>
      </c>
      <c r="E578" s="1">
        <f ca="1">IFERROR(__xludf.DUMMYFUNCTION("""COMPUTED_VALUE"""),134.32)</f>
        <v>134.32</v>
      </c>
      <c r="F578">
        <f t="shared" ca="1" si="69"/>
        <v>-6.6826469092757827E-3</v>
      </c>
      <c r="G578">
        <f t="shared" ca="1" si="70"/>
        <v>0</v>
      </c>
      <c r="H578">
        <f t="shared" ca="1" si="71"/>
        <v>7.3676727202224186E-3</v>
      </c>
      <c r="I578">
        <f t="shared" ca="1" si="72"/>
        <v>-6.7292760482141291E-3</v>
      </c>
      <c r="O578">
        <f t="shared" ca="1" si="73"/>
        <v>1.0904234112112261</v>
      </c>
      <c r="P578">
        <f t="shared" ca="1" si="74"/>
        <v>1.3121091962787861</v>
      </c>
      <c r="Q578">
        <f t="shared" ca="1" si="75"/>
        <v>1.3008136866263305</v>
      </c>
      <c r="R578">
        <f t="shared" ca="1" si="76"/>
        <v>1.0362598364449938</v>
      </c>
    </row>
    <row r="579" spans="1:18" x14ac:dyDescent="0.3">
      <c r="A579" s="2">
        <f ca="1">IFERROR(__xludf.DUMMYFUNCTION("""COMPUTED_VALUE"""),45063.6666666666)</f>
        <v>45063.666666666599</v>
      </c>
      <c r="B579" s="1">
        <f ca="1">IFERROR(__xludf.DUMMYFUNCTION("""COMPUTED_VALUE"""),415.23)</f>
        <v>415.23</v>
      </c>
      <c r="C579" s="1">
        <f ca="1">IFERROR(__xludf.DUMMYFUNCTION("""COMPUTED_VALUE"""),172.69)</f>
        <v>172.69</v>
      </c>
      <c r="D579" s="1">
        <f ca="1">IFERROR(__xludf.DUMMYFUNCTION("""COMPUTED_VALUE"""),314)</f>
        <v>314</v>
      </c>
      <c r="E579" s="1">
        <f ca="1">IFERROR(__xludf.DUMMYFUNCTION("""COMPUTED_VALUE"""),138.45)</f>
        <v>138.44999999999999</v>
      </c>
      <c r="F579">
        <f t="shared" ca="1" si="69"/>
        <v>1.2138939670932403E-2</v>
      </c>
      <c r="G579">
        <f t="shared" ca="1" si="70"/>
        <v>3.6031847503923088E-3</v>
      </c>
      <c r="H579">
        <f t="shared" ca="1" si="71"/>
        <v>7.2496311028420824E-3</v>
      </c>
      <c r="I579">
        <f t="shared" ca="1" si="72"/>
        <v>3.0747468731387697E-2</v>
      </c>
      <c r="O579">
        <f t="shared" ca="1" si="73"/>
        <v>1.1036599952156914</v>
      </c>
      <c r="P579">
        <f t="shared" ca="1" si="74"/>
        <v>1.3168369681256673</v>
      </c>
      <c r="Q579">
        <f t="shared" ca="1" si="75"/>
        <v>1.3102441059878993</v>
      </c>
      <c r="R579">
        <f t="shared" ca="1" si="76"/>
        <v>1.0681222033636792</v>
      </c>
    </row>
    <row r="580" spans="1:18" x14ac:dyDescent="0.3">
      <c r="A580" s="2">
        <f ca="1">IFERROR(__xludf.DUMMYFUNCTION("""COMPUTED_VALUE"""),45064.6666666666)</f>
        <v>45064.666666666599</v>
      </c>
      <c r="B580" s="1">
        <f ca="1">IFERROR(__xludf.DUMMYFUNCTION("""COMPUTED_VALUE"""),419.23)</f>
        <v>419.23</v>
      </c>
      <c r="C580" s="1">
        <f ca="1">IFERROR(__xludf.DUMMYFUNCTION("""COMPUTED_VALUE"""),175.05)</f>
        <v>175.05</v>
      </c>
      <c r="D580" s="1">
        <f ca="1">IFERROR(__xludf.DUMMYFUNCTION("""COMPUTED_VALUE"""),318.52)</f>
        <v>318.52</v>
      </c>
      <c r="E580" s="1">
        <f ca="1">IFERROR(__xludf.DUMMYFUNCTION("""COMPUTED_VALUE"""),139.5)</f>
        <v>139.5</v>
      </c>
      <c r="F580">
        <f t="shared" ref="F580:F643" ca="1" si="77">(B580-B579)/B579</f>
        <v>9.6332153264455846E-3</v>
      </c>
      <c r="G580">
        <f t="shared" ref="G580:G643" ca="1" si="78">(C580-C579)/C579</f>
        <v>1.3666106896751483E-2</v>
      </c>
      <c r="H580">
        <f t="shared" ref="H580:H643" ca="1" si="79">(D580-D579)/D579</f>
        <v>1.4394904458598668E-2</v>
      </c>
      <c r="I580">
        <f t="shared" ref="I580:I643" ca="1" si="80">(E580-E579)/E579</f>
        <v>7.5839653304442863E-3</v>
      </c>
      <c r="O580">
        <f t="shared" ref="O580:O643" ca="1" si="81">O579*(1+F580)</f>
        <v>1.1142917895967881</v>
      </c>
      <c r="P580">
        <f t="shared" ref="P580:P643" ca="1" si="82">P579*(1+G580)</f>
        <v>1.3348330028976667</v>
      </c>
      <c r="Q580">
        <f t="shared" ref="Q580:Q643" ca="1" si="83">Q579*(1+H580)</f>
        <v>1.3291049447110372</v>
      </c>
      <c r="R580">
        <f t="shared" ref="R580:R643" ca="1" si="84">R579*(1+I580)</f>
        <v>1.0762228051226672</v>
      </c>
    </row>
    <row r="581" spans="1:18" x14ac:dyDescent="0.3">
      <c r="A581" s="2">
        <f ca="1">IFERROR(__xludf.DUMMYFUNCTION("""COMPUTED_VALUE"""),45065.6666666666)</f>
        <v>45065.666666666599</v>
      </c>
      <c r="B581" s="1">
        <f ca="1">IFERROR(__xludf.DUMMYFUNCTION("""COMPUTED_VALUE"""),418.62)</f>
        <v>418.62</v>
      </c>
      <c r="C581" s="1">
        <f ca="1">IFERROR(__xludf.DUMMYFUNCTION("""COMPUTED_VALUE"""),175.16)</f>
        <v>175.16</v>
      </c>
      <c r="D581" s="1">
        <f ca="1">IFERROR(__xludf.DUMMYFUNCTION("""COMPUTED_VALUE"""),318.34)</f>
        <v>318.33999999999997</v>
      </c>
      <c r="E581" s="1">
        <f ca="1">IFERROR(__xludf.DUMMYFUNCTION("""COMPUTED_VALUE"""),139.18)</f>
        <v>139.18</v>
      </c>
      <c r="F581">
        <f t="shared" ca="1" si="77"/>
        <v>-1.4550485413735029E-3</v>
      </c>
      <c r="G581">
        <f t="shared" ca="1" si="78"/>
        <v>6.2839188803190643E-4</v>
      </c>
      <c r="H581">
        <f t="shared" ca="1" si="79"/>
        <v>-5.6511365063420451E-4</v>
      </c>
      <c r="I581">
        <f t="shared" ca="1" si="80"/>
        <v>-2.2939068100357933E-3</v>
      </c>
      <c r="O581">
        <f t="shared" ca="1" si="81"/>
        <v>1.112670440953671</v>
      </c>
      <c r="P581">
        <f t="shared" ca="1" si="82"/>
        <v>1.3356718011285649</v>
      </c>
      <c r="Q581">
        <f t="shared" ca="1" si="83"/>
        <v>1.3283538493636557</v>
      </c>
      <c r="R581">
        <f t="shared" ca="1" si="84"/>
        <v>1.0737540503008804</v>
      </c>
    </row>
    <row r="582" spans="1:18" x14ac:dyDescent="0.3">
      <c r="A582" s="2">
        <f ca="1">IFERROR(__xludf.DUMMYFUNCTION("""COMPUTED_VALUE"""),45068.6666666666)</f>
        <v>45068.666666666599</v>
      </c>
      <c r="B582" s="1">
        <f ca="1">IFERROR(__xludf.DUMMYFUNCTION("""COMPUTED_VALUE"""),418.79)</f>
        <v>418.79</v>
      </c>
      <c r="C582" s="1">
        <f ca="1">IFERROR(__xludf.DUMMYFUNCTION("""COMPUTED_VALUE"""),174.2)</f>
        <v>174.2</v>
      </c>
      <c r="D582" s="1">
        <f ca="1">IFERROR(__xludf.DUMMYFUNCTION("""COMPUTED_VALUE"""),321.18)</f>
        <v>321.18</v>
      </c>
      <c r="E582" s="1">
        <f ca="1">IFERROR(__xludf.DUMMYFUNCTION("""COMPUTED_VALUE"""),138.03)</f>
        <v>138.03</v>
      </c>
      <c r="F582">
        <f t="shared" ca="1" si="77"/>
        <v>4.0609622091638219E-4</v>
      </c>
      <c r="G582">
        <f t="shared" ca="1" si="78"/>
        <v>-5.480703356930852E-3</v>
      </c>
      <c r="H582">
        <f t="shared" ca="1" si="79"/>
        <v>8.9212791355155873E-3</v>
      </c>
      <c r="I582">
        <f t="shared" ca="1" si="80"/>
        <v>-8.2626814197442559E-3</v>
      </c>
      <c r="O582">
        <f t="shared" ca="1" si="81"/>
        <v>1.1131222922148678</v>
      </c>
      <c r="P582">
        <f t="shared" ca="1" si="82"/>
        <v>1.3283513802043616</v>
      </c>
      <c r="Q582">
        <f t="shared" ca="1" si="83"/>
        <v>1.3402044648445655</v>
      </c>
      <c r="R582">
        <f t="shared" ca="1" si="84"/>
        <v>1.0648819626600843</v>
      </c>
    </row>
    <row r="583" spans="1:18" x14ac:dyDescent="0.3">
      <c r="A583" s="2">
        <f ca="1">IFERROR(__xludf.DUMMYFUNCTION("""COMPUTED_VALUE"""),45069.6666666666)</f>
        <v>45069.666666666599</v>
      </c>
      <c r="B583" s="1">
        <f ca="1">IFERROR(__xludf.DUMMYFUNCTION("""COMPUTED_VALUE"""),414.09)</f>
        <v>414.09</v>
      </c>
      <c r="C583" s="1">
        <f ca="1">IFERROR(__xludf.DUMMYFUNCTION("""COMPUTED_VALUE"""),171.56)</f>
        <v>171.56</v>
      </c>
      <c r="D583" s="1">
        <f ca="1">IFERROR(__xludf.DUMMYFUNCTION("""COMPUTED_VALUE"""),315.26)</f>
        <v>315.26</v>
      </c>
      <c r="E583" s="1">
        <f ca="1">IFERROR(__xludf.DUMMYFUNCTION("""COMPUTED_VALUE"""),136.59)</f>
        <v>136.59</v>
      </c>
      <c r="F583">
        <f t="shared" ca="1" si="77"/>
        <v>-1.1222808567539926E-2</v>
      </c>
      <c r="G583">
        <f t="shared" ca="1" si="78"/>
        <v>-1.5154994259471795E-2</v>
      </c>
      <c r="H583">
        <f t="shared" ca="1" si="79"/>
        <v>-1.8432031882433576E-2</v>
      </c>
      <c r="I583">
        <f t="shared" ca="1" si="80"/>
        <v>-1.0432514670723739E-2</v>
      </c>
      <c r="O583">
        <f t="shared" ca="1" si="81"/>
        <v>1.1006299338170791</v>
      </c>
      <c r="P583">
        <f t="shared" ca="1" si="82"/>
        <v>1.308220222662803</v>
      </c>
      <c r="Q583">
        <f t="shared" ca="1" si="83"/>
        <v>1.3155017734195706</v>
      </c>
      <c r="R583">
        <f t="shared" ca="1" si="84"/>
        <v>1.0537725659620438</v>
      </c>
    </row>
    <row r="584" spans="1:18" x14ac:dyDescent="0.3">
      <c r="A584" s="2">
        <f ca="1">IFERROR(__xludf.DUMMYFUNCTION("""COMPUTED_VALUE"""),45070.6666666666)</f>
        <v>45070.666666666599</v>
      </c>
      <c r="B584" s="1">
        <f ca="1">IFERROR(__xludf.DUMMYFUNCTION("""COMPUTED_VALUE"""),411.09)</f>
        <v>411.09</v>
      </c>
      <c r="C584" s="1">
        <f ca="1">IFERROR(__xludf.DUMMYFUNCTION("""COMPUTED_VALUE"""),171.84)</f>
        <v>171.84</v>
      </c>
      <c r="D584" s="1">
        <f ca="1">IFERROR(__xludf.DUMMYFUNCTION("""COMPUTED_VALUE"""),313.85)</f>
        <v>313.85000000000002</v>
      </c>
      <c r="E584" s="1">
        <f ca="1">IFERROR(__xludf.DUMMYFUNCTION("""COMPUTED_VALUE"""),135.34)</f>
        <v>135.34</v>
      </c>
      <c r="F584">
        <f t="shared" ca="1" si="77"/>
        <v>-7.244801854669275E-3</v>
      </c>
      <c r="G584">
        <f t="shared" ca="1" si="78"/>
        <v>1.6320820704126902E-3</v>
      </c>
      <c r="H584">
        <f t="shared" ca="1" si="79"/>
        <v>-4.4724988898051394E-3</v>
      </c>
      <c r="I584">
        <f t="shared" ca="1" si="80"/>
        <v>-9.1514752178051099E-3</v>
      </c>
      <c r="O584">
        <f t="shared" ca="1" si="81"/>
        <v>1.0926560880312566</v>
      </c>
      <c r="P584">
        <f t="shared" ca="1" si="82"/>
        <v>1.3103553454323624</v>
      </c>
      <c r="Q584">
        <f t="shared" ca="1" si="83"/>
        <v>1.309618193198415</v>
      </c>
      <c r="R584">
        <f t="shared" ca="1" si="84"/>
        <v>1.0441289924394392</v>
      </c>
    </row>
    <row r="585" spans="1:18" x14ac:dyDescent="0.3">
      <c r="A585" s="2">
        <f ca="1">IFERROR(__xludf.DUMMYFUNCTION("""COMPUTED_VALUE"""),45071.6666666666)</f>
        <v>45071.666666666599</v>
      </c>
      <c r="B585" s="1">
        <f ca="1">IFERROR(__xludf.DUMMYFUNCTION("""COMPUTED_VALUE"""),414.65)</f>
        <v>414.65</v>
      </c>
      <c r="C585" s="1">
        <f ca="1">IFERROR(__xludf.DUMMYFUNCTION("""COMPUTED_VALUE"""),172.99)</f>
        <v>172.99</v>
      </c>
      <c r="D585" s="1">
        <f ca="1">IFERROR(__xludf.DUMMYFUNCTION("""COMPUTED_VALUE"""),325.92)</f>
        <v>325.92</v>
      </c>
      <c r="E585" s="1">
        <f ca="1">IFERROR(__xludf.DUMMYFUNCTION("""COMPUTED_VALUE"""),135.67)</f>
        <v>135.66999999999999</v>
      </c>
      <c r="F585">
        <f t="shared" ca="1" si="77"/>
        <v>8.6599041572405135E-3</v>
      </c>
      <c r="G585">
        <f t="shared" ca="1" si="78"/>
        <v>6.6922718808193997E-3</v>
      </c>
      <c r="H585">
        <f t="shared" ca="1" si="79"/>
        <v>3.8457862036004438E-2</v>
      </c>
      <c r="I585">
        <f t="shared" ca="1" si="80"/>
        <v>2.4383035318456042E-3</v>
      </c>
      <c r="O585">
        <f t="shared" ca="1" si="81"/>
        <v>1.1021183850304328</v>
      </c>
      <c r="P585">
        <f t="shared" ca="1" si="82"/>
        <v>1.3191245996644807</v>
      </c>
      <c r="Q585">
        <f t="shared" ca="1" si="83"/>
        <v>1.3599833089922813</v>
      </c>
      <c r="R585">
        <f t="shared" ca="1" si="84"/>
        <v>1.0466748958494068</v>
      </c>
    </row>
    <row r="586" spans="1:18" x14ac:dyDescent="0.3">
      <c r="A586" s="2">
        <f ca="1">IFERROR(__xludf.DUMMYFUNCTION("""COMPUTED_VALUE"""),45072.6666666666)</f>
        <v>45072.666666666599</v>
      </c>
      <c r="B586" s="1">
        <f ca="1">IFERROR(__xludf.DUMMYFUNCTION("""COMPUTED_VALUE"""),420.02)</f>
        <v>420.02</v>
      </c>
      <c r="C586" s="1">
        <f ca="1">IFERROR(__xludf.DUMMYFUNCTION("""COMPUTED_VALUE"""),175.43)</f>
        <v>175.43</v>
      </c>
      <c r="D586" s="1">
        <f ca="1">IFERROR(__xludf.DUMMYFUNCTION("""COMPUTED_VALUE"""),332.89)</f>
        <v>332.89</v>
      </c>
      <c r="E586" s="1">
        <f ca="1">IFERROR(__xludf.DUMMYFUNCTION("""COMPUTED_VALUE"""),136.94)</f>
        <v>136.94</v>
      </c>
      <c r="F586">
        <f t="shared" ca="1" si="77"/>
        <v>1.2950681297479814E-2</v>
      </c>
      <c r="G586">
        <f t="shared" ca="1" si="78"/>
        <v>1.4104861552690893E-2</v>
      </c>
      <c r="H586">
        <f t="shared" ca="1" si="79"/>
        <v>2.1385616102110854E-2</v>
      </c>
      <c r="I586">
        <f t="shared" ca="1" si="80"/>
        <v>9.3609493624236036E-3</v>
      </c>
      <c r="O586">
        <f t="shared" ca="1" si="81"/>
        <v>1.1163915689870549</v>
      </c>
      <c r="P586">
        <f t="shared" ca="1" si="82"/>
        <v>1.337730669513497</v>
      </c>
      <c r="Q586">
        <f t="shared" ca="1" si="83"/>
        <v>1.3890673899436685</v>
      </c>
      <c r="R586">
        <f t="shared" ca="1" si="84"/>
        <v>1.0564727665483731</v>
      </c>
    </row>
    <row r="587" spans="1:18" x14ac:dyDescent="0.3">
      <c r="A587" s="2">
        <f ca="1">IFERROR(__xludf.DUMMYFUNCTION("""COMPUTED_VALUE"""),45076.6666666666)</f>
        <v>45076.666666666599</v>
      </c>
      <c r="B587" s="1">
        <f ca="1">IFERROR(__xludf.DUMMYFUNCTION("""COMPUTED_VALUE"""),420.18)</f>
        <v>420.18</v>
      </c>
      <c r="C587" s="1">
        <f ca="1">IFERROR(__xludf.DUMMYFUNCTION("""COMPUTED_VALUE"""),177.3)</f>
        <v>177.3</v>
      </c>
      <c r="D587" s="1">
        <f ca="1">IFERROR(__xludf.DUMMYFUNCTION("""COMPUTED_VALUE"""),331.21)</f>
        <v>331.21</v>
      </c>
      <c r="E587" s="1">
        <f ca="1">IFERROR(__xludf.DUMMYFUNCTION("""COMPUTED_VALUE"""),137.46)</f>
        <v>137.46</v>
      </c>
      <c r="F587">
        <f t="shared" ca="1" si="77"/>
        <v>3.809342412266678E-4</v>
      </c>
      <c r="G587">
        <f t="shared" ca="1" si="78"/>
        <v>1.0659522316593539E-2</v>
      </c>
      <c r="H587">
        <f t="shared" ca="1" si="79"/>
        <v>-5.0467121271291025E-3</v>
      </c>
      <c r="I587">
        <f t="shared" ca="1" si="80"/>
        <v>3.7972834818169291E-3</v>
      </c>
      <c r="O587">
        <f t="shared" ca="1" si="81"/>
        <v>1.1168168407622989</v>
      </c>
      <c r="P587">
        <f t="shared" ca="1" si="82"/>
        <v>1.3519902394387677</v>
      </c>
      <c r="Q587">
        <f t="shared" ca="1" si="83"/>
        <v>1.3820571667014401</v>
      </c>
      <c r="R587">
        <f t="shared" ca="1" si="84"/>
        <v>1.0604844931337767</v>
      </c>
    </row>
    <row r="588" spans="1:18" x14ac:dyDescent="0.3">
      <c r="A588" s="2">
        <f ca="1">IFERROR(__xludf.DUMMYFUNCTION("""COMPUTED_VALUE"""),45077.6666666666)</f>
        <v>45077.666666666599</v>
      </c>
      <c r="B588" s="1">
        <f ca="1">IFERROR(__xludf.DUMMYFUNCTION("""COMPUTED_VALUE"""),417.85)</f>
        <v>417.85</v>
      </c>
      <c r="C588" s="1">
        <f ca="1">IFERROR(__xludf.DUMMYFUNCTION("""COMPUTED_VALUE"""),177.25)</f>
        <v>177.25</v>
      </c>
      <c r="D588" s="1">
        <f ca="1">IFERROR(__xludf.DUMMYFUNCTION("""COMPUTED_VALUE"""),328.39)</f>
        <v>328.39</v>
      </c>
      <c r="E588" s="1">
        <f ca="1">IFERROR(__xludf.DUMMYFUNCTION("""COMPUTED_VALUE"""),135.71)</f>
        <v>135.71</v>
      </c>
      <c r="F588">
        <f t="shared" ca="1" si="77"/>
        <v>-5.5452425151125331E-3</v>
      </c>
      <c r="G588">
        <f t="shared" ca="1" si="78"/>
        <v>-2.8200789622115829E-4</v>
      </c>
      <c r="H588">
        <f t="shared" ca="1" si="79"/>
        <v>-8.5142356812897956E-3</v>
      </c>
      <c r="I588">
        <f t="shared" ca="1" si="80"/>
        <v>-1.2730976284009893E-2</v>
      </c>
      <c r="O588">
        <f t="shared" ca="1" si="81"/>
        <v>1.1106238205353101</v>
      </c>
      <c r="P588">
        <f t="shared" ca="1" si="82"/>
        <v>1.3516089675156322</v>
      </c>
      <c r="Q588">
        <f t="shared" ca="1" si="83"/>
        <v>1.3702900062591283</v>
      </c>
      <c r="R588">
        <f t="shared" ca="1" si="84"/>
        <v>1.0469834902021304</v>
      </c>
    </row>
    <row r="589" spans="1:18" x14ac:dyDescent="0.3">
      <c r="A589" s="2">
        <f ca="1">IFERROR(__xludf.DUMMYFUNCTION("""COMPUTED_VALUE"""),45078.6666666666)</f>
        <v>45078.666666666599</v>
      </c>
      <c r="B589" s="1">
        <f ca="1">IFERROR(__xludf.DUMMYFUNCTION("""COMPUTED_VALUE"""),421.82)</f>
        <v>421.82</v>
      </c>
      <c r="C589" s="1">
        <f ca="1">IFERROR(__xludf.DUMMYFUNCTION("""COMPUTED_VALUE"""),180.09)</f>
        <v>180.09</v>
      </c>
      <c r="D589" s="1">
        <f ca="1">IFERROR(__xludf.DUMMYFUNCTION("""COMPUTED_VALUE"""),332.58)</f>
        <v>332.58</v>
      </c>
      <c r="E589" s="1">
        <f ca="1">IFERROR(__xludf.DUMMYFUNCTION("""COMPUTED_VALUE"""),137.58)</f>
        <v>137.58000000000001</v>
      </c>
      <c r="F589">
        <f t="shared" ca="1" si="77"/>
        <v>9.5010171114035431E-3</v>
      </c>
      <c r="G589">
        <f t="shared" ca="1" si="78"/>
        <v>1.6022566995768709E-2</v>
      </c>
      <c r="H589">
        <f t="shared" ca="1" si="79"/>
        <v>1.2759219221048137E-2</v>
      </c>
      <c r="I589">
        <f t="shared" ca="1" si="80"/>
        <v>1.3779382506816037E-2</v>
      </c>
      <c r="O589">
        <f t="shared" ca="1" si="81"/>
        <v>1.1211758764585484</v>
      </c>
      <c r="P589">
        <f t="shared" ca="1" si="82"/>
        <v>1.3732652127497333</v>
      </c>
      <c r="Q589">
        <f t="shared" ca="1" si="83"/>
        <v>1.3877738368454</v>
      </c>
      <c r="R589">
        <f t="shared" ca="1" si="84"/>
        <v>1.0614102761919468</v>
      </c>
    </row>
    <row r="590" spans="1:18" x14ac:dyDescent="0.3">
      <c r="A590" s="2">
        <f ca="1">IFERROR(__xludf.DUMMYFUNCTION("""COMPUTED_VALUE"""),45079.6666666666)</f>
        <v>45079.666666666599</v>
      </c>
      <c r="B590" s="1">
        <f ca="1">IFERROR(__xludf.DUMMYFUNCTION("""COMPUTED_VALUE"""),427.92)</f>
        <v>427.92</v>
      </c>
      <c r="C590" s="1">
        <f ca="1">IFERROR(__xludf.DUMMYFUNCTION("""COMPUTED_VALUE"""),180.95)</f>
        <v>180.95</v>
      </c>
      <c r="D590" s="1">
        <f ca="1">IFERROR(__xludf.DUMMYFUNCTION("""COMPUTED_VALUE"""),335.4)</f>
        <v>335.4</v>
      </c>
      <c r="E590" s="1">
        <f ca="1">IFERROR(__xludf.DUMMYFUNCTION("""COMPUTED_VALUE"""),140.47)</f>
        <v>140.47</v>
      </c>
      <c r="F590">
        <f t="shared" ca="1" si="77"/>
        <v>1.4461144564032106E-2</v>
      </c>
      <c r="G590">
        <f t="shared" ca="1" si="78"/>
        <v>4.7753900827363274E-3</v>
      </c>
      <c r="H590">
        <f t="shared" ca="1" si="79"/>
        <v>8.4791629081724489E-3</v>
      </c>
      <c r="I590">
        <f t="shared" ca="1" si="80"/>
        <v>2.1005960168629059E-2</v>
      </c>
      <c r="O590">
        <f t="shared" ca="1" si="81"/>
        <v>1.1373893628897209</v>
      </c>
      <c r="P590">
        <f t="shared" ca="1" si="82"/>
        <v>1.3798230898276651</v>
      </c>
      <c r="Q590">
        <f t="shared" ca="1" si="83"/>
        <v>1.3995409972877115</v>
      </c>
      <c r="R590">
        <f t="shared" ca="1" si="84"/>
        <v>1.0837062181762083</v>
      </c>
    </row>
    <row r="591" spans="1:18" x14ac:dyDescent="0.3">
      <c r="A591" s="2">
        <f ca="1">IFERROR(__xludf.DUMMYFUNCTION("""COMPUTED_VALUE"""),45082.6666666666)</f>
        <v>45082.666666666599</v>
      </c>
      <c r="B591" s="1">
        <f ca="1">IFERROR(__xludf.DUMMYFUNCTION("""COMPUTED_VALUE"""),427.1)</f>
        <v>427.1</v>
      </c>
      <c r="C591" s="1">
        <f ca="1">IFERROR(__xludf.DUMMYFUNCTION("""COMPUTED_VALUE"""),179.58)</f>
        <v>179.58</v>
      </c>
      <c r="D591" s="1">
        <f ca="1">IFERROR(__xludf.DUMMYFUNCTION("""COMPUTED_VALUE"""),335.94)</f>
        <v>335.94</v>
      </c>
      <c r="E591" s="1">
        <f ca="1">IFERROR(__xludf.DUMMYFUNCTION("""COMPUTED_VALUE"""),139.09)</f>
        <v>139.09</v>
      </c>
      <c r="F591">
        <f t="shared" ca="1" si="77"/>
        <v>-1.9162460272948054E-3</v>
      </c>
      <c r="G591">
        <f t="shared" ca="1" si="78"/>
        <v>-7.5711522520031842E-3</v>
      </c>
      <c r="H591">
        <f t="shared" ca="1" si="79"/>
        <v>1.6100178890877176E-3</v>
      </c>
      <c r="I591">
        <f t="shared" ca="1" si="80"/>
        <v>-9.8241617427208341E-3</v>
      </c>
      <c r="O591">
        <f t="shared" ca="1" si="81"/>
        <v>1.1352098450415962</v>
      </c>
      <c r="P591">
        <f t="shared" ca="1" si="82"/>
        <v>1.3693762391337503</v>
      </c>
      <c r="Q591">
        <f t="shared" ca="1" si="83"/>
        <v>1.4017942833298562</v>
      </c>
      <c r="R591">
        <f t="shared" ca="1" si="84"/>
        <v>1.073059713007253</v>
      </c>
    </row>
    <row r="592" spans="1:18" x14ac:dyDescent="0.3">
      <c r="A592" s="2">
        <f ca="1">IFERROR(__xludf.DUMMYFUNCTION("""COMPUTED_VALUE"""),45083.6666666666)</f>
        <v>45083.666666666599</v>
      </c>
      <c r="B592" s="1">
        <f ca="1">IFERROR(__xludf.DUMMYFUNCTION("""COMPUTED_VALUE"""),428.03)</f>
        <v>428.03</v>
      </c>
      <c r="C592" s="1">
        <f ca="1">IFERROR(__xludf.DUMMYFUNCTION("""COMPUTED_VALUE"""),179.21)</f>
        <v>179.21</v>
      </c>
      <c r="D592" s="1">
        <f ca="1">IFERROR(__xludf.DUMMYFUNCTION("""COMPUTED_VALUE"""),333.68)</f>
        <v>333.68</v>
      </c>
      <c r="E592" s="1">
        <f ca="1">IFERROR(__xludf.DUMMYFUNCTION("""COMPUTED_VALUE"""),139.34)</f>
        <v>139.34</v>
      </c>
      <c r="F592">
        <f t="shared" ca="1" si="77"/>
        <v>2.1774760009364317E-3</v>
      </c>
      <c r="G592">
        <f t="shared" ca="1" si="78"/>
        <v>-2.0603630693841438E-3</v>
      </c>
      <c r="H592">
        <f t="shared" ca="1" si="79"/>
        <v>-6.7273917961540482E-3</v>
      </c>
      <c r="I592">
        <f t="shared" ca="1" si="80"/>
        <v>1.7973973686102524E-3</v>
      </c>
      <c r="O592">
        <f t="shared" ca="1" si="81"/>
        <v>1.1376817372352011</v>
      </c>
      <c r="P592">
        <f t="shared" ca="1" si="82"/>
        <v>1.3665548269025469</v>
      </c>
      <c r="Q592">
        <f t="shared" ca="1" si="83"/>
        <v>1.3923638639682874</v>
      </c>
      <c r="R592">
        <f t="shared" ca="1" si="84"/>
        <v>1.0749884277117741</v>
      </c>
    </row>
    <row r="593" spans="1:18" x14ac:dyDescent="0.3">
      <c r="A593" s="2">
        <f ca="1">IFERROR(__xludf.DUMMYFUNCTION("""COMPUTED_VALUE"""),45084.6666666666)</f>
        <v>45084.666666666599</v>
      </c>
      <c r="B593" s="1">
        <f ca="1">IFERROR(__xludf.DUMMYFUNCTION("""COMPUTED_VALUE"""),426.55)</f>
        <v>426.55</v>
      </c>
      <c r="C593" s="1">
        <f ca="1">IFERROR(__xludf.DUMMYFUNCTION("""COMPUTED_VALUE"""),177.82)</f>
        <v>177.82</v>
      </c>
      <c r="D593" s="1">
        <f ca="1">IFERROR(__xludf.DUMMYFUNCTION("""COMPUTED_VALUE"""),323.38)</f>
        <v>323.38</v>
      </c>
      <c r="E593" s="1">
        <f ca="1">IFERROR(__xludf.DUMMYFUNCTION("""COMPUTED_VALUE"""),140.69)</f>
        <v>140.69</v>
      </c>
      <c r="F593">
        <f t="shared" ca="1" si="77"/>
        <v>-3.4577015629744679E-3</v>
      </c>
      <c r="G593">
        <f t="shared" ca="1" si="78"/>
        <v>-7.7562636013616135E-3</v>
      </c>
      <c r="H593">
        <f t="shared" ca="1" si="79"/>
        <v>-3.0867897386717847E-2</v>
      </c>
      <c r="I593">
        <f t="shared" ca="1" si="80"/>
        <v>9.6885316492033458E-3</v>
      </c>
      <c r="O593">
        <f t="shared" ca="1" si="81"/>
        <v>1.1337479733141955</v>
      </c>
      <c r="P593">
        <f t="shared" ca="1" si="82"/>
        <v>1.3559554674393777</v>
      </c>
      <c r="Q593">
        <f t="shared" ca="1" si="83"/>
        <v>1.3493845190903404</v>
      </c>
      <c r="R593">
        <f t="shared" ca="1" si="84"/>
        <v>1.0854034871161868</v>
      </c>
    </row>
    <row r="594" spans="1:18" x14ac:dyDescent="0.3">
      <c r="A594" s="2">
        <f ca="1">IFERROR(__xludf.DUMMYFUNCTION("""COMPUTED_VALUE"""),45085.6666666666)</f>
        <v>45085.666666666599</v>
      </c>
      <c r="B594" s="1">
        <f ca="1">IFERROR(__xludf.DUMMYFUNCTION("""COMPUTED_VALUE"""),429.13)</f>
        <v>429.13</v>
      </c>
      <c r="C594" s="1">
        <f ca="1">IFERROR(__xludf.DUMMYFUNCTION("""COMPUTED_VALUE"""),180.57)</f>
        <v>180.57</v>
      </c>
      <c r="D594" s="1">
        <f ca="1">IFERROR(__xludf.DUMMYFUNCTION("""COMPUTED_VALUE"""),325.26)</f>
        <v>325.26</v>
      </c>
      <c r="E594" s="1">
        <f ca="1">IFERROR(__xludf.DUMMYFUNCTION("""COMPUTED_VALUE"""),140.73)</f>
        <v>140.72999999999999</v>
      </c>
      <c r="F594">
        <f t="shared" ca="1" si="77"/>
        <v>6.0485288946195851E-3</v>
      </c>
      <c r="G594">
        <f t="shared" ca="1" si="78"/>
        <v>1.5465077044202002E-2</v>
      </c>
      <c r="H594">
        <f t="shared" ca="1" si="79"/>
        <v>5.8135939142803994E-3</v>
      </c>
      <c r="I594">
        <f t="shared" ca="1" si="80"/>
        <v>2.8431302864448106E-4</v>
      </c>
      <c r="O594">
        <f t="shared" ca="1" si="81"/>
        <v>1.1406054806900028</v>
      </c>
      <c r="P594">
        <f t="shared" ca="1" si="82"/>
        <v>1.3769254232118346</v>
      </c>
      <c r="Q594">
        <f t="shared" ca="1" si="83"/>
        <v>1.3572292927185483</v>
      </c>
      <c r="R594">
        <f t="shared" ca="1" si="84"/>
        <v>1.0857120814689101</v>
      </c>
    </row>
    <row r="595" spans="1:18" x14ac:dyDescent="0.3">
      <c r="A595" s="2">
        <f ca="1">IFERROR(__xludf.DUMMYFUNCTION("""COMPUTED_VALUE"""),45086.6666666666)</f>
        <v>45086.666666666599</v>
      </c>
      <c r="B595" s="1">
        <f ca="1">IFERROR(__xludf.DUMMYFUNCTION("""COMPUTED_VALUE"""),429.9)</f>
        <v>429.9</v>
      </c>
      <c r="C595" s="1">
        <f ca="1">IFERROR(__xludf.DUMMYFUNCTION("""COMPUTED_VALUE"""),180.96)</f>
        <v>180.96</v>
      </c>
      <c r="D595" s="1">
        <f ca="1">IFERROR(__xludf.DUMMYFUNCTION("""COMPUTED_VALUE"""),326.79)</f>
        <v>326.79000000000002</v>
      </c>
      <c r="E595" s="1">
        <f ca="1">IFERROR(__xludf.DUMMYFUNCTION("""COMPUTED_VALUE"""),141.01)</f>
        <v>141.01</v>
      </c>
      <c r="F595">
        <f t="shared" ca="1" si="77"/>
        <v>1.7943280590962689E-3</v>
      </c>
      <c r="G595">
        <f t="shared" ca="1" si="78"/>
        <v>2.1598272138229763E-3</v>
      </c>
      <c r="H595">
        <f t="shared" ca="1" si="79"/>
        <v>4.7039291643609102E-3</v>
      </c>
      <c r="I595">
        <f t="shared" ca="1" si="80"/>
        <v>1.9896255240531594E-3</v>
      </c>
      <c r="O595">
        <f t="shared" ca="1" si="81"/>
        <v>1.1426521011083637</v>
      </c>
      <c r="P595">
        <f t="shared" ca="1" si="82"/>
        <v>1.3798993442122924</v>
      </c>
      <c r="Q595">
        <f t="shared" ca="1" si="83"/>
        <v>1.363613603171292</v>
      </c>
      <c r="R595">
        <f t="shared" ca="1" si="84"/>
        <v>1.0878722419379736</v>
      </c>
    </row>
    <row r="596" spans="1:18" x14ac:dyDescent="0.3">
      <c r="A596" s="2">
        <f ca="1">IFERROR(__xludf.DUMMYFUNCTION("""COMPUTED_VALUE"""),45089.6666666666)</f>
        <v>45089.666666666599</v>
      </c>
      <c r="B596" s="1">
        <f ca="1">IFERROR(__xludf.DUMMYFUNCTION("""COMPUTED_VALUE"""),433.8)</f>
        <v>433.8</v>
      </c>
      <c r="C596" s="1">
        <f ca="1">IFERROR(__xludf.DUMMYFUNCTION("""COMPUTED_VALUE"""),183.79)</f>
        <v>183.79</v>
      </c>
      <c r="D596" s="1">
        <f ca="1">IFERROR(__xludf.DUMMYFUNCTION("""COMPUTED_VALUE"""),331.85)</f>
        <v>331.85</v>
      </c>
      <c r="E596" s="1">
        <f ca="1">IFERROR(__xludf.DUMMYFUNCTION("""COMPUTED_VALUE"""),141)</f>
        <v>141</v>
      </c>
      <c r="F596">
        <f t="shared" ca="1" si="77"/>
        <v>9.0718771807397867E-3</v>
      </c>
      <c r="G596">
        <f t="shared" ca="1" si="78"/>
        <v>1.5638815207780637E-2</v>
      </c>
      <c r="H596">
        <f t="shared" ca="1" si="79"/>
        <v>1.5483949937268588E-2</v>
      </c>
      <c r="I596">
        <f t="shared" ca="1" si="80"/>
        <v>-7.0916956244173509E-5</v>
      </c>
      <c r="O596">
        <f t="shared" ca="1" si="81"/>
        <v>1.1530181006299332</v>
      </c>
      <c r="P596">
        <f t="shared" ca="1" si="82"/>
        <v>1.4014793350617663</v>
      </c>
      <c r="Q596">
        <f t="shared" ca="1" si="83"/>
        <v>1.3847277279365746</v>
      </c>
      <c r="R596">
        <f t="shared" ca="1" si="84"/>
        <v>1.0877950933497929</v>
      </c>
    </row>
    <row r="597" spans="1:18" x14ac:dyDescent="0.3">
      <c r="A597" s="2">
        <f ca="1">IFERROR(__xludf.DUMMYFUNCTION("""COMPUTED_VALUE"""),45090.6666666666)</f>
        <v>45090.666666666599</v>
      </c>
      <c r="B597" s="1">
        <f ca="1">IFERROR(__xludf.DUMMYFUNCTION("""COMPUTED_VALUE"""),436.66)</f>
        <v>436.66</v>
      </c>
      <c r="C597" s="1">
        <f ca="1">IFERROR(__xludf.DUMMYFUNCTION("""COMPUTED_VALUE"""),183.31)</f>
        <v>183.31</v>
      </c>
      <c r="D597" s="1">
        <f ca="1">IFERROR(__xludf.DUMMYFUNCTION("""COMPUTED_VALUE"""),334.29)</f>
        <v>334.29</v>
      </c>
      <c r="E597" s="1">
        <f ca="1">IFERROR(__xludf.DUMMYFUNCTION("""COMPUTED_VALUE"""),142.02)</f>
        <v>142.02000000000001</v>
      </c>
      <c r="F597">
        <f t="shared" ca="1" si="77"/>
        <v>6.5928999538958357E-3</v>
      </c>
      <c r="G597">
        <f t="shared" ca="1" si="78"/>
        <v>-2.6116763697697906E-3</v>
      </c>
      <c r="H597">
        <f t="shared" ca="1" si="79"/>
        <v>7.3527196022299159E-3</v>
      </c>
      <c r="I597">
        <f t="shared" ca="1" si="80"/>
        <v>7.2340425531915616E-3</v>
      </c>
      <c r="O597">
        <f t="shared" ca="1" si="81"/>
        <v>1.1606198336124172</v>
      </c>
      <c r="P597">
        <f t="shared" ca="1" si="82"/>
        <v>1.3978191245996647</v>
      </c>
      <c r="Q597">
        <f t="shared" ca="1" si="83"/>
        <v>1.394909242645525</v>
      </c>
      <c r="R597">
        <f t="shared" ca="1" si="84"/>
        <v>1.0956642493442383</v>
      </c>
    </row>
    <row r="598" spans="1:18" x14ac:dyDescent="0.3">
      <c r="A598" s="2">
        <f ca="1">IFERROR(__xludf.DUMMYFUNCTION("""COMPUTED_VALUE"""),45091.6666666666)</f>
        <v>45091.666666666599</v>
      </c>
      <c r="B598" s="1">
        <f ca="1">IFERROR(__xludf.DUMMYFUNCTION("""COMPUTED_VALUE"""),437.18)</f>
        <v>437.18</v>
      </c>
      <c r="C598" s="1">
        <f ca="1">IFERROR(__xludf.DUMMYFUNCTION("""COMPUTED_VALUE"""),183.95)</f>
        <v>183.95</v>
      </c>
      <c r="D598" s="1">
        <f ca="1">IFERROR(__xludf.DUMMYFUNCTION("""COMPUTED_VALUE"""),337.34)</f>
        <v>337.34</v>
      </c>
      <c r="E598" s="1">
        <f ca="1">IFERROR(__xludf.DUMMYFUNCTION("""COMPUTED_VALUE"""),141.49)</f>
        <v>141.49</v>
      </c>
      <c r="F598">
        <f t="shared" ca="1" si="77"/>
        <v>1.1908578756927169E-3</v>
      </c>
      <c r="G598">
        <f t="shared" ca="1" si="78"/>
        <v>3.4913534449838328E-3</v>
      </c>
      <c r="H598">
        <f t="shared" ca="1" si="79"/>
        <v>9.1238146519487702E-3</v>
      </c>
      <c r="I598">
        <f t="shared" ca="1" si="80"/>
        <v>-3.7318687508801655E-3</v>
      </c>
      <c r="O598">
        <f t="shared" ca="1" si="81"/>
        <v>1.1620019668819597</v>
      </c>
      <c r="P598">
        <f t="shared" ca="1" si="82"/>
        <v>1.4026994052158002</v>
      </c>
      <c r="Q598">
        <f t="shared" ca="1" si="83"/>
        <v>1.4076361360317129</v>
      </c>
      <c r="R598">
        <f t="shared" ca="1" si="84"/>
        <v>1.091575374170654</v>
      </c>
    </row>
    <row r="599" spans="1:18" x14ac:dyDescent="0.3">
      <c r="A599" s="2">
        <f ca="1">IFERROR(__xludf.DUMMYFUNCTION("""COMPUTED_VALUE"""),45092.6666666666)</f>
        <v>45092.666666666599</v>
      </c>
      <c r="B599" s="1">
        <f ca="1">IFERROR(__xludf.DUMMYFUNCTION("""COMPUTED_VALUE"""),442.6)</f>
        <v>442.6</v>
      </c>
      <c r="C599" s="1">
        <f ca="1">IFERROR(__xludf.DUMMYFUNCTION("""COMPUTED_VALUE"""),186.01)</f>
        <v>186.01</v>
      </c>
      <c r="D599" s="1">
        <f ca="1">IFERROR(__xludf.DUMMYFUNCTION("""COMPUTED_VALUE"""),348.1)</f>
        <v>348.1</v>
      </c>
      <c r="E599" s="1">
        <f ca="1">IFERROR(__xludf.DUMMYFUNCTION("""COMPUTED_VALUE"""),143.09)</f>
        <v>143.09</v>
      </c>
      <c r="F599">
        <f t="shared" ca="1" si="77"/>
        <v>1.2397639416258785E-2</v>
      </c>
      <c r="G599">
        <f t="shared" ca="1" si="78"/>
        <v>1.1198695297635239E-2</v>
      </c>
      <c r="H599">
        <f t="shared" ca="1" si="79"/>
        <v>3.1896602833936229E-2</v>
      </c>
      <c r="I599">
        <f t="shared" ca="1" si="80"/>
        <v>1.1308219662166897E-2</v>
      </c>
      <c r="O599">
        <f t="shared" ca="1" si="81"/>
        <v>1.1764080482683457</v>
      </c>
      <c r="P599">
        <f t="shared" ca="1" si="82"/>
        <v>1.4184078084489862</v>
      </c>
      <c r="Q599">
        <f t="shared" ca="1" si="83"/>
        <v>1.4525349467974131</v>
      </c>
      <c r="R599">
        <f t="shared" ca="1" si="84"/>
        <v>1.1039191482795878</v>
      </c>
    </row>
    <row r="600" spans="1:18" x14ac:dyDescent="0.3">
      <c r="A600" s="2">
        <f ca="1">IFERROR(__xludf.DUMMYFUNCTION("""COMPUTED_VALUE"""),45093.6666666666)</f>
        <v>45093.666666666599</v>
      </c>
      <c r="B600" s="1">
        <f ca="1">IFERROR(__xludf.DUMMYFUNCTION("""COMPUTED_VALUE"""),439.46)</f>
        <v>439.46</v>
      </c>
      <c r="C600" s="1">
        <f ca="1">IFERROR(__xludf.DUMMYFUNCTION("""COMPUTED_VALUE"""),184.92)</f>
        <v>184.92</v>
      </c>
      <c r="D600" s="1">
        <f ca="1">IFERROR(__xludf.DUMMYFUNCTION("""COMPUTED_VALUE"""),342.33)</f>
        <v>342.33</v>
      </c>
      <c r="E600" s="1">
        <f ca="1">IFERROR(__xludf.DUMMYFUNCTION("""COMPUTED_VALUE"""),143.26)</f>
        <v>143.26</v>
      </c>
      <c r="F600">
        <f t="shared" ca="1" si="77"/>
        <v>-7.0944419340263059E-3</v>
      </c>
      <c r="G600">
        <f t="shared" ca="1" si="78"/>
        <v>-5.8599000053760741E-3</v>
      </c>
      <c r="H600">
        <f t="shared" ca="1" si="79"/>
        <v>-1.6575696638896978E-2</v>
      </c>
      <c r="I600">
        <f t="shared" ca="1" si="80"/>
        <v>1.1880634565657104E-3</v>
      </c>
      <c r="O600">
        <f t="shared" ca="1" si="81"/>
        <v>1.1680620896791847</v>
      </c>
      <c r="P600">
        <f t="shared" ca="1" si="82"/>
        <v>1.4100960805246305</v>
      </c>
      <c r="Q600">
        <f t="shared" ca="1" si="83"/>
        <v>1.4284581681619029</v>
      </c>
      <c r="R600">
        <f t="shared" ca="1" si="84"/>
        <v>1.105230674278662</v>
      </c>
    </row>
    <row r="601" spans="1:18" x14ac:dyDescent="0.3">
      <c r="A601" s="2">
        <f ca="1">IFERROR(__xludf.DUMMYFUNCTION("""COMPUTED_VALUE"""),45097.6666666666)</f>
        <v>45097.666666666599</v>
      </c>
      <c r="B601" s="1">
        <f ca="1">IFERROR(__xludf.DUMMYFUNCTION("""COMPUTED_VALUE"""),437.18)</f>
        <v>437.18</v>
      </c>
      <c r="C601" s="1">
        <f ca="1">IFERROR(__xludf.DUMMYFUNCTION("""COMPUTED_VALUE"""),185.01)</f>
        <v>185.01</v>
      </c>
      <c r="D601" s="1">
        <f ca="1">IFERROR(__xludf.DUMMYFUNCTION("""COMPUTED_VALUE"""),338.05)</f>
        <v>338.05</v>
      </c>
      <c r="E601" s="1">
        <f ca="1">IFERROR(__xludf.DUMMYFUNCTION("""COMPUTED_VALUE"""),142.53)</f>
        <v>142.53</v>
      </c>
      <c r="F601">
        <f t="shared" ca="1" si="77"/>
        <v>-5.1881855003867768E-3</v>
      </c>
      <c r="G601">
        <f t="shared" ca="1" si="78"/>
        <v>4.8669695003246492E-4</v>
      </c>
      <c r="H601">
        <f t="shared" ca="1" si="79"/>
        <v>-1.2502556013203554E-2</v>
      </c>
      <c r="I601">
        <f t="shared" ca="1" si="80"/>
        <v>-5.0956303224905051E-3</v>
      </c>
      <c r="O601">
        <f t="shared" ca="1" si="81"/>
        <v>1.1620019668819597</v>
      </c>
      <c r="P601">
        <f t="shared" ca="1" si="82"/>
        <v>1.4107823699862747</v>
      </c>
      <c r="Q601">
        <f t="shared" ca="1" si="83"/>
        <v>1.4105987899019405</v>
      </c>
      <c r="R601">
        <f t="shared" ca="1" si="84"/>
        <v>1.099598827341461</v>
      </c>
    </row>
    <row r="602" spans="1:18" x14ac:dyDescent="0.3">
      <c r="A602" s="2">
        <f ca="1">IFERROR(__xludf.DUMMYFUNCTION("""COMPUTED_VALUE"""),45098.6666666666)</f>
        <v>45098.666666666599</v>
      </c>
      <c r="B602" s="1">
        <f ca="1">IFERROR(__xludf.DUMMYFUNCTION("""COMPUTED_VALUE"""),434.94)</f>
        <v>434.94</v>
      </c>
      <c r="C602" s="1">
        <f ca="1">IFERROR(__xludf.DUMMYFUNCTION("""COMPUTED_VALUE"""),183.96)</f>
        <v>183.96</v>
      </c>
      <c r="D602" s="1">
        <f ca="1">IFERROR(__xludf.DUMMYFUNCTION("""COMPUTED_VALUE"""),333.56)</f>
        <v>333.56</v>
      </c>
      <c r="E602" s="1">
        <f ca="1">IFERROR(__xludf.DUMMYFUNCTION("""COMPUTED_VALUE"""),142.32)</f>
        <v>142.32</v>
      </c>
      <c r="F602">
        <f t="shared" ca="1" si="77"/>
        <v>-5.1237476554279911E-3</v>
      </c>
      <c r="G602">
        <f t="shared" ca="1" si="78"/>
        <v>-5.6753688989783415E-3</v>
      </c>
      <c r="H602">
        <f t="shared" ca="1" si="79"/>
        <v>-1.3282058867031531E-2</v>
      </c>
      <c r="I602">
        <f t="shared" ca="1" si="80"/>
        <v>-1.4733740265207883E-3</v>
      </c>
      <c r="O602">
        <f t="shared" ca="1" si="81"/>
        <v>1.1560481620285454</v>
      </c>
      <c r="P602">
        <f t="shared" ca="1" si="82"/>
        <v>1.4027756596004277</v>
      </c>
      <c r="Q602">
        <f t="shared" ca="1" si="83"/>
        <v>1.3918631337366996</v>
      </c>
      <c r="R602">
        <f t="shared" ca="1" si="84"/>
        <v>1.0979787069896634</v>
      </c>
    </row>
    <row r="603" spans="1:18" x14ac:dyDescent="0.3">
      <c r="A603" s="2">
        <f ca="1">IFERROR(__xludf.DUMMYFUNCTION("""COMPUTED_VALUE"""),45099.6666666666)</f>
        <v>45099.666666666599</v>
      </c>
      <c r="B603" s="1">
        <f ca="1">IFERROR(__xludf.DUMMYFUNCTION("""COMPUTED_VALUE"""),436.51)</f>
        <v>436.51</v>
      </c>
      <c r="C603" s="1">
        <f ca="1">IFERROR(__xludf.DUMMYFUNCTION("""COMPUTED_VALUE"""),187)</f>
        <v>187</v>
      </c>
      <c r="D603" s="1">
        <f ca="1">IFERROR(__xludf.DUMMYFUNCTION("""COMPUTED_VALUE"""),339.71)</f>
        <v>339.71</v>
      </c>
      <c r="E603" s="1">
        <f ca="1">IFERROR(__xludf.DUMMYFUNCTION("""COMPUTED_VALUE"""),139.58)</f>
        <v>139.58000000000001</v>
      </c>
      <c r="F603">
        <f t="shared" ca="1" si="77"/>
        <v>3.6096932910286319E-3</v>
      </c>
      <c r="G603">
        <f t="shared" ca="1" si="78"/>
        <v>1.6525331593824702E-2</v>
      </c>
      <c r="H603">
        <f t="shared" ca="1" si="79"/>
        <v>1.8437462525482604E-2</v>
      </c>
      <c r="I603">
        <f t="shared" ca="1" si="80"/>
        <v>-1.9252388982574344E-2</v>
      </c>
      <c r="O603">
        <f t="shared" ca="1" si="81"/>
        <v>1.1602211413231258</v>
      </c>
      <c r="P603">
        <f t="shared" ca="1" si="82"/>
        <v>1.425956992527071</v>
      </c>
      <c r="Q603">
        <f t="shared" ca="1" si="83"/>
        <v>1.4175255581055708</v>
      </c>
      <c r="R603">
        <f t="shared" ca="1" si="84"/>
        <v>1.0768399938281144</v>
      </c>
    </row>
    <row r="604" spans="1:18" x14ac:dyDescent="0.3">
      <c r="A604" s="2">
        <f ca="1">IFERROR(__xludf.DUMMYFUNCTION("""COMPUTED_VALUE"""),45100.6666666666)</f>
        <v>45100.666666666599</v>
      </c>
      <c r="B604" s="1">
        <f ca="1">IFERROR(__xludf.DUMMYFUNCTION("""COMPUTED_VALUE"""),433.21)</f>
        <v>433.21</v>
      </c>
      <c r="C604" s="1">
        <f ca="1">IFERROR(__xludf.DUMMYFUNCTION("""COMPUTED_VALUE"""),186.68)</f>
        <v>186.68</v>
      </c>
      <c r="D604" s="1">
        <f ca="1">IFERROR(__xludf.DUMMYFUNCTION("""COMPUTED_VALUE"""),335.02)</f>
        <v>335.02</v>
      </c>
      <c r="E604" s="1">
        <f ca="1">IFERROR(__xludf.DUMMYFUNCTION("""COMPUTED_VALUE"""),138.85)</f>
        <v>138.85</v>
      </c>
      <c r="F604">
        <f t="shared" ca="1" si="77"/>
        <v>-7.5599642619871513E-3</v>
      </c>
      <c r="G604">
        <f t="shared" ca="1" si="78"/>
        <v>-1.7112299465240277E-3</v>
      </c>
      <c r="H604">
        <f t="shared" ca="1" si="79"/>
        <v>-1.380589326189985E-2</v>
      </c>
      <c r="I604">
        <f t="shared" ca="1" si="80"/>
        <v>-5.2299756412094722E-3</v>
      </c>
      <c r="O604">
        <f t="shared" ca="1" si="81"/>
        <v>1.1514499109587211</v>
      </c>
      <c r="P604">
        <f t="shared" ca="1" si="82"/>
        <v>1.4235168522190034</v>
      </c>
      <c r="Q604">
        <f t="shared" ca="1" si="83"/>
        <v>1.3979553515543504</v>
      </c>
      <c r="R604">
        <f t="shared" ca="1" si="84"/>
        <v>1.0712081468909131</v>
      </c>
    </row>
    <row r="605" spans="1:18" x14ac:dyDescent="0.3">
      <c r="A605" s="2">
        <f ca="1">IFERROR(__xludf.DUMMYFUNCTION("""COMPUTED_VALUE"""),45103.6666666666)</f>
        <v>45103.666666666599</v>
      </c>
      <c r="B605" s="1">
        <f ca="1">IFERROR(__xludf.DUMMYFUNCTION("""COMPUTED_VALUE"""),431.44)</f>
        <v>431.44</v>
      </c>
      <c r="C605" s="1">
        <f ca="1">IFERROR(__xludf.DUMMYFUNCTION("""COMPUTED_VALUE"""),185.27)</f>
        <v>185.27</v>
      </c>
      <c r="D605" s="1">
        <f ca="1">IFERROR(__xludf.DUMMYFUNCTION("""COMPUTED_VALUE"""),328.6)</f>
        <v>328.6</v>
      </c>
      <c r="E605" s="1">
        <f ca="1">IFERROR(__xludf.DUMMYFUNCTION("""COMPUTED_VALUE"""),139.19)</f>
        <v>139.19</v>
      </c>
      <c r="F605">
        <f t="shared" ca="1" si="77"/>
        <v>-4.085778259966256E-3</v>
      </c>
      <c r="G605">
        <f t="shared" ca="1" si="78"/>
        <v>-7.5530319262909606E-3</v>
      </c>
      <c r="H605">
        <f t="shared" ca="1" si="79"/>
        <v>-1.9163035042683896E-2</v>
      </c>
      <c r="I605">
        <f t="shared" ca="1" si="80"/>
        <v>2.4486856319769781E-3</v>
      </c>
      <c r="O605">
        <f t="shared" ca="1" si="81"/>
        <v>1.1467453419450859</v>
      </c>
      <c r="P605">
        <f t="shared" ca="1" si="82"/>
        <v>1.4127649839865799</v>
      </c>
      <c r="Q605">
        <f t="shared" ca="1" si="83"/>
        <v>1.3711662841644068</v>
      </c>
      <c r="R605">
        <f t="shared" ca="1" si="84"/>
        <v>1.0738311988890616</v>
      </c>
    </row>
    <row r="606" spans="1:18" x14ac:dyDescent="0.3">
      <c r="A606" s="2">
        <f ca="1">IFERROR(__xludf.DUMMYFUNCTION("""COMPUTED_VALUE"""),45104.6666666666)</f>
        <v>45104.666666666599</v>
      </c>
      <c r="B606" s="1">
        <f ca="1">IFERROR(__xludf.DUMMYFUNCTION("""COMPUTED_VALUE"""),436.17)</f>
        <v>436.17</v>
      </c>
      <c r="C606" s="1">
        <f ca="1">IFERROR(__xludf.DUMMYFUNCTION("""COMPUTED_VALUE"""),188.06)</f>
        <v>188.06</v>
      </c>
      <c r="D606" s="1">
        <f ca="1">IFERROR(__xludf.DUMMYFUNCTION("""COMPUTED_VALUE"""),334.57)</f>
        <v>334.57</v>
      </c>
      <c r="E606" s="1">
        <f ca="1">IFERROR(__xludf.DUMMYFUNCTION("""COMPUTED_VALUE"""),139.2)</f>
        <v>139.19999999999999</v>
      </c>
      <c r="F606">
        <f t="shared" ca="1" si="77"/>
        <v>1.0963285740775121E-2</v>
      </c>
      <c r="G606">
        <f t="shared" ca="1" si="78"/>
        <v>1.5059102930857623E-2</v>
      </c>
      <c r="H606">
        <f t="shared" ca="1" si="79"/>
        <v>1.8167985392574467E-2</v>
      </c>
      <c r="I606">
        <f t="shared" ca="1" si="80"/>
        <v>7.184424168396368E-5</v>
      </c>
      <c r="O606">
        <f t="shared" ca="1" si="81"/>
        <v>1.1593174388007328</v>
      </c>
      <c r="P606">
        <f t="shared" ca="1" si="82"/>
        <v>1.4340399572975451</v>
      </c>
      <c r="Q606">
        <f t="shared" ca="1" si="83"/>
        <v>1.3960776131858963</v>
      </c>
      <c r="R606">
        <f t="shared" ca="1" si="84"/>
        <v>1.0739083474772424</v>
      </c>
    </row>
    <row r="607" spans="1:18" x14ac:dyDescent="0.3">
      <c r="A607" s="2">
        <f ca="1">IFERROR(__xludf.DUMMYFUNCTION("""COMPUTED_VALUE"""),45105.6666666666)</f>
        <v>45105.666666666599</v>
      </c>
      <c r="B607" s="1">
        <f ca="1">IFERROR(__xludf.DUMMYFUNCTION("""COMPUTED_VALUE"""),436.39)</f>
        <v>436.39</v>
      </c>
      <c r="C607" s="1">
        <f ca="1">IFERROR(__xludf.DUMMYFUNCTION("""COMPUTED_VALUE"""),189.25)</f>
        <v>189.25</v>
      </c>
      <c r="D607" s="1">
        <f ca="1">IFERROR(__xludf.DUMMYFUNCTION("""COMPUTED_VALUE"""),335.85)</f>
        <v>335.85</v>
      </c>
      <c r="E607" s="1">
        <f ca="1">IFERROR(__xludf.DUMMYFUNCTION("""COMPUTED_VALUE"""),138.59)</f>
        <v>138.59</v>
      </c>
      <c r="F607">
        <f t="shared" ca="1" si="77"/>
        <v>5.0439048994651268E-4</v>
      </c>
      <c r="G607">
        <f t="shared" ca="1" si="78"/>
        <v>6.3277677337019982E-3</v>
      </c>
      <c r="H607">
        <f t="shared" ca="1" si="79"/>
        <v>3.8258062587800149E-3</v>
      </c>
      <c r="I607">
        <f t="shared" ca="1" si="80"/>
        <v>-4.3821839080458716E-3</v>
      </c>
      <c r="O607">
        <f t="shared" ca="1" si="81"/>
        <v>1.159902187491693</v>
      </c>
      <c r="P607">
        <f t="shared" ca="1" si="82"/>
        <v>1.4431142290681718</v>
      </c>
      <c r="Q607">
        <f t="shared" ca="1" si="83"/>
        <v>1.4014187356561654</v>
      </c>
      <c r="R607">
        <f t="shared" ca="1" si="84"/>
        <v>1.0692022835982116</v>
      </c>
    </row>
    <row r="608" spans="1:18" x14ac:dyDescent="0.3">
      <c r="A608" s="2">
        <f ca="1">IFERROR(__xludf.DUMMYFUNCTION("""COMPUTED_VALUE"""),45106.6666666666)</f>
        <v>45106.666666666599</v>
      </c>
      <c r="B608" s="1">
        <f ca="1">IFERROR(__xludf.DUMMYFUNCTION("""COMPUTED_VALUE"""),438.11)</f>
        <v>438.11</v>
      </c>
      <c r="C608" s="1">
        <f ca="1">IFERROR(__xludf.DUMMYFUNCTION("""COMPUTED_VALUE"""),189.59)</f>
        <v>189.59</v>
      </c>
      <c r="D608" s="1">
        <f ca="1">IFERROR(__xludf.DUMMYFUNCTION("""COMPUTED_VALUE"""),335.05)</f>
        <v>335.05</v>
      </c>
      <c r="E608" s="1">
        <f ca="1">IFERROR(__xludf.DUMMYFUNCTION("""COMPUTED_VALUE"""),143.43)</f>
        <v>143.43</v>
      </c>
      <c r="F608">
        <f t="shared" ca="1" si="77"/>
        <v>3.9414285386925162E-3</v>
      </c>
      <c r="G608">
        <f t="shared" ca="1" si="78"/>
        <v>1.7965653896961872E-3</v>
      </c>
      <c r="H608">
        <f t="shared" ca="1" si="79"/>
        <v>-2.3820157808545819E-3</v>
      </c>
      <c r="I608">
        <f t="shared" ca="1" si="80"/>
        <v>3.4923154628761117E-2</v>
      </c>
      <c r="O608">
        <f t="shared" ca="1" si="81"/>
        <v>1.1644738590755648</v>
      </c>
      <c r="P608">
        <f t="shared" ca="1" si="82"/>
        <v>1.4457068781454936</v>
      </c>
      <c r="Q608">
        <f t="shared" ca="1" si="83"/>
        <v>1.3980805341122471</v>
      </c>
      <c r="R608">
        <f t="shared" ca="1" si="84"/>
        <v>1.1065422002777365</v>
      </c>
    </row>
    <row r="609" spans="1:18" x14ac:dyDescent="0.3">
      <c r="A609" s="2">
        <f ca="1">IFERROR(__xludf.DUMMYFUNCTION("""COMPUTED_VALUE"""),45107.6666666666)</f>
        <v>45107.666666666599</v>
      </c>
      <c r="B609" s="1">
        <f ca="1">IFERROR(__xludf.DUMMYFUNCTION("""COMPUTED_VALUE"""),443.28)</f>
        <v>443.28</v>
      </c>
      <c r="C609" s="1">
        <f ca="1">IFERROR(__xludf.DUMMYFUNCTION("""COMPUTED_VALUE"""),193.97)</f>
        <v>193.97</v>
      </c>
      <c r="D609" s="1">
        <f ca="1">IFERROR(__xludf.DUMMYFUNCTION("""COMPUTED_VALUE"""),340.54)</f>
        <v>340.54</v>
      </c>
      <c r="E609" s="1">
        <f ca="1">IFERROR(__xludf.DUMMYFUNCTION("""COMPUTED_VALUE"""),145.44)</f>
        <v>145.44</v>
      </c>
      <c r="F609">
        <f t="shared" ca="1" si="77"/>
        <v>1.1800689324598752E-2</v>
      </c>
      <c r="G609">
        <f t="shared" ca="1" si="78"/>
        <v>2.3102484308244083E-2</v>
      </c>
      <c r="H609">
        <f t="shared" ca="1" si="79"/>
        <v>1.6385614087449662E-2</v>
      </c>
      <c r="I609">
        <f t="shared" ca="1" si="80"/>
        <v>1.4013804643379982E-2</v>
      </c>
      <c r="O609">
        <f t="shared" ca="1" si="81"/>
        <v>1.1782154533131322</v>
      </c>
      <c r="P609">
        <f t="shared" ca="1" si="82"/>
        <v>1.4791062986121704</v>
      </c>
      <c r="Q609">
        <f t="shared" ca="1" si="83"/>
        <v>1.4209889422073858</v>
      </c>
      <c r="R609">
        <f t="shared" ca="1" si="84"/>
        <v>1.1220490665020846</v>
      </c>
    </row>
    <row r="610" spans="1:18" x14ac:dyDescent="0.3">
      <c r="A610" s="2">
        <f ca="1">IFERROR(__xludf.DUMMYFUNCTION("""COMPUTED_VALUE"""),45110.5520833333)</f>
        <v>45110.552083333299</v>
      </c>
      <c r="B610" s="1">
        <f ca="1">IFERROR(__xludf.DUMMYFUNCTION("""COMPUTED_VALUE"""),443.79)</f>
        <v>443.79</v>
      </c>
      <c r="C610" s="1">
        <f ca="1">IFERROR(__xludf.DUMMYFUNCTION("""COMPUTED_VALUE"""),192.46)</f>
        <v>192.46</v>
      </c>
      <c r="D610" s="1">
        <f ca="1">IFERROR(__xludf.DUMMYFUNCTION("""COMPUTED_VALUE"""),337.99)</f>
        <v>337.99</v>
      </c>
      <c r="E610" s="1">
        <f ca="1">IFERROR(__xludf.DUMMYFUNCTION("""COMPUTED_VALUE"""),146.61)</f>
        <v>146.61000000000001</v>
      </c>
      <c r="F610">
        <f t="shared" ca="1" si="77"/>
        <v>1.1505143475907954E-3</v>
      </c>
      <c r="G610">
        <f t="shared" ca="1" si="78"/>
        <v>-7.7847089756147387E-3</v>
      </c>
      <c r="H610">
        <f t="shared" ca="1" si="79"/>
        <v>-7.4881071239795947E-3</v>
      </c>
      <c r="I610">
        <f t="shared" ca="1" si="80"/>
        <v>8.044554455445654E-3</v>
      </c>
      <c r="O610">
        <f t="shared" ca="1" si="81"/>
        <v>1.179571007096722</v>
      </c>
      <c r="P610">
        <f t="shared" ca="1" si="82"/>
        <v>1.4675918865334758</v>
      </c>
      <c r="Q610">
        <f t="shared" ca="1" si="83"/>
        <v>1.4103484247861464</v>
      </c>
      <c r="R610">
        <f t="shared" ca="1" si="84"/>
        <v>1.1310754513192427</v>
      </c>
    </row>
    <row r="611" spans="1:18" x14ac:dyDescent="0.3">
      <c r="A611" s="2">
        <f ca="1">IFERROR(__xludf.DUMMYFUNCTION("""COMPUTED_VALUE"""),45112.6666666666)</f>
        <v>45112.666666666599</v>
      </c>
      <c r="B611" s="1">
        <f ca="1">IFERROR(__xludf.DUMMYFUNCTION("""COMPUTED_VALUE"""),443.13)</f>
        <v>443.13</v>
      </c>
      <c r="C611" s="1">
        <f ca="1">IFERROR(__xludf.DUMMYFUNCTION("""COMPUTED_VALUE"""),191.33)</f>
        <v>191.33</v>
      </c>
      <c r="D611" s="1">
        <f ca="1">IFERROR(__xludf.DUMMYFUNCTION("""COMPUTED_VALUE"""),338.15)</f>
        <v>338.15</v>
      </c>
      <c r="E611" s="1">
        <f ca="1">IFERROR(__xludf.DUMMYFUNCTION("""COMPUTED_VALUE"""),144.64)</f>
        <v>144.63999999999999</v>
      </c>
      <c r="F611">
        <f t="shared" ca="1" si="77"/>
        <v>-1.487189887108824E-3</v>
      </c>
      <c r="G611">
        <f t="shared" ca="1" si="78"/>
        <v>-5.8713498908863938E-3</v>
      </c>
      <c r="H611">
        <f t="shared" ca="1" si="79"/>
        <v>4.7338678659122505E-4</v>
      </c>
      <c r="I611">
        <f t="shared" ca="1" si="80"/>
        <v>-1.3437009753768686E-2</v>
      </c>
      <c r="O611">
        <f t="shared" ca="1" si="81"/>
        <v>1.177816761023841</v>
      </c>
      <c r="P611">
        <f t="shared" ca="1" si="82"/>
        <v>1.4589751410706118</v>
      </c>
      <c r="Q611">
        <f t="shared" ca="1" si="83"/>
        <v>1.4110160650949297</v>
      </c>
      <c r="R611">
        <f t="shared" ca="1" si="84"/>
        <v>1.1158771794476177</v>
      </c>
    </row>
    <row r="612" spans="1:18" x14ac:dyDescent="0.3">
      <c r="A612" s="2">
        <f ca="1">IFERROR(__xludf.DUMMYFUNCTION("""COMPUTED_VALUE"""),45113.6666666666)</f>
        <v>45113.666666666599</v>
      </c>
      <c r="B612" s="1">
        <f ca="1">IFERROR(__xludf.DUMMYFUNCTION("""COMPUTED_VALUE"""),439.66)</f>
        <v>439.66</v>
      </c>
      <c r="C612" s="1">
        <f ca="1">IFERROR(__xludf.DUMMYFUNCTION("""COMPUTED_VALUE"""),191.81)</f>
        <v>191.81</v>
      </c>
      <c r="D612" s="1">
        <f ca="1">IFERROR(__xludf.DUMMYFUNCTION("""COMPUTED_VALUE"""),341.27)</f>
        <v>341.27</v>
      </c>
      <c r="E612" s="1">
        <f ca="1">IFERROR(__xludf.DUMMYFUNCTION("""COMPUTED_VALUE"""),143.21)</f>
        <v>143.21</v>
      </c>
      <c r="F612">
        <f t="shared" ca="1" si="77"/>
        <v>-7.8306591745085433E-3</v>
      </c>
      <c r="G612">
        <f t="shared" ca="1" si="78"/>
        <v>2.5087545079182029E-3</v>
      </c>
      <c r="H612">
        <f t="shared" ca="1" si="79"/>
        <v>9.2266745527133064E-3</v>
      </c>
      <c r="I612">
        <f t="shared" ca="1" si="80"/>
        <v>-9.8866150442476399E-3</v>
      </c>
      <c r="O612">
        <f t="shared" ca="1" si="81"/>
        <v>1.1685936793982397</v>
      </c>
      <c r="P612">
        <f t="shared" ca="1" si="82"/>
        <v>1.4626353515327131</v>
      </c>
      <c r="Q612">
        <f t="shared" ca="1" si="83"/>
        <v>1.4240350511162105</v>
      </c>
      <c r="R612">
        <f t="shared" ca="1" si="84"/>
        <v>1.1048449313377582</v>
      </c>
    </row>
    <row r="613" spans="1:18" x14ac:dyDescent="0.3">
      <c r="A613" s="2">
        <f ca="1">IFERROR(__xludf.DUMMYFUNCTION("""COMPUTED_VALUE"""),45114.6666666666)</f>
        <v>45114.666666666599</v>
      </c>
      <c r="B613" s="1">
        <f ca="1">IFERROR(__xludf.DUMMYFUNCTION("""COMPUTED_VALUE"""),438.55)</f>
        <v>438.55</v>
      </c>
      <c r="C613" s="1">
        <f ca="1">IFERROR(__xludf.DUMMYFUNCTION("""COMPUTED_VALUE"""),190.68)</f>
        <v>190.68</v>
      </c>
      <c r="D613" s="1">
        <f ca="1">IFERROR(__xludf.DUMMYFUNCTION("""COMPUTED_VALUE"""),337.22)</f>
        <v>337.22</v>
      </c>
      <c r="E613" s="1">
        <f ca="1">IFERROR(__xludf.DUMMYFUNCTION("""COMPUTED_VALUE"""),144.34)</f>
        <v>144.34</v>
      </c>
      <c r="F613">
        <f t="shared" ca="1" si="77"/>
        <v>-2.5246781603967009E-3</v>
      </c>
      <c r="G613">
        <f t="shared" ca="1" si="78"/>
        <v>-5.8912465460611825E-3</v>
      </c>
      <c r="H613">
        <f t="shared" ca="1" si="79"/>
        <v>-1.186743634072715E-2</v>
      </c>
      <c r="I613">
        <f t="shared" ca="1" si="80"/>
        <v>7.8905104392151069E-3</v>
      </c>
      <c r="O613">
        <f t="shared" ca="1" si="81"/>
        <v>1.1656433564574853</v>
      </c>
      <c r="P613">
        <f t="shared" ca="1" si="82"/>
        <v>1.454018606069849</v>
      </c>
      <c r="Q613">
        <f t="shared" ca="1" si="83"/>
        <v>1.4071354058001246</v>
      </c>
      <c r="R613">
        <f t="shared" ca="1" si="84"/>
        <v>1.1135627218021926</v>
      </c>
    </row>
    <row r="614" spans="1:18" x14ac:dyDescent="0.3">
      <c r="A614" s="2">
        <f ca="1">IFERROR(__xludf.DUMMYFUNCTION("""COMPUTED_VALUE"""),45117.6666666666)</f>
        <v>45117.666666666599</v>
      </c>
      <c r="B614" s="1">
        <f ca="1">IFERROR(__xludf.DUMMYFUNCTION("""COMPUTED_VALUE"""),439.66)</f>
        <v>439.66</v>
      </c>
      <c r="C614" s="1">
        <f ca="1">IFERROR(__xludf.DUMMYFUNCTION("""COMPUTED_VALUE"""),188.61)</f>
        <v>188.61</v>
      </c>
      <c r="D614" s="1">
        <f ca="1">IFERROR(__xludf.DUMMYFUNCTION("""COMPUTED_VALUE"""),331.83)</f>
        <v>331.83</v>
      </c>
      <c r="E614" s="1">
        <f ca="1">IFERROR(__xludf.DUMMYFUNCTION("""COMPUTED_VALUE"""),145.15)</f>
        <v>145.15</v>
      </c>
      <c r="F614">
        <f t="shared" ca="1" si="77"/>
        <v>2.5310682932391144E-3</v>
      </c>
      <c r="G614">
        <f t="shared" ca="1" si="78"/>
        <v>-1.0855884203901789E-2</v>
      </c>
      <c r="H614">
        <f t="shared" ca="1" si="79"/>
        <v>-1.5983630864124437E-2</v>
      </c>
      <c r="I614">
        <f t="shared" ca="1" si="80"/>
        <v>5.611750034640448E-3</v>
      </c>
      <c r="O614">
        <f t="shared" ca="1" si="81"/>
        <v>1.1685936793982397</v>
      </c>
      <c r="P614">
        <f t="shared" ca="1" si="82"/>
        <v>1.4382339484520359</v>
      </c>
      <c r="Q614">
        <f t="shared" ca="1" si="83"/>
        <v>1.3846442728979755</v>
      </c>
      <c r="R614">
        <f t="shared" ca="1" si="84"/>
        <v>1.1198117574448403</v>
      </c>
    </row>
    <row r="615" spans="1:18" x14ac:dyDescent="0.3">
      <c r="A615" s="2">
        <f ca="1">IFERROR(__xludf.DUMMYFUNCTION("""COMPUTED_VALUE"""),45118.6666666666)</f>
        <v>45118.666666666599</v>
      </c>
      <c r="B615" s="1">
        <f ca="1">IFERROR(__xludf.DUMMYFUNCTION("""COMPUTED_VALUE"""),442.46)</f>
        <v>442.46</v>
      </c>
      <c r="C615" s="1">
        <f ca="1">IFERROR(__xludf.DUMMYFUNCTION("""COMPUTED_VALUE"""),188.08)</f>
        <v>188.08</v>
      </c>
      <c r="D615" s="1">
        <f ca="1">IFERROR(__xludf.DUMMYFUNCTION("""COMPUTED_VALUE"""),332.47)</f>
        <v>332.47</v>
      </c>
      <c r="E615" s="1">
        <f ca="1">IFERROR(__xludf.DUMMYFUNCTION("""COMPUTED_VALUE"""),147.42)</f>
        <v>147.41999999999999</v>
      </c>
      <c r="F615">
        <f t="shared" ca="1" si="77"/>
        <v>6.3685575217212265E-3</v>
      </c>
      <c r="G615">
        <f t="shared" ca="1" si="78"/>
        <v>-2.8100312814803093E-3</v>
      </c>
      <c r="H615">
        <f t="shared" ca="1" si="79"/>
        <v>1.9286984299190647E-3</v>
      </c>
      <c r="I615">
        <f t="shared" ca="1" si="80"/>
        <v>1.5638994143988852E-2</v>
      </c>
      <c r="O615">
        <f t="shared" ca="1" si="81"/>
        <v>1.1760359354650072</v>
      </c>
      <c r="P615">
        <f t="shared" ca="1" si="82"/>
        <v>1.4341924660667988</v>
      </c>
      <c r="Q615">
        <f t="shared" ca="1" si="83"/>
        <v>1.3873148341331105</v>
      </c>
      <c r="R615">
        <f t="shared" ca="1" si="84"/>
        <v>1.1373244869618901</v>
      </c>
    </row>
    <row r="616" spans="1:18" x14ac:dyDescent="0.3">
      <c r="A616" s="2">
        <f ca="1">IFERROR(__xludf.DUMMYFUNCTION("""COMPUTED_VALUE"""),45119.6666666666)</f>
        <v>45119.666666666599</v>
      </c>
      <c r="B616" s="1">
        <f ca="1">IFERROR(__xludf.DUMMYFUNCTION("""COMPUTED_VALUE"""),446.02)</f>
        <v>446.02</v>
      </c>
      <c r="C616" s="1">
        <f ca="1">IFERROR(__xludf.DUMMYFUNCTION("""COMPUTED_VALUE"""),189.77)</f>
        <v>189.77</v>
      </c>
      <c r="D616" s="1">
        <f ca="1">IFERROR(__xludf.DUMMYFUNCTION("""COMPUTED_VALUE"""),337.2)</f>
        <v>337.2</v>
      </c>
      <c r="E616" s="1">
        <f ca="1">IFERROR(__xludf.DUMMYFUNCTION("""COMPUTED_VALUE"""),148.15)</f>
        <v>148.15</v>
      </c>
      <c r="F616">
        <f t="shared" ca="1" si="77"/>
        <v>8.0459250553722422E-3</v>
      </c>
      <c r="G616">
        <f t="shared" ca="1" si="78"/>
        <v>8.9855380689068346E-3</v>
      </c>
      <c r="H616">
        <f t="shared" ca="1" si="79"/>
        <v>1.4226847535115833E-2</v>
      </c>
      <c r="I616">
        <f t="shared" ca="1" si="80"/>
        <v>4.9518382851717422E-3</v>
      </c>
      <c r="O616">
        <f t="shared" ca="1" si="81"/>
        <v>1.1854982324641832</v>
      </c>
      <c r="P616">
        <f t="shared" ca="1" si="82"/>
        <v>1.4470794570687813</v>
      </c>
      <c r="Q616">
        <f t="shared" ca="1" si="83"/>
        <v>1.4070519507615269</v>
      </c>
      <c r="R616">
        <f t="shared" ca="1" si="84"/>
        <v>1.1429563338990913</v>
      </c>
    </row>
    <row r="617" spans="1:18" x14ac:dyDescent="0.3">
      <c r="A617" s="2">
        <f ca="1">IFERROR(__xludf.DUMMYFUNCTION("""COMPUTED_VALUE"""),45120.6666666666)</f>
        <v>45120.666666666599</v>
      </c>
      <c r="B617" s="1">
        <f ca="1">IFERROR(__xludf.DUMMYFUNCTION("""COMPUTED_VALUE"""),449.56)</f>
        <v>449.56</v>
      </c>
      <c r="C617" s="1">
        <f ca="1">IFERROR(__xludf.DUMMYFUNCTION("""COMPUTED_VALUE"""),190.54)</f>
        <v>190.54</v>
      </c>
      <c r="D617" s="1">
        <f ca="1">IFERROR(__xludf.DUMMYFUNCTION("""COMPUTED_VALUE"""),342.66)</f>
        <v>342.66</v>
      </c>
      <c r="E617" s="1">
        <f ca="1">IFERROR(__xludf.DUMMYFUNCTION("""COMPUTED_VALUE"""),148.87)</f>
        <v>148.87</v>
      </c>
      <c r="F617">
        <f t="shared" ca="1" si="77"/>
        <v>7.9368638177660655E-3</v>
      </c>
      <c r="G617">
        <f t="shared" ca="1" si="78"/>
        <v>4.0575433419401475E-3</v>
      </c>
      <c r="H617">
        <f t="shared" ca="1" si="79"/>
        <v>1.6192170818505446E-2</v>
      </c>
      <c r="I617">
        <f t="shared" ca="1" si="80"/>
        <v>4.8599392507593575E-3</v>
      </c>
      <c r="O617">
        <f t="shared" ca="1" si="81"/>
        <v>1.1949073704914539</v>
      </c>
      <c r="P617">
        <f t="shared" ca="1" si="82"/>
        <v>1.4529510446850691</v>
      </c>
      <c r="Q617">
        <f t="shared" ca="1" si="83"/>
        <v>1.4298351762987689</v>
      </c>
      <c r="R617">
        <f t="shared" ca="1" si="84"/>
        <v>1.1485110322481116</v>
      </c>
    </row>
    <row r="618" spans="1:18" x14ac:dyDescent="0.3">
      <c r="A618" s="2">
        <f ca="1">IFERROR(__xludf.DUMMYFUNCTION("""COMPUTED_VALUE"""),45121.6666666666)</f>
        <v>45121.666666666599</v>
      </c>
      <c r="B618" s="1">
        <f ca="1">IFERROR(__xludf.DUMMYFUNCTION("""COMPUTED_VALUE"""),449.28)</f>
        <v>449.28</v>
      </c>
      <c r="C618" s="1">
        <f ca="1">IFERROR(__xludf.DUMMYFUNCTION("""COMPUTED_VALUE"""),190.69)</f>
        <v>190.69</v>
      </c>
      <c r="D618" s="1">
        <f ca="1">IFERROR(__xludf.DUMMYFUNCTION("""COMPUTED_VALUE"""),345.24)</f>
        <v>345.24</v>
      </c>
      <c r="E618" s="1">
        <f ca="1">IFERROR(__xludf.DUMMYFUNCTION("""COMPUTED_VALUE"""),149.77)</f>
        <v>149.77000000000001</v>
      </c>
      <c r="F618">
        <f t="shared" ca="1" si="77"/>
        <v>-6.2283121274141282E-4</v>
      </c>
      <c r="G618">
        <f t="shared" ca="1" si="78"/>
        <v>7.8723627584762097E-4</v>
      </c>
      <c r="H618">
        <f t="shared" ca="1" si="79"/>
        <v>7.5293293643844744E-3</v>
      </c>
      <c r="I618">
        <f t="shared" ca="1" si="80"/>
        <v>6.0455430912877391E-3</v>
      </c>
      <c r="O618">
        <f t="shared" ca="1" si="81"/>
        <v>1.1941631448847772</v>
      </c>
      <c r="P618">
        <f t="shared" ca="1" si="82"/>
        <v>1.4540948604544759</v>
      </c>
      <c r="Q618">
        <f t="shared" ca="1" si="83"/>
        <v>1.4406008762779052</v>
      </c>
      <c r="R618">
        <f t="shared" ca="1" si="84"/>
        <v>1.1554544051843869</v>
      </c>
    </row>
    <row r="619" spans="1:18" x14ac:dyDescent="0.3">
      <c r="A619" s="2">
        <f ca="1">IFERROR(__xludf.DUMMYFUNCTION("""COMPUTED_VALUE"""),45124.6666666666)</f>
        <v>45124.666666666599</v>
      </c>
      <c r="B619" s="1">
        <f ca="1">IFERROR(__xludf.DUMMYFUNCTION("""COMPUTED_VALUE"""),450.84)</f>
        <v>450.84</v>
      </c>
      <c r="C619" s="1">
        <f ca="1">IFERROR(__xludf.DUMMYFUNCTION("""COMPUTED_VALUE"""),193.99)</f>
        <v>193.99</v>
      </c>
      <c r="D619" s="1">
        <f ca="1">IFERROR(__xludf.DUMMYFUNCTION("""COMPUTED_VALUE"""),345.73)</f>
        <v>345.73</v>
      </c>
      <c r="E619" s="1">
        <f ca="1">IFERROR(__xludf.DUMMYFUNCTION("""COMPUTED_VALUE"""),153.38)</f>
        <v>153.38</v>
      </c>
      <c r="F619">
        <f t="shared" ca="1" si="77"/>
        <v>3.4722222222222277E-3</v>
      </c>
      <c r="G619">
        <f t="shared" ca="1" si="78"/>
        <v>1.7305574492632082E-2</v>
      </c>
      <c r="H619">
        <f t="shared" ca="1" si="79"/>
        <v>1.4193025141930515E-3</v>
      </c>
      <c r="I619">
        <f t="shared" ca="1" si="80"/>
        <v>2.4103625559190659E-2</v>
      </c>
      <c r="O619">
        <f t="shared" ca="1" si="81"/>
        <v>1.1983095446934049</v>
      </c>
      <c r="P619">
        <f t="shared" ca="1" si="82"/>
        <v>1.4792588073814241</v>
      </c>
      <c r="Q619">
        <f t="shared" ca="1" si="83"/>
        <v>1.4426455247235552</v>
      </c>
      <c r="R619">
        <f t="shared" ca="1" si="84"/>
        <v>1.1833050455176688</v>
      </c>
    </row>
    <row r="620" spans="1:18" x14ac:dyDescent="0.3">
      <c r="A620" s="2">
        <f ca="1">IFERROR(__xludf.DUMMYFUNCTION("""COMPUTED_VALUE"""),45125.6666666666)</f>
        <v>45125.666666666599</v>
      </c>
      <c r="B620" s="1">
        <f ca="1">IFERROR(__xludf.DUMMYFUNCTION("""COMPUTED_VALUE"""),454.19)</f>
        <v>454.19</v>
      </c>
      <c r="C620" s="1">
        <f ca="1">IFERROR(__xludf.DUMMYFUNCTION("""COMPUTED_VALUE"""),193.73)</f>
        <v>193.73</v>
      </c>
      <c r="D620" s="1">
        <f ca="1">IFERROR(__xludf.DUMMYFUNCTION("""COMPUTED_VALUE"""),359.49)</f>
        <v>359.49</v>
      </c>
      <c r="E620" s="1">
        <f ca="1">IFERROR(__xludf.DUMMYFUNCTION("""COMPUTED_VALUE"""),153.66)</f>
        <v>153.66</v>
      </c>
      <c r="F620">
        <f t="shared" ca="1" si="77"/>
        <v>7.4305740395706303E-3</v>
      </c>
      <c r="G620">
        <f t="shared" ca="1" si="78"/>
        <v>-1.3402752719213326E-3</v>
      </c>
      <c r="H620">
        <f t="shared" ca="1" si="79"/>
        <v>3.9799843808752469E-2</v>
      </c>
      <c r="I620">
        <f t="shared" ca="1" si="80"/>
        <v>1.8255313600208708E-3</v>
      </c>
      <c r="O620">
        <f t="shared" ca="1" si="81"/>
        <v>1.2072136724875733</v>
      </c>
      <c r="P620">
        <f t="shared" ca="1" si="82"/>
        <v>1.4772761933811189</v>
      </c>
      <c r="Q620">
        <f t="shared" ca="1" si="83"/>
        <v>1.5000625912789487</v>
      </c>
      <c r="R620">
        <f t="shared" ca="1" si="84"/>
        <v>1.1854652059867321</v>
      </c>
    </row>
    <row r="621" spans="1:18" x14ac:dyDescent="0.3">
      <c r="A621" s="2">
        <f ca="1">IFERROR(__xludf.DUMMYFUNCTION("""COMPUTED_VALUE"""),45126.6666666666)</f>
        <v>45126.666666666599</v>
      </c>
      <c r="B621" s="1">
        <f ca="1">IFERROR(__xludf.DUMMYFUNCTION("""COMPUTED_VALUE"""),455.2)</f>
        <v>455.2</v>
      </c>
      <c r="C621" s="1">
        <f ca="1">IFERROR(__xludf.DUMMYFUNCTION("""COMPUTED_VALUE"""),195.1)</f>
        <v>195.1</v>
      </c>
      <c r="D621" s="1">
        <f ca="1">IFERROR(__xludf.DUMMYFUNCTION("""COMPUTED_VALUE"""),355.08)</f>
        <v>355.08</v>
      </c>
      <c r="E621" s="1">
        <f ca="1">IFERROR(__xludf.DUMMYFUNCTION("""COMPUTED_VALUE"""),154.25)</f>
        <v>154.25</v>
      </c>
      <c r="F621">
        <f t="shared" ca="1" si="77"/>
        <v>2.2237389638697261E-3</v>
      </c>
      <c r="G621">
        <f t="shared" ca="1" si="78"/>
        <v>7.0716977236360123E-3</v>
      </c>
      <c r="H621">
        <f t="shared" ca="1" si="79"/>
        <v>-1.2267378786614439E-2</v>
      </c>
      <c r="I621">
        <f t="shared" ca="1" si="80"/>
        <v>3.8396459716256892E-3</v>
      </c>
      <c r="O621">
        <f t="shared" ca="1" si="81"/>
        <v>1.2098982005688002</v>
      </c>
      <c r="P621">
        <f t="shared" ca="1" si="82"/>
        <v>1.487723044075034</v>
      </c>
      <c r="Q621">
        <f t="shared" ca="1" si="83"/>
        <v>1.4816607552680994</v>
      </c>
      <c r="R621">
        <f t="shared" ca="1" si="84"/>
        <v>1.1900169726894014</v>
      </c>
    </row>
    <row r="622" spans="1:18" x14ac:dyDescent="0.3">
      <c r="A622" s="2">
        <f ca="1">IFERROR(__xludf.DUMMYFUNCTION("""COMPUTED_VALUE"""),45127.6666666666)</f>
        <v>45127.666666666599</v>
      </c>
      <c r="B622" s="1">
        <f ca="1">IFERROR(__xludf.DUMMYFUNCTION("""COMPUTED_VALUE"""),452.18)</f>
        <v>452.18</v>
      </c>
      <c r="C622" s="1">
        <f ca="1">IFERROR(__xludf.DUMMYFUNCTION("""COMPUTED_VALUE"""),193.13)</f>
        <v>193.13</v>
      </c>
      <c r="D622" s="1">
        <f ca="1">IFERROR(__xludf.DUMMYFUNCTION("""COMPUTED_VALUE"""),346.87)</f>
        <v>346.87</v>
      </c>
      <c r="E622" s="1">
        <f ca="1">IFERROR(__xludf.DUMMYFUNCTION("""COMPUTED_VALUE"""),156.15)</f>
        <v>156.15</v>
      </c>
      <c r="F622">
        <f t="shared" ca="1" si="77"/>
        <v>-6.6344463971880095E-3</v>
      </c>
      <c r="G622">
        <f t="shared" ca="1" si="78"/>
        <v>-1.0097385955920036E-2</v>
      </c>
      <c r="H622">
        <f t="shared" ca="1" si="79"/>
        <v>-2.312155007322288E-2</v>
      </c>
      <c r="I622">
        <f t="shared" ca="1" si="80"/>
        <v>1.231766612641819E-2</v>
      </c>
      <c r="O622">
        <f t="shared" ca="1" si="81"/>
        <v>1.2018711958110722</v>
      </c>
      <c r="P622">
        <f t="shared" ca="1" si="82"/>
        <v>1.4727009303034921</v>
      </c>
      <c r="Q622">
        <f t="shared" ca="1" si="83"/>
        <v>1.4474024619236388</v>
      </c>
      <c r="R622">
        <f t="shared" ca="1" si="84"/>
        <v>1.2046752044437603</v>
      </c>
    </row>
    <row r="623" spans="1:18" x14ac:dyDescent="0.3">
      <c r="A623" s="2">
        <f ca="1">IFERROR(__xludf.DUMMYFUNCTION("""COMPUTED_VALUE"""),45128.6666666666)</f>
        <v>45128.666666666599</v>
      </c>
      <c r="B623" s="1">
        <f ca="1">IFERROR(__xludf.DUMMYFUNCTION("""COMPUTED_VALUE"""),452.18)</f>
        <v>452.18</v>
      </c>
      <c r="C623" s="1">
        <f ca="1">IFERROR(__xludf.DUMMYFUNCTION("""COMPUTED_VALUE"""),191.94)</f>
        <v>191.94</v>
      </c>
      <c r="D623" s="1">
        <f ca="1">IFERROR(__xludf.DUMMYFUNCTION("""COMPUTED_VALUE"""),343.77)</f>
        <v>343.77</v>
      </c>
      <c r="E623" s="1">
        <f ca="1">IFERROR(__xludf.DUMMYFUNCTION("""COMPUTED_VALUE"""),154.95)</f>
        <v>154.94999999999999</v>
      </c>
      <c r="F623">
        <f t="shared" ca="1" si="77"/>
        <v>0</v>
      </c>
      <c r="G623">
        <f t="shared" ca="1" si="78"/>
        <v>-6.1616527727437363E-3</v>
      </c>
      <c r="H623">
        <f t="shared" ca="1" si="79"/>
        <v>-8.937065759506509E-3</v>
      </c>
      <c r="I623">
        <f t="shared" ca="1" si="80"/>
        <v>-7.6849183477426643E-3</v>
      </c>
      <c r="O623">
        <f t="shared" ca="1" si="81"/>
        <v>1.2018711958110722</v>
      </c>
      <c r="P623">
        <f t="shared" ca="1" si="82"/>
        <v>1.4636266585328654</v>
      </c>
      <c r="Q623">
        <f t="shared" ca="1" si="83"/>
        <v>1.4344669309409557</v>
      </c>
      <c r="R623">
        <f t="shared" ca="1" si="84"/>
        <v>1.1954173738620599</v>
      </c>
    </row>
    <row r="624" spans="1:18" x14ac:dyDescent="0.3">
      <c r="A624" s="2">
        <f ca="1">IFERROR(__xludf.DUMMYFUNCTION("""COMPUTED_VALUE"""),45131.6666666666)</f>
        <v>45131.666666666599</v>
      </c>
      <c r="B624" s="1">
        <f ca="1">IFERROR(__xludf.DUMMYFUNCTION("""COMPUTED_VALUE"""),454.2)</f>
        <v>454.2</v>
      </c>
      <c r="C624" s="1">
        <f ca="1">IFERROR(__xludf.DUMMYFUNCTION("""COMPUTED_VALUE"""),192.75)</f>
        <v>192.75</v>
      </c>
      <c r="D624" s="1">
        <f ca="1">IFERROR(__xludf.DUMMYFUNCTION("""COMPUTED_VALUE"""),345.11)</f>
        <v>345.11</v>
      </c>
      <c r="E624" s="1">
        <f ca="1">IFERROR(__xludf.DUMMYFUNCTION("""COMPUTED_VALUE"""),158)</f>
        <v>158</v>
      </c>
      <c r="F624">
        <f t="shared" ca="1" si="77"/>
        <v>4.4672475562828563E-3</v>
      </c>
      <c r="G624">
        <f t="shared" ca="1" si="78"/>
        <v>4.2200687714911032E-3</v>
      </c>
      <c r="H624">
        <f t="shared" ca="1" si="79"/>
        <v>3.8979550280711867E-3</v>
      </c>
      <c r="I624">
        <f t="shared" ca="1" si="80"/>
        <v>1.9683768957728373E-2</v>
      </c>
      <c r="O624">
        <f t="shared" ca="1" si="81"/>
        <v>1.2072402519735259</v>
      </c>
      <c r="P624">
        <f t="shared" ca="1" si="82"/>
        <v>1.4698032636876619</v>
      </c>
      <c r="Q624">
        <f t="shared" ca="1" si="83"/>
        <v>1.4400584185270187</v>
      </c>
      <c r="R624">
        <f t="shared" ca="1" si="84"/>
        <v>1.218947693257215</v>
      </c>
    </row>
    <row r="625" spans="1:18" x14ac:dyDescent="0.3">
      <c r="A625" s="2">
        <f ca="1">IFERROR(__xludf.DUMMYFUNCTION("""COMPUTED_VALUE"""),45132.6666666666)</f>
        <v>45132.666666666599</v>
      </c>
      <c r="B625" s="1">
        <f ca="1">IFERROR(__xludf.DUMMYFUNCTION("""COMPUTED_VALUE"""),455.44)</f>
        <v>455.44</v>
      </c>
      <c r="C625" s="1">
        <f ca="1">IFERROR(__xludf.DUMMYFUNCTION("""COMPUTED_VALUE"""),193.62)</f>
        <v>193.62</v>
      </c>
      <c r="D625" s="1">
        <f ca="1">IFERROR(__xludf.DUMMYFUNCTION("""COMPUTED_VALUE"""),350.98)</f>
        <v>350.98</v>
      </c>
      <c r="E625" s="1">
        <f ca="1">IFERROR(__xludf.DUMMYFUNCTION("""COMPUTED_VALUE"""),156.82)</f>
        <v>156.82</v>
      </c>
      <c r="F625">
        <f t="shared" ca="1" si="77"/>
        <v>2.7300748568912575E-3</v>
      </c>
      <c r="G625">
        <f t="shared" ca="1" si="78"/>
        <v>4.5136186770428251E-3</v>
      </c>
      <c r="H625">
        <f t="shared" ca="1" si="79"/>
        <v>1.7009069572020526E-2</v>
      </c>
      <c r="I625">
        <f t="shared" ca="1" si="80"/>
        <v>-7.4683544303797899E-3</v>
      </c>
      <c r="O625">
        <f t="shared" ca="1" si="81"/>
        <v>1.2105361082316659</v>
      </c>
      <c r="P625">
        <f t="shared" ca="1" si="82"/>
        <v>1.4764373951502212</v>
      </c>
      <c r="Q625">
        <f t="shared" ca="1" si="83"/>
        <v>1.4645524723555183</v>
      </c>
      <c r="R625">
        <f t="shared" ca="1" si="84"/>
        <v>1.2098441598518763</v>
      </c>
    </row>
    <row r="626" spans="1:18" x14ac:dyDescent="0.3">
      <c r="A626" s="2">
        <f ca="1">IFERROR(__xludf.DUMMYFUNCTION("""COMPUTED_VALUE"""),45133.6666666666)</f>
        <v>45133.666666666599</v>
      </c>
      <c r="B626" s="1">
        <f ca="1">IFERROR(__xludf.DUMMYFUNCTION("""COMPUTED_VALUE"""),455.51)</f>
        <v>455.51</v>
      </c>
      <c r="C626" s="1">
        <f ca="1">IFERROR(__xludf.DUMMYFUNCTION("""COMPUTED_VALUE"""),194.5)</f>
        <v>194.5</v>
      </c>
      <c r="D626" s="1">
        <f ca="1">IFERROR(__xludf.DUMMYFUNCTION("""COMPUTED_VALUE"""),337.77)</f>
        <v>337.77</v>
      </c>
      <c r="E626" s="1">
        <f ca="1">IFERROR(__xludf.DUMMYFUNCTION("""COMPUTED_VALUE"""),157.76)</f>
        <v>157.76</v>
      </c>
      <c r="F626">
        <f t="shared" ca="1" si="77"/>
        <v>1.5369752327418139E-4</v>
      </c>
      <c r="G626">
        <f t="shared" ca="1" si="78"/>
        <v>4.5449850222084257E-3</v>
      </c>
      <c r="H626">
        <f t="shared" ca="1" si="79"/>
        <v>-3.7637472220639456E-2</v>
      </c>
      <c r="I626">
        <f t="shared" ca="1" si="80"/>
        <v>5.9941334013518541E-3</v>
      </c>
      <c r="O626">
        <f t="shared" ca="1" si="81"/>
        <v>1.210722164633335</v>
      </c>
      <c r="P626">
        <f t="shared" ca="1" si="82"/>
        <v>1.4831477809974072</v>
      </c>
      <c r="Q626">
        <f t="shared" ca="1" si="83"/>
        <v>1.4094304193615688</v>
      </c>
      <c r="R626">
        <f t="shared" ca="1" si="84"/>
        <v>1.2170961271408749</v>
      </c>
    </row>
    <row r="627" spans="1:18" x14ac:dyDescent="0.3">
      <c r="A627" s="2">
        <f ca="1">IFERROR(__xludf.DUMMYFUNCTION("""COMPUTED_VALUE"""),45134.6666666666)</f>
        <v>45134.666666666599</v>
      </c>
      <c r="B627" s="1">
        <f ca="1">IFERROR(__xludf.DUMMYFUNCTION("""COMPUTED_VALUE"""),452.49)</f>
        <v>452.49</v>
      </c>
      <c r="C627" s="1">
        <f ca="1">IFERROR(__xludf.DUMMYFUNCTION("""COMPUTED_VALUE"""),193.22)</f>
        <v>193.22</v>
      </c>
      <c r="D627" s="1">
        <f ca="1">IFERROR(__xludf.DUMMYFUNCTION("""COMPUTED_VALUE"""),330.72)</f>
        <v>330.72</v>
      </c>
      <c r="E627" s="1">
        <f ca="1">IFERROR(__xludf.DUMMYFUNCTION("""COMPUTED_VALUE"""),156.02)</f>
        <v>156.02000000000001</v>
      </c>
      <c r="F627">
        <f t="shared" ca="1" si="77"/>
        <v>-6.6299312858114686E-3</v>
      </c>
      <c r="G627">
        <f t="shared" ca="1" si="78"/>
        <v>-6.5809768637532188E-3</v>
      </c>
      <c r="H627">
        <f t="shared" ca="1" si="79"/>
        <v>-2.0872191135979972E-2</v>
      </c>
      <c r="I627">
        <f t="shared" ca="1" si="80"/>
        <v>-1.102941176470576E-2</v>
      </c>
      <c r="O627">
        <f t="shared" ca="1" si="81"/>
        <v>1.202695159875607</v>
      </c>
      <c r="P627">
        <f t="shared" ca="1" si="82"/>
        <v>1.4733872197651363</v>
      </c>
      <c r="Q627">
        <f t="shared" ca="1" si="83"/>
        <v>1.3800125182557899</v>
      </c>
      <c r="R627">
        <f t="shared" ca="1" si="84"/>
        <v>1.2036722727974096</v>
      </c>
    </row>
    <row r="628" spans="1:18" x14ac:dyDescent="0.3">
      <c r="A628" s="2">
        <f ca="1">IFERROR(__xludf.DUMMYFUNCTION("""COMPUTED_VALUE"""),45135.6666666666)</f>
        <v>45135.666666666599</v>
      </c>
      <c r="B628" s="1">
        <f ca="1">IFERROR(__xludf.DUMMYFUNCTION("""COMPUTED_VALUE"""),456.92)</f>
        <v>456.92</v>
      </c>
      <c r="C628" s="1">
        <f ca="1">IFERROR(__xludf.DUMMYFUNCTION("""COMPUTED_VALUE"""),195.83)</f>
        <v>195.83</v>
      </c>
      <c r="D628" s="1">
        <f ca="1">IFERROR(__xludf.DUMMYFUNCTION("""COMPUTED_VALUE"""),338.37)</f>
        <v>338.37</v>
      </c>
      <c r="E628" s="1">
        <f ca="1">IFERROR(__xludf.DUMMYFUNCTION("""COMPUTED_VALUE"""),156.91)</f>
        <v>156.91</v>
      </c>
      <c r="F628">
        <f t="shared" ca="1" si="77"/>
        <v>9.7902716082123517E-3</v>
      </c>
      <c r="G628">
        <f t="shared" ca="1" si="78"/>
        <v>1.3507918434944694E-2</v>
      </c>
      <c r="H628">
        <f t="shared" ca="1" si="79"/>
        <v>2.3131349782293108E-2</v>
      </c>
      <c r="I628">
        <f t="shared" ca="1" si="80"/>
        <v>5.7043968721957848E-3</v>
      </c>
      <c r="O628">
        <f t="shared" ca="1" si="81"/>
        <v>1.2144698721526717</v>
      </c>
      <c r="P628">
        <f t="shared" ca="1" si="82"/>
        <v>1.4932896141528138</v>
      </c>
      <c r="Q628">
        <f t="shared" ca="1" si="83"/>
        <v>1.4119340705195078</v>
      </c>
      <c r="R628">
        <f t="shared" ca="1" si="84"/>
        <v>1.2105384971455038</v>
      </c>
    </row>
    <row r="629" spans="1:18" x14ac:dyDescent="0.3">
      <c r="A629" s="2">
        <f ca="1">IFERROR(__xludf.DUMMYFUNCTION("""COMPUTED_VALUE"""),45138.6666666666)</f>
        <v>45138.666666666599</v>
      </c>
      <c r="B629" s="1">
        <f ca="1">IFERROR(__xludf.DUMMYFUNCTION("""COMPUTED_VALUE"""),457.79)</f>
        <v>457.79</v>
      </c>
      <c r="C629" s="1">
        <f ca="1">IFERROR(__xludf.DUMMYFUNCTION("""COMPUTED_VALUE"""),196.45)</f>
        <v>196.45</v>
      </c>
      <c r="D629" s="1">
        <f ca="1">IFERROR(__xludf.DUMMYFUNCTION("""COMPUTED_VALUE"""),335.92)</f>
        <v>335.92</v>
      </c>
      <c r="E629" s="1">
        <f ca="1">IFERROR(__xludf.DUMMYFUNCTION("""COMPUTED_VALUE"""),157.96)</f>
        <v>157.96</v>
      </c>
      <c r="F629">
        <f t="shared" ca="1" si="77"/>
        <v>1.9040532259476594E-3</v>
      </c>
      <c r="G629">
        <f t="shared" ca="1" si="78"/>
        <v>3.1660113363630501E-3</v>
      </c>
      <c r="H629">
        <f t="shared" ca="1" si="79"/>
        <v>-7.2405946153618487E-3</v>
      </c>
      <c r="I629">
        <f t="shared" ca="1" si="80"/>
        <v>6.6917341150978995E-3</v>
      </c>
      <c r="O629">
        <f t="shared" ca="1" si="81"/>
        <v>1.2167822874305601</v>
      </c>
      <c r="P629">
        <f t="shared" ca="1" si="82"/>
        <v>1.4980173859996946</v>
      </c>
      <c r="Q629">
        <f t="shared" ca="1" si="83"/>
        <v>1.4017108282912583</v>
      </c>
      <c r="R629">
        <f t="shared" ca="1" si="84"/>
        <v>1.2186390989044915</v>
      </c>
    </row>
    <row r="630" spans="1:18" x14ac:dyDescent="0.3">
      <c r="A630" s="2">
        <f ca="1">IFERROR(__xludf.DUMMYFUNCTION("""COMPUTED_VALUE"""),45139.6666666666)</f>
        <v>45139.666666666599</v>
      </c>
      <c r="B630" s="1">
        <f ca="1">IFERROR(__xludf.DUMMYFUNCTION("""COMPUTED_VALUE"""),456.48)</f>
        <v>456.48</v>
      </c>
      <c r="C630" s="1">
        <f ca="1">IFERROR(__xludf.DUMMYFUNCTION("""COMPUTED_VALUE"""),195.61)</f>
        <v>195.61</v>
      </c>
      <c r="D630" s="1">
        <f ca="1">IFERROR(__xludf.DUMMYFUNCTION("""COMPUTED_VALUE"""),336.34)</f>
        <v>336.34</v>
      </c>
      <c r="E630" s="1">
        <f ca="1">IFERROR(__xludf.DUMMYFUNCTION("""COMPUTED_VALUE"""),157.18)</f>
        <v>157.18</v>
      </c>
      <c r="F630">
        <f t="shared" ca="1" si="77"/>
        <v>-2.8615740841870774E-3</v>
      </c>
      <c r="G630">
        <f t="shared" ca="1" si="78"/>
        <v>-4.2758971748535256E-3</v>
      </c>
      <c r="H630">
        <f t="shared" ca="1" si="79"/>
        <v>1.250297689926051E-3</v>
      </c>
      <c r="I630">
        <f t="shared" ca="1" si="80"/>
        <v>-4.9379589769561983E-3</v>
      </c>
      <c r="O630">
        <f t="shared" ca="1" si="81"/>
        <v>1.2133003747707509</v>
      </c>
      <c r="P630">
        <f t="shared" ca="1" si="82"/>
        <v>1.491612017691017</v>
      </c>
      <c r="Q630">
        <f t="shared" ca="1" si="83"/>
        <v>1.4034633841018151</v>
      </c>
      <c r="R630">
        <f t="shared" ca="1" si="84"/>
        <v>1.2126215090263863</v>
      </c>
    </row>
    <row r="631" spans="1:18" x14ac:dyDescent="0.3">
      <c r="A631" s="2">
        <f ca="1">IFERROR(__xludf.DUMMYFUNCTION("""COMPUTED_VALUE"""),45140.6666666666)</f>
        <v>45140.666666666599</v>
      </c>
      <c r="B631" s="1">
        <f ca="1">IFERROR(__xludf.DUMMYFUNCTION("""COMPUTED_VALUE"""),450.13)</f>
        <v>450.13</v>
      </c>
      <c r="C631" s="1">
        <f ca="1">IFERROR(__xludf.DUMMYFUNCTION("""COMPUTED_VALUE"""),192.58)</f>
        <v>192.58</v>
      </c>
      <c r="D631" s="1">
        <f ca="1">IFERROR(__xludf.DUMMYFUNCTION("""COMPUTED_VALUE"""),327.5)</f>
        <v>327.5</v>
      </c>
      <c r="E631" s="1">
        <f ca="1">IFERROR(__xludf.DUMMYFUNCTION("""COMPUTED_VALUE"""),155.4)</f>
        <v>155.4</v>
      </c>
      <c r="F631">
        <f t="shared" ca="1" si="77"/>
        <v>-1.3910795653697912E-2</v>
      </c>
      <c r="G631">
        <f t="shared" ca="1" si="78"/>
        <v>-1.549000562343439E-2</v>
      </c>
      <c r="H631">
        <f t="shared" ca="1" si="79"/>
        <v>-2.6282927989534327E-2</v>
      </c>
      <c r="I631">
        <f t="shared" ca="1" si="80"/>
        <v>-1.1324596004580743E-2</v>
      </c>
      <c r="O631">
        <f t="shared" ca="1" si="81"/>
        <v>1.1964224011907598</v>
      </c>
      <c r="P631">
        <f t="shared" ca="1" si="82"/>
        <v>1.4685069391490009</v>
      </c>
      <c r="Q631">
        <f t="shared" ca="1" si="83"/>
        <v>1.366576257041519</v>
      </c>
      <c r="R631">
        <f t="shared" ca="1" si="84"/>
        <v>1.1988890603301976</v>
      </c>
    </row>
    <row r="632" spans="1:18" x14ac:dyDescent="0.3">
      <c r="A632" s="2">
        <f ca="1">IFERROR(__xludf.DUMMYFUNCTION("""COMPUTED_VALUE"""),45141.6666666666)</f>
        <v>45141.666666666599</v>
      </c>
      <c r="B632" s="1">
        <f ca="1">IFERROR(__xludf.DUMMYFUNCTION("""COMPUTED_VALUE"""),448.84)</f>
        <v>448.84</v>
      </c>
      <c r="C632" s="1">
        <f ca="1">IFERROR(__xludf.DUMMYFUNCTION("""COMPUTED_VALUE"""),191.17)</f>
        <v>191.17</v>
      </c>
      <c r="D632" s="1">
        <f ca="1">IFERROR(__xludf.DUMMYFUNCTION("""COMPUTED_VALUE"""),326.66)</f>
        <v>326.66000000000003</v>
      </c>
      <c r="E632" s="1">
        <f ca="1">IFERROR(__xludf.DUMMYFUNCTION("""COMPUTED_VALUE"""),156.35)</f>
        <v>156.35</v>
      </c>
      <c r="F632">
        <f t="shared" ca="1" si="77"/>
        <v>-2.8658387576922678E-3</v>
      </c>
      <c r="G632">
        <f t="shared" ca="1" si="78"/>
        <v>-7.3216325682834401E-3</v>
      </c>
      <c r="H632">
        <f t="shared" ca="1" si="79"/>
        <v>-2.5648854961831296E-3</v>
      </c>
      <c r="I632">
        <f t="shared" ca="1" si="80"/>
        <v>6.11325611325604E-3</v>
      </c>
      <c r="O632">
        <f t="shared" ca="1" si="81"/>
        <v>1.192993647502856</v>
      </c>
      <c r="P632">
        <f t="shared" ca="1" si="82"/>
        <v>1.4577550709165774</v>
      </c>
      <c r="Q632">
        <f t="shared" ca="1" si="83"/>
        <v>1.363071145420405</v>
      </c>
      <c r="R632">
        <f t="shared" ca="1" si="84"/>
        <v>1.2062181762073769</v>
      </c>
    </row>
    <row r="633" spans="1:18" x14ac:dyDescent="0.3">
      <c r="A633" s="2">
        <f ca="1">IFERROR(__xludf.DUMMYFUNCTION("""COMPUTED_VALUE"""),45142.6666666666)</f>
        <v>45142.666666666599</v>
      </c>
      <c r="B633" s="1">
        <f ca="1">IFERROR(__xludf.DUMMYFUNCTION("""COMPUTED_VALUE"""),446.81)</f>
        <v>446.81</v>
      </c>
      <c r="C633" s="1">
        <f ca="1">IFERROR(__xludf.DUMMYFUNCTION("""COMPUTED_VALUE"""),181.99)</f>
        <v>181.99</v>
      </c>
      <c r="D633" s="1">
        <f ca="1">IFERROR(__xludf.DUMMYFUNCTION("""COMPUTED_VALUE"""),327.78)</f>
        <v>327.78</v>
      </c>
      <c r="E633" s="1">
        <f ca="1">IFERROR(__xludf.DUMMYFUNCTION("""COMPUTED_VALUE"""),156.02)</f>
        <v>156.02000000000001</v>
      </c>
      <c r="F633">
        <f t="shared" ca="1" si="77"/>
        <v>-4.5227698066125409E-3</v>
      </c>
      <c r="G633">
        <f t="shared" ca="1" si="78"/>
        <v>-4.8020086833708106E-2</v>
      </c>
      <c r="H633">
        <f t="shared" ca="1" si="79"/>
        <v>3.428641400844755E-3</v>
      </c>
      <c r="I633">
        <f t="shared" ca="1" si="80"/>
        <v>-2.1106491845218041E-3</v>
      </c>
      <c r="O633">
        <f t="shared" ca="1" si="81"/>
        <v>1.1875980118544494</v>
      </c>
      <c r="P633">
        <f t="shared" ca="1" si="82"/>
        <v>1.3877535458288852</v>
      </c>
      <c r="Q633">
        <f t="shared" ca="1" si="83"/>
        <v>1.3677446275818901</v>
      </c>
      <c r="R633">
        <f t="shared" ca="1" si="84"/>
        <v>1.2036722727974094</v>
      </c>
    </row>
    <row r="634" spans="1:18" x14ac:dyDescent="0.3">
      <c r="A634" s="2">
        <f ca="1">IFERROR(__xludf.DUMMYFUNCTION("""COMPUTED_VALUE"""),45145.6666666666)</f>
        <v>45145.666666666599</v>
      </c>
      <c r="B634" s="1">
        <f ca="1">IFERROR(__xludf.DUMMYFUNCTION("""COMPUTED_VALUE"""),450.71)</f>
        <v>450.71</v>
      </c>
      <c r="C634" s="1">
        <f ca="1">IFERROR(__xludf.DUMMYFUNCTION("""COMPUTED_VALUE"""),178.85)</f>
        <v>178.85</v>
      </c>
      <c r="D634" s="1">
        <f ca="1">IFERROR(__xludf.DUMMYFUNCTION("""COMPUTED_VALUE"""),330.11)</f>
        <v>330.11</v>
      </c>
      <c r="E634" s="1">
        <f ca="1">IFERROR(__xludf.DUMMYFUNCTION("""COMPUTED_VALUE"""),156.76)</f>
        <v>156.76</v>
      </c>
      <c r="F634">
        <f t="shared" ca="1" si="77"/>
        <v>8.7285423334302666E-3</v>
      </c>
      <c r="G634">
        <f t="shared" ca="1" si="78"/>
        <v>-1.7253695257981289E-2</v>
      </c>
      <c r="H634">
        <f t="shared" ca="1" si="79"/>
        <v>7.1084263835500677E-3</v>
      </c>
      <c r="I634">
        <f t="shared" ca="1" si="80"/>
        <v>4.7429816690166687E-3</v>
      </c>
      <c r="O634">
        <f t="shared" ca="1" si="81"/>
        <v>1.1979640113760186</v>
      </c>
      <c r="P634">
        <f t="shared" ca="1" si="82"/>
        <v>1.3638096690559707</v>
      </c>
      <c r="Q634">
        <f t="shared" ca="1" si="83"/>
        <v>1.377467139578552</v>
      </c>
      <c r="R634">
        <f t="shared" ca="1" si="84"/>
        <v>1.2093812683227914</v>
      </c>
    </row>
    <row r="635" spans="1:18" x14ac:dyDescent="0.3">
      <c r="A635" s="2">
        <f ca="1">IFERROR(__xludf.DUMMYFUNCTION("""COMPUTED_VALUE"""),45146.6666666666)</f>
        <v>45146.666666666599</v>
      </c>
      <c r="B635" s="1">
        <f ca="1">IFERROR(__xludf.DUMMYFUNCTION("""COMPUTED_VALUE"""),448.75)</f>
        <v>448.75</v>
      </c>
      <c r="C635" s="1">
        <f ca="1">IFERROR(__xludf.DUMMYFUNCTION("""COMPUTED_VALUE"""),179.8)</f>
        <v>179.8</v>
      </c>
      <c r="D635" s="1">
        <f ca="1">IFERROR(__xludf.DUMMYFUNCTION("""COMPUTED_VALUE"""),326.05)</f>
        <v>326.05</v>
      </c>
      <c r="E635" s="1">
        <f ca="1">IFERROR(__xludf.DUMMYFUNCTION("""COMPUTED_VALUE"""),155.88)</f>
        <v>155.88</v>
      </c>
      <c r="F635">
        <f t="shared" ca="1" si="77"/>
        <v>-4.348694282354462E-3</v>
      </c>
      <c r="G635">
        <f t="shared" ca="1" si="78"/>
        <v>5.3117137265866208E-3</v>
      </c>
      <c r="H635">
        <f t="shared" ca="1" si="79"/>
        <v>-1.229893065947715E-2</v>
      </c>
      <c r="I635">
        <f t="shared" ca="1" si="80"/>
        <v>-5.6136769584077288E-3</v>
      </c>
      <c r="O635">
        <f t="shared" ca="1" si="81"/>
        <v>1.1927544321292813</v>
      </c>
      <c r="P635">
        <f t="shared" ca="1" si="82"/>
        <v>1.3710538355955468</v>
      </c>
      <c r="Q635">
        <f t="shared" ca="1" si="83"/>
        <v>1.3605257667431672</v>
      </c>
      <c r="R635">
        <f t="shared" ca="1" si="84"/>
        <v>1.2025921925628777</v>
      </c>
    </row>
    <row r="636" spans="1:18" x14ac:dyDescent="0.3">
      <c r="A636" s="2">
        <f ca="1">IFERROR(__xludf.DUMMYFUNCTION("""COMPUTED_VALUE"""),45147.6666666666)</f>
        <v>45147.666666666599</v>
      </c>
      <c r="B636" s="1">
        <f ca="1">IFERROR(__xludf.DUMMYFUNCTION("""COMPUTED_VALUE"""),445.75)</f>
        <v>445.75</v>
      </c>
      <c r="C636" s="1">
        <f ca="1">IFERROR(__xludf.DUMMYFUNCTION("""COMPUTED_VALUE"""),178.19)</f>
        <v>178.19</v>
      </c>
      <c r="D636" s="1">
        <f ca="1">IFERROR(__xludf.DUMMYFUNCTION("""COMPUTED_VALUE"""),322.23)</f>
        <v>322.23</v>
      </c>
      <c r="E636" s="1">
        <f ca="1">IFERROR(__xludf.DUMMYFUNCTION("""COMPUTED_VALUE"""),153.79)</f>
        <v>153.79</v>
      </c>
      <c r="F636">
        <f t="shared" ca="1" si="77"/>
        <v>-6.6852367688022283E-3</v>
      </c>
      <c r="G636">
        <f t="shared" ca="1" si="78"/>
        <v>-8.9543937708565832E-3</v>
      </c>
      <c r="H636">
        <f t="shared" ca="1" si="79"/>
        <v>-1.1715994479374308E-2</v>
      </c>
      <c r="I636">
        <f t="shared" ca="1" si="80"/>
        <v>-1.340774955093664E-2</v>
      </c>
      <c r="O636">
        <f t="shared" ca="1" si="81"/>
        <v>1.1847805863434588</v>
      </c>
      <c r="P636">
        <f t="shared" ca="1" si="82"/>
        <v>1.358776879670581</v>
      </c>
      <c r="Q636">
        <f t="shared" ca="1" si="83"/>
        <v>1.3445858543709577</v>
      </c>
      <c r="R636">
        <f t="shared" ca="1" si="84"/>
        <v>1.186468137633083</v>
      </c>
    </row>
    <row r="637" spans="1:18" x14ac:dyDescent="0.3">
      <c r="A637" s="2">
        <f ca="1">IFERROR(__xludf.DUMMYFUNCTION("""COMPUTED_VALUE"""),45148.6666666666)</f>
        <v>45148.666666666599</v>
      </c>
      <c r="B637" s="1">
        <f ca="1">IFERROR(__xludf.DUMMYFUNCTION("""COMPUTED_VALUE"""),445.91)</f>
        <v>445.91</v>
      </c>
      <c r="C637" s="1">
        <f ca="1">IFERROR(__xludf.DUMMYFUNCTION("""COMPUTED_VALUE"""),177.97)</f>
        <v>177.97</v>
      </c>
      <c r="D637" s="1">
        <f ca="1">IFERROR(__xludf.DUMMYFUNCTION("""COMPUTED_VALUE"""),322.93)</f>
        <v>322.93</v>
      </c>
      <c r="E637" s="1">
        <f ca="1">IFERROR(__xludf.DUMMYFUNCTION("""COMPUTED_VALUE"""),153.56)</f>
        <v>153.56</v>
      </c>
      <c r="F637">
        <f t="shared" ca="1" si="77"/>
        <v>3.5894559730796416E-4</v>
      </c>
      <c r="G637">
        <f t="shared" ca="1" si="78"/>
        <v>-1.2346371850272117E-3</v>
      </c>
      <c r="H637">
        <f t="shared" ca="1" si="79"/>
        <v>2.1723613567948006E-3</v>
      </c>
      <c r="I637">
        <f t="shared" ca="1" si="80"/>
        <v>-1.4955458742440327E-3</v>
      </c>
      <c r="O637">
        <f t="shared" ca="1" si="81"/>
        <v>1.1852058581187026</v>
      </c>
      <c r="P637">
        <f t="shared" ca="1" si="82"/>
        <v>1.3570992832087845</v>
      </c>
      <c r="Q637">
        <f t="shared" ca="1" si="83"/>
        <v>1.3475067807218861</v>
      </c>
      <c r="R637">
        <f t="shared" ca="1" si="84"/>
        <v>1.1846937201049239</v>
      </c>
    </row>
    <row r="638" spans="1:18" x14ac:dyDescent="0.3">
      <c r="A638" s="2">
        <f ca="1">IFERROR(__xludf.DUMMYFUNCTION("""COMPUTED_VALUE"""),45149.6666666666)</f>
        <v>45149.666666666599</v>
      </c>
      <c r="B638" s="1">
        <f ca="1">IFERROR(__xludf.DUMMYFUNCTION("""COMPUTED_VALUE"""),445.65)</f>
        <v>445.65</v>
      </c>
      <c r="C638" s="1">
        <f ca="1">IFERROR(__xludf.DUMMYFUNCTION("""COMPUTED_VALUE"""),177.79)</f>
        <v>177.79</v>
      </c>
      <c r="D638" s="1">
        <f ca="1">IFERROR(__xludf.DUMMYFUNCTION("""COMPUTED_VALUE"""),321.01)</f>
        <v>321.01</v>
      </c>
      <c r="E638" s="1">
        <f ca="1">IFERROR(__xludf.DUMMYFUNCTION("""COMPUTED_VALUE"""),154.45)</f>
        <v>154.44999999999999</v>
      </c>
      <c r="F638">
        <f t="shared" ca="1" si="77"/>
        <v>-5.8307730259480109E-4</v>
      </c>
      <c r="G638">
        <f t="shared" ca="1" si="78"/>
        <v>-1.0114064168118605E-3</v>
      </c>
      <c r="H638">
        <f t="shared" ca="1" si="79"/>
        <v>-5.9455609574830953E-3</v>
      </c>
      <c r="I638">
        <f t="shared" ca="1" si="80"/>
        <v>5.7957801510809216E-3</v>
      </c>
      <c r="O638">
        <f t="shared" ca="1" si="81"/>
        <v>1.1845147914839311</v>
      </c>
      <c r="P638">
        <f t="shared" ca="1" si="82"/>
        <v>1.3557267042854964</v>
      </c>
      <c r="Q638">
        <f t="shared" ca="1" si="83"/>
        <v>1.3394950970164823</v>
      </c>
      <c r="R638">
        <f t="shared" ca="1" si="84"/>
        <v>1.191559944453018</v>
      </c>
    </row>
    <row r="639" spans="1:18" x14ac:dyDescent="0.3">
      <c r="A639" s="2">
        <f ca="1">IFERROR(__xludf.DUMMYFUNCTION("""COMPUTED_VALUE"""),45152.6666666666)</f>
        <v>45152.666666666599</v>
      </c>
      <c r="B639" s="1">
        <f ca="1">IFERROR(__xludf.DUMMYFUNCTION("""COMPUTED_VALUE"""),448.11)</f>
        <v>448.11</v>
      </c>
      <c r="C639" s="1">
        <f ca="1">IFERROR(__xludf.DUMMYFUNCTION("""COMPUTED_VALUE"""),179.46)</f>
        <v>179.46</v>
      </c>
      <c r="D639" s="1">
        <f ca="1">IFERROR(__xludf.DUMMYFUNCTION("""COMPUTED_VALUE"""),324.04)</f>
        <v>324.04000000000002</v>
      </c>
      <c r="E639" s="1">
        <f ca="1">IFERROR(__xludf.DUMMYFUNCTION("""COMPUTED_VALUE"""),154.77)</f>
        <v>154.77000000000001</v>
      </c>
      <c r="F639">
        <f t="shared" ca="1" si="77"/>
        <v>5.5200269269607008E-3</v>
      </c>
      <c r="G639">
        <f t="shared" ca="1" si="78"/>
        <v>9.3931042240846842E-3</v>
      </c>
      <c r="H639">
        <f t="shared" ca="1" si="79"/>
        <v>9.4389582879038959E-3</v>
      </c>
      <c r="I639">
        <f t="shared" ca="1" si="80"/>
        <v>2.0718679184203409E-3</v>
      </c>
      <c r="O639">
        <f t="shared" ca="1" si="81"/>
        <v>1.1910533450283056</v>
      </c>
      <c r="P639">
        <f t="shared" ca="1" si="82"/>
        <v>1.3684611865182248</v>
      </c>
      <c r="Q639">
        <f t="shared" ca="1" si="83"/>
        <v>1.3521385353640727</v>
      </c>
      <c r="R639">
        <f t="shared" ca="1" si="84"/>
        <v>1.194028699274805</v>
      </c>
    </row>
    <row r="640" spans="1:18" x14ac:dyDescent="0.3">
      <c r="A640" s="2">
        <f ca="1">IFERROR(__xludf.DUMMYFUNCTION("""COMPUTED_VALUE"""),45153.6666666666)</f>
        <v>45153.666666666599</v>
      </c>
      <c r="B640" s="1">
        <f ca="1">IFERROR(__xludf.DUMMYFUNCTION("""COMPUTED_VALUE"""),442.89)</f>
        <v>442.89</v>
      </c>
      <c r="C640" s="1">
        <f ca="1">IFERROR(__xludf.DUMMYFUNCTION("""COMPUTED_VALUE"""),177.45)</f>
        <v>177.45</v>
      </c>
      <c r="D640" s="1">
        <f ca="1">IFERROR(__xludf.DUMMYFUNCTION("""COMPUTED_VALUE"""),321.86)</f>
        <v>321.86</v>
      </c>
      <c r="E640" s="1">
        <f ca="1">IFERROR(__xludf.DUMMYFUNCTION("""COMPUTED_VALUE"""),150.83)</f>
        <v>150.83000000000001</v>
      </c>
      <c r="F640">
        <f t="shared" ca="1" si="77"/>
        <v>-1.1648925487045651E-2</v>
      </c>
      <c r="G640">
        <f t="shared" ca="1" si="78"/>
        <v>-1.1200267469073995E-2</v>
      </c>
      <c r="H640">
        <f t="shared" ca="1" si="79"/>
        <v>-6.7275644982101182E-3</v>
      </c>
      <c r="I640">
        <f t="shared" ca="1" si="80"/>
        <v>-2.5457129934741859E-2</v>
      </c>
      <c r="O640">
        <f t="shared" ca="1" si="81"/>
        <v>1.1771788533609744</v>
      </c>
      <c r="P640">
        <f t="shared" ca="1" si="82"/>
        <v>1.3531340552081743</v>
      </c>
      <c r="Q640">
        <f t="shared" ca="1" si="83"/>
        <v>1.3430419361568955</v>
      </c>
      <c r="R640">
        <f t="shared" ca="1" si="84"/>
        <v>1.1636321555315556</v>
      </c>
    </row>
    <row r="641" spans="1:18" x14ac:dyDescent="0.3">
      <c r="A641" s="2">
        <f ca="1">IFERROR(__xludf.DUMMYFUNCTION("""COMPUTED_VALUE"""),45154.6666666666)</f>
        <v>45154.666666666599</v>
      </c>
      <c r="B641" s="1">
        <f ca="1">IFERROR(__xludf.DUMMYFUNCTION("""COMPUTED_VALUE"""),439.64)</f>
        <v>439.64</v>
      </c>
      <c r="C641" s="1">
        <f ca="1">IFERROR(__xludf.DUMMYFUNCTION("""COMPUTED_VALUE"""),176.57)</f>
        <v>176.57</v>
      </c>
      <c r="D641" s="1">
        <f ca="1">IFERROR(__xludf.DUMMYFUNCTION("""COMPUTED_VALUE"""),320.4)</f>
        <v>320.39999999999998</v>
      </c>
      <c r="E641" s="1">
        <f ca="1">IFERROR(__xludf.DUMMYFUNCTION("""COMPUTED_VALUE"""),150.19)</f>
        <v>150.19</v>
      </c>
      <c r="F641">
        <f t="shared" ca="1" si="77"/>
        <v>-7.338165232902075E-3</v>
      </c>
      <c r="G641">
        <f t="shared" ca="1" si="78"/>
        <v>-4.9591434206818566E-3</v>
      </c>
      <c r="H641">
        <f t="shared" ca="1" si="79"/>
        <v>-4.5361337227367068E-3</v>
      </c>
      <c r="I641">
        <f t="shared" ca="1" si="80"/>
        <v>-4.2431876947557831E-3</v>
      </c>
      <c r="O641">
        <f t="shared" ca="1" si="81"/>
        <v>1.1685405204263333</v>
      </c>
      <c r="P641">
        <f t="shared" ca="1" si="82"/>
        <v>1.3464236693609881</v>
      </c>
      <c r="Q641">
        <f t="shared" ca="1" si="83"/>
        <v>1.3369497183392445</v>
      </c>
      <c r="R641">
        <f t="shared" ca="1" si="84"/>
        <v>1.1586946458879821</v>
      </c>
    </row>
    <row r="642" spans="1:18" x14ac:dyDescent="0.3">
      <c r="A642" s="2">
        <f ca="1">IFERROR(__xludf.DUMMYFUNCTION("""COMPUTED_VALUE"""),45155.6666666666)</f>
        <v>45155.666666666599</v>
      </c>
      <c r="B642" s="1">
        <f ca="1">IFERROR(__xludf.DUMMYFUNCTION("""COMPUTED_VALUE"""),436.29)</f>
        <v>436.29</v>
      </c>
      <c r="C642" s="1">
        <f ca="1">IFERROR(__xludf.DUMMYFUNCTION("""COMPUTED_VALUE"""),174)</f>
        <v>174</v>
      </c>
      <c r="D642" s="1">
        <f ca="1">IFERROR(__xludf.DUMMYFUNCTION("""COMPUTED_VALUE"""),316.88)</f>
        <v>316.88</v>
      </c>
      <c r="E642" s="1">
        <f ca="1">IFERROR(__xludf.DUMMYFUNCTION("""COMPUTED_VALUE"""),148.63)</f>
        <v>148.63</v>
      </c>
      <c r="F642">
        <f t="shared" ca="1" si="77"/>
        <v>-7.6198708033845099E-3</v>
      </c>
      <c r="G642">
        <f t="shared" ca="1" si="78"/>
        <v>-1.4555133941213079E-2</v>
      </c>
      <c r="H642">
        <f t="shared" ca="1" si="79"/>
        <v>-1.0986267166042391E-2</v>
      </c>
      <c r="I642">
        <f t="shared" ca="1" si="80"/>
        <v>-1.0386843331779761E-2</v>
      </c>
      <c r="O642">
        <f t="shared" ca="1" si="81"/>
        <v>1.1596363926321649</v>
      </c>
      <c r="P642">
        <f t="shared" ca="1" si="82"/>
        <v>1.3268262925118193</v>
      </c>
      <c r="Q642">
        <f t="shared" ca="1" si="83"/>
        <v>1.3222616315460045</v>
      </c>
      <c r="R642">
        <f t="shared" ca="1" si="84"/>
        <v>1.1466594661317717</v>
      </c>
    </row>
    <row r="643" spans="1:18" x14ac:dyDescent="0.3">
      <c r="A643" s="2">
        <f ca="1">IFERROR(__xludf.DUMMYFUNCTION("""COMPUTED_VALUE"""),45156.6666666666)</f>
        <v>45156.666666666599</v>
      </c>
      <c r="B643" s="1">
        <f ca="1">IFERROR(__xludf.DUMMYFUNCTION("""COMPUTED_VALUE"""),436.5)</f>
        <v>436.5</v>
      </c>
      <c r="C643" s="1">
        <f ca="1">IFERROR(__xludf.DUMMYFUNCTION("""COMPUTED_VALUE"""),174.49)</f>
        <v>174.49</v>
      </c>
      <c r="D643" s="1">
        <f ca="1">IFERROR(__xludf.DUMMYFUNCTION("""COMPUTED_VALUE"""),316.48)</f>
        <v>316.48</v>
      </c>
      <c r="E643" s="1">
        <f ca="1">IFERROR(__xludf.DUMMYFUNCTION("""COMPUTED_VALUE"""),148.97)</f>
        <v>148.97</v>
      </c>
      <c r="F643">
        <f t="shared" ca="1" si="77"/>
        <v>4.8133122464411179E-4</v>
      </c>
      <c r="G643">
        <f t="shared" ca="1" si="78"/>
        <v>2.8160919540230409E-3</v>
      </c>
      <c r="H643">
        <f t="shared" ca="1" si="79"/>
        <v>-1.2623074981064669E-3</v>
      </c>
      <c r="I643">
        <f t="shared" ca="1" si="80"/>
        <v>2.2875597120366239E-3</v>
      </c>
      <c r="O643">
        <f t="shared" ca="1" si="81"/>
        <v>1.1601945618371725</v>
      </c>
      <c r="P643">
        <f t="shared" ca="1" si="82"/>
        <v>1.3305627573585479</v>
      </c>
      <c r="Q643">
        <f t="shared" ca="1" si="83"/>
        <v>1.3205925307740454</v>
      </c>
      <c r="R643">
        <f t="shared" ca="1" si="84"/>
        <v>1.1492825181299202</v>
      </c>
    </row>
    <row r="644" spans="1:18" x14ac:dyDescent="0.3">
      <c r="A644" s="2">
        <f ca="1">IFERROR(__xludf.DUMMYFUNCTION("""COMPUTED_VALUE"""),45159.6666666666)</f>
        <v>45159.666666666599</v>
      </c>
      <c r="B644" s="1">
        <f ca="1">IFERROR(__xludf.DUMMYFUNCTION("""COMPUTED_VALUE"""),439.34)</f>
        <v>439.34</v>
      </c>
      <c r="C644" s="1">
        <f ca="1">IFERROR(__xludf.DUMMYFUNCTION("""COMPUTED_VALUE"""),175.84)</f>
        <v>175.84</v>
      </c>
      <c r="D644" s="1">
        <f ca="1">IFERROR(__xludf.DUMMYFUNCTION("""COMPUTED_VALUE"""),321.88)</f>
        <v>321.88</v>
      </c>
      <c r="E644" s="1">
        <f ca="1">IFERROR(__xludf.DUMMYFUNCTION("""COMPUTED_VALUE"""),149.48)</f>
        <v>149.47999999999999</v>
      </c>
      <c r="F644">
        <f t="shared" ref="F644:F707" ca="1" si="85">(B644-B643)/B643</f>
        <v>6.5063001145474796E-3</v>
      </c>
      <c r="G644">
        <f t="shared" ref="G644:G707" ca="1" si="86">(C644-C643)/C643</f>
        <v>7.7368330563355736E-3</v>
      </c>
      <c r="H644">
        <f t="shared" ref="H644:H707" ca="1" si="87">(D644-D643)/D643</f>
        <v>1.7062689585439765E-2</v>
      </c>
      <c r="I644">
        <f t="shared" ref="I644:I707" ca="1" si="88">(E644-E643)/E643</f>
        <v>3.4235080888768941E-3</v>
      </c>
      <c r="O644">
        <f t="shared" ref="O644:O707" ca="1" si="89">O643*(1+F644)</f>
        <v>1.1677431358477512</v>
      </c>
      <c r="P644">
        <f t="shared" ref="P644:P707" ca="1" si="90">P643*(1+G644)</f>
        <v>1.3408570992832087</v>
      </c>
      <c r="Q644">
        <f t="shared" ref="Q644:Q707" ca="1" si="91">Q643*(1+H644)</f>
        <v>1.3431253911954932</v>
      </c>
      <c r="R644">
        <f t="shared" ref="R644:R707" ca="1" si="92">R643*(1+I644)</f>
        <v>1.1532170961271428</v>
      </c>
    </row>
    <row r="645" spans="1:18" x14ac:dyDescent="0.3">
      <c r="A645" s="2">
        <f ca="1">IFERROR(__xludf.DUMMYFUNCTION("""COMPUTED_VALUE"""),45160.6666666666)</f>
        <v>45160.666666666599</v>
      </c>
      <c r="B645" s="1">
        <f ca="1">IFERROR(__xludf.DUMMYFUNCTION("""COMPUTED_VALUE"""),438.15)</f>
        <v>438.15</v>
      </c>
      <c r="C645" s="1">
        <f ca="1">IFERROR(__xludf.DUMMYFUNCTION("""COMPUTED_VALUE"""),177.23)</f>
        <v>177.23</v>
      </c>
      <c r="D645" s="1">
        <f ca="1">IFERROR(__xludf.DUMMYFUNCTION("""COMPUTED_VALUE"""),322.46)</f>
        <v>322.45999999999998</v>
      </c>
      <c r="E645" s="1">
        <f ca="1">IFERROR(__xludf.DUMMYFUNCTION("""COMPUTED_VALUE"""),146.38)</f>
        <v>146.38</v>
      </c>
      <c r="F645">
        <f t="shared" ca="1" si="85"/>
        <v>-2.7086083670960935E-3</v>
      </c>
      <c r="G645">
        <f t="shared" ca="1" si="86"/>
        <v>7.9049135577797212E-3</v>
      </c>
      <c r="H645">
        <f t="shared" ca="1" si="87"/>
        <v>1.8019137566794585E-3</v>
      </c>
      <c r="I645">
        <f t="shared" ca="1" si="88"/>
        <v>-2.0738560342520702E-2</v>
      </c>
      <c r="O645">
        <f t="shared" ca="1" si="89"/>
        <v>1.1645801770193751</v>
      </c>
      <c r="P645">
        <f t="shared" ca="1" si="90"/>
        <v>1.3514564587463778</v>
      </c>
      <c r="Q645">
        <f t="shared" ca="1" si="91"/>
        <v>1.3455455873148339</v>
      </c>
      <c r="R645">
        <f t="shared" ca="1" si="92"/>
        <v>1.1293010337910836</v>
      </c>
    </row>
    <row r="646" spans="1:18" x14ac:dyDescent="0.3">
      <c r="A646" s="2">
        <f ca="1">IFERROR(__xludf.DUMMYFUNCTION("""COMPUTED_VALUE"""),45161.6666666666)</f>
        <v>45161.666666666599</v>
      </c>
      <c r="B646" s="1">
        <f ca="1">IFERROR(__xludf.DUMMYFUNCTION("""COMPUTED_VALUE"""),443.03)</f>
        <v>443.03</v>
      </c>
      <c r="C646" s="1">
        <f ca="1">IFERROR(__xludf.DUMMYFUNCTION("""COMPUTED_VALUE"""),181.12)</f>
        <v>181.12</v>
      </c>
      <c r="D646" s="1">
        <f ca="1">IFERROR(__xludf.DUMMYFUNCTION("""COMPUTED_VALUE"""),327)</f>
        <v>327</v>
      </c>
      <c r="E646" s="1">
        <f ca="1">IFERROR(__xludf.DUMMYFUNCTION("""COMPUTED_VALUE"""),147.37)</f>
        <v>147.37</v>
      </c>
      <c r="F646">
        <f t="shared" ca="1" si="85"/>
        <v>1.1137738217505411E-2</v>
      </c>
      <c r="G646">
        <f t="shared" ca="1" si="86"/>
        <v>2.194887998645836E-2</v>
      </c>
      <c r="H646">
        <f t="shared" ca="1" si="87"/>
        <v>1.4079265645351426E-2</v>
      </c>
      <c r="I646">
        <f t="shared" ca="1" si="88"/>
        <v>6.7632190189917275E-3</v>
      </c>
      <c r="O646">
        <f t="shared" ca="1" si="89"/>
        <v>1.1775509661643131</v>
      </c>
      <c r="P646">
        <f t="shared" ca="1" si="90"/>
        <v>1.3811194143663261</v>
      </c>
      <c r="Q646">
        <f t="shared" ca="1" si="91"/>
        <v>1.3644898810765698</v>
      </c>
      <c r="R646">
        <f t="shared" ca="1" si="92"/>
        <v>1.1369387440209864</v>
      </c>
    </row>
    <row r="647" spans="1:18" x14ac:dyDescent="0.3">
      <c r="A647" s="2">
        <f ca="1">IFERROR(__xludf.DUMMYFUNCTION("""COMPUTED_VALUE"""),45162.6666666666)</f>
        <v>45162.666666666599</v>
      </c>
      <c r="B647" s="1">
        <f ca="1">IFERROR(__xludf.DUMMYFUNCTION("""COMPUTED_VALUE"""),436.89)</f>
        <v>436.89</v>
      </c>
      <c r="C647" s="1">
        <f ca="1">IFERROR(__xludf.DUMMYFUNCTION("""COMPUTED_VALUE"""),176.38)</f>
        <v>176.38</v>
      </c>
      <c r="D647" s="1">
        <f ca="1">IFERROR(__xludf.DUMMYFUNCTION("""COMPUTED_VALUE"""),319.97)</f>
        <v>319.97000000000003</v>
      </c>
      <c r="E647" s="1">
        <f ca="1">IFERROR(__xludf.DUMMYFUNCTION("""COMPUTED_VALUE"""),147.23)</f>
        <v>147.22999999999999</v>
      </c>
      <c r="F647">
        <f t="shared" ca="1" si="85"/>
        <v>-1.3859106606776035E-2</v>
      </c>
      <c r="G647">
        <f t="shared" ca="1" si="86"/>
        <v>-2.6170494699646694E-2</v>
      </c>
      <c r="H647">
        <f t="shared" ca="1" si="87"/>
        <v>-2.149847094801215E-2</v>
      </c>
      <c r="I647">
        <f t="shared" ca="1" si="88"/>
        <v>-9.4998982153772667E-4</v>
      </c>
      <c r="O647">
        <f t="shared" ca="1" si="89"/>
        <v>1.1612311617893298</v>
      </c>
      <c r="P647">
        <f t="shared" ca="1" si="90"/>
        <v>1.3449748360530731</v>
      </c>
      <c r="Q647">
        <f t="shared" ca="1" si="91"/>
        <v>1.3351554350093886</v>
      </c>
      <c r="R647">
        <f t="shared" ca="1" si="92"/>
        <v>1.1358586637864545</v>
      </c>
    </row>
    <row r="648" spans="1:18" x14ac:dyDescent="0.3">
      <c r="A648" s="2">
        <f ca="1">IFERROR(__xludf.DUMMYFUNCTION("""COMPUTED_VALUE"""),45163.6666666666)</f>
        <v>45163.666666666599</v>
      </c>
      <c r="B648" s="1">
        <f ca="1">IFERROR(__xludf.DUMMYFUNCTION("""COMPUTED_VALUE"""),439.97)</f>
        <v>439.97</v>
      </c>
      <c r="C648" s="1">
        <f ca="1">IFERROR(__xludf.DUMMYFUNCTION("""COMPUTED_VALUE"""),178.61)</f>
        <v>178.61</v>
      </c>
      <c r="D648" s="1">
        <f ca="1">IFERROR(__xludf.DUMMYFUNCTION("""COMPUTED_VALUE"""),322.98)</f>
        <v>322.98</v>
      </c>
      <c r="E648" s="1">
        <f ca="1">IFERROR(__xludf.DUMMYFUNCTION("""COMPUTED_VALUE"""),147.05)</f>
        <v>147.05000000000001</v>
      </c>
      <c r="F648">
        <f t="shared" ca="1" si="85"/>
        <v>7.0498294765273658E-3</v>
      </c>
      <c r="G648">
        <f t="shared" ca="1" si="86"/>
        <v>1.2643156820501295E-2</v>
      </c>
      <c r="H648">
        <f t="shared" ca="1" si="87"/>
        <v>9.407131918617341E-3</v>
      </c>
      <c r="I648">
        <f t="shared" ca="1" si="88"/>
        <v>-1.2225769204644325E-3</v>
      </c>
      <c r="O648">
        <f t="shared" ca="1" si="89"/>
        <v>1.1694176434627743</v>
      </c>
      <c r="P648">
        <f t="shared" ca="1" si="90"/>
        <v>1.3619795638249199</v>
      </c>
      <c r="Q648">
        <f t="shared" ca="1" si="91"/>
        <v>1.3477154183183808</v>
      </c>
      <c r="R648">
        <f t="shared" ca="1" si="92"/>
        <v>1.1344699891991996</v>
      </c>
    </row>
    <row r="649" spans="1:18" x14ac:dyDescent="0.3">
      <c r="A649" s="2">
        <f ca="1">IFERROR(__xludf.DUMMYFUNCTION("""COMPUTED_VALUE"""),45166.6666666666)</f>
        <v>45166.666666666599</v>
      </c>
      <c r="B649" s="1">
        <f ca="1">IFERROR(__xludf.DUMMYFUNCTION("""COMPUTED_VALUE"""),442.76)</f>
        <v>442.76</v>
      </c>
      <c r="C649" s="1">
        <f ca="1">IFERROR(__xludf.DUMMYFUNCTION("""COMPUTED_VALUE"""),180.19)</f>
        <v>180.19</v>
      </c>
      <c r="D649" s="1">
        <f ca="1">IFERROR(__xludf.DUMMYFUNCTION("""COMPUTED_VALUE"""),323.7)</f>
        <v>323.7</v>
      </c>
      <c r="E649" s="1">
        <f ca="1">IFERROR(__xludf.DUMMYFUNCTION("""COMPUTED_VALUE"""),147.56)</f>
        <v>147.56</v>
      </c>
      <c r="F649">
        <f t="shared" ca="1" si="85"/>
        <v>6.341341455099128E-3</v>
      </c>
      <c r="G649">
        <f t="shared" ca="1" si="86"/>
        <v>8.8460892447230505E-3</v>
      </c>
      <c r="H649">
        <f t="shared" ca="1" si="87"/>
        <v>2.2292402006315265E-3</v>
      </c>
      <c r="I649">
        <f t="shared" ca="1" si="88"/>
        <v>3.4682080924854871E-3</v>
      </c>
      <c r="O649">
        <f t="shared" ca="1" si="89"/>
        <v>1.1768333200435892</v>
      </c>
      <c r="P649">
        <f t="shared" ca="1" si="90"/>
        <v>1.3740277565960042</v>
      </c>
      <c r="Q649">
        <f t="shared" ca="1" si="91"/>
        <v>1.350719799707907</v>
      </c>
      <c r="R649">
        <f t="shared" ca="1" si="92"/>
        <v>1.1384045671964222</v>
      </c>
    </row>
    <row r="650" spans="1:18" x14ac:dyDescent="0.3">
      <c r="A650" s="2">
        <f ca="1">IFERROR(__xludf.DUMMYFUNCTION("""COMPUTED_VALUE"""),45167.6666666666)</f>
        <v>45167.666666666599</v>
      </c>
      <c r="B650" s="1">
        <f ca="1">IFERROR(__xludf.DUMMYFUNCTION("""COMPUTED_VALUE"""),449.16)</f>
        <v>449.16</v>
      </c>
      <c r="C650" s="1">
        <f ca="1">IFERROR(__xludf.DUMMYFUNCTION("""COMPUTED_VALUE"""),184.12)</f>
        <v>184.12</v>
      </c>
      <c r="D650" s="1">
        <f ca="1">IFERROR(__xludf.DUMMYFUNCTION("""COMPUTED_VALUE"""),328.41)</f>
        <v>328.41</v>
      </c>
      <c r="E650" s="1">
        <f ca="1">IFERROR(__xludf.DUMMYFUNCTION("""COMPUTED_VALUE"""),148.76)</f>
        <v>148.76</v>
      </c>
      <c r="F650">
        <f t="shared" ca="1" si="85"/>
        <v>1.4454783629957616E-2</v>
      </c>
      <c r="G650">
        <f t="shared" ca="1" si="86"/>
        <v>2.1810311338032115E-2</v>
      </c>
      <c r="H650">
        <f t="shared" ca="1" si="87"/>
        <v>1.4550509731232735E-2</v>
      </c>
      <c r="I650">
        <f t="shared" ca="1" si="88"/>
        <v>8.1322851721332915E-3</v>
      </c>
      <c r="O650">
        <f t="shared" ca="1" si="89"/>
        <v>1.1938441910533439</v>
      </c>
      <c r="P650">
        <f t="shared" ca="1" si="90"/>
        <v>1.403995729754461</v>
      </c>
      <c r="Q650">
        <f t="shared" ca="1" si="91"/>
        <v>1.3703734612977259</v>
      </c>
      <c r="R650">
        <f t="shared" ca="1" si="92"/>
        <v>1.1476623977781224</v>
      </c>
    </row>
    <row r="651" spans="1:18" x14ac:dyDescent="0.3">
      <c r="A651" s="2">
        <f ca="1">IFERROR(__xludf.DUMMYFUNCTION("""COMPUTED_VALUE"""),45168.6666666666)</f>
        <v>45168.666666666599</v>
      </c>
      <c r="B651" s="1">
        <f ca="1">IFERROR(__xludf.DUMMYFUNCTION("""COMPUTED_VALUE"""),451.01)</f>
        <v>451.01</v>
      </c>
      <c r="C651" s="1">
        <f ca="1">IFERROR(__xludf.DUMMYFUNCTION("""COMPUTED_VALUE"""),187.65)</f>
        <v>187.65</v>
      </c>
      <c r="D651" s="1">
        <f ca="1">IFERROR(__xludf.DUMMYFUNCTION("""COMPUTED_VALUE"""),328.79)</f>
        <v>328.79</v>
      </c>
      <c r="E651" s="1">
        <f ca="1">IFERROR(__xludf.DUMMYFUNCTION("""COMPUTED_VALUE"""),148.16)</f>
        <v>148.16</v>
      </c>
      <c r="F651">
        <f t="shared" ca="1" si="85"/>
        <v>4.1187995369132736E-3</v>
      </c>
      <c r="G651">
        <f t="shared" ca="1" si="86"/>
        <v>1.9172278948511846E-2</v>
      </c>
      <c r="H651">
        <f t="shared" ca="1" si="87"/>
        <v>1.1570902225876052E-3</v>
      </c>
      <c r="I651">
        <f t="shared" ca="1" si="88"/>
        <v>-4.0333422963161761E-3</v>
      </c>
      <c r="O651">
        <f t="shared" ca="1" si="89"/>
        <v>1.1987613959546009</v>
      </c>
      <c r="P651">
        <f t="shared" ca="1" si="90"/>
        <v>1.4309135275278329</v>
      </c>
      <c r="Q651">
        <f t="shared" ca="1" si="91"/>
        <v>1.371959107031087</v>
      </c>
      <c r="R651">
        <f t="shared" ca="1" si="92"/>
        <v>1.1430334824872723</v>
      </c>
    </row>
    <row r="652" spans="1:18" x14ac:dyDescent="0.3">
      <c r="A652" s="2">
        <f ca="1">IFERROR(__xludf.DUMMYFUNCTION("""COMPUTED_VALUE"""),45169.6666666666)</f>
        <v>45169.666666666599</v>
      </c>
      <c r="B652" s="1">
        <f ca="1">IFERROR(__xludf.DUMMYFUNCTION("""COMPUTED_VALUE"""),450.35)</f>
        <v>450.35</v>
      </c>
      <c r="C652" s="1">
        <f ca="1">IFERROR(__xludf.DUMMYFUNCTION("""COMPUTED_VALUE"""),187.87)</f>
        <v>187.87</v>
      </c>
      <c r="D652" s="1">
        <f ca="1">IFERROR(__xludf.DUMMYFUNCTION("""COMPUTED_VALUE"""),327.76)</f>
        <v>327.76</v>
      </c>
      <c r="E652" s="1">
        <f ca="1">IFERROR(__xludf.DUMMYFUNCTION("""COMPUTED_VALUE"""),146.33)</f>
        <v>146.33000000000001</v>
      </c>
      <c r="F652">
        <f t="shared" ca="1" si="85"/>
        <v>-1.4633821866476757E-3</v>
      </c>
      <c r="G652">
        <f t="shared" ca="1" si="86"/>
        <v>1.1723954169997274E-3</v>
      </c>
      <c r="H652">
        <f t="shared" ca="1" si="87"/>
        <v>-3.1326986830500607E-3</v>
      </c>
      <c r="I652">
        <f t="shared" ca="1" si="88"/>
        <v>-1.2351511879049568E-2</v>
      </c>
      <c r="O652">
        <f t="shared" ca="1" si="89"/>
        <v>1.1970071498817201</v>
      </c>
      <c r="P652">
        <f t="shared" ca="1" si="90"/>
        <v>1.4325911239896294</v>
      </c>
      <c r="Q652">
        <f t="shared" ca="1" si="91"/>
        <v>1.3676611725432921</v>
      </c>
      <c r="R652">
        <f t="shared" ca="1" si="92"/>
        <v>1.1289152908501794</v>
      </c>
    </row>
    <row r="653" spans="1:18" x14ac:dyDescent="0.3">
      <c r="A653" s="2">
        <f ca="1">IFERROR(__xludf.DUMMYFUNCTION("""COMPUTED_VALUE"""),45170.6666666666)</f>
        <v>45170.666666666599</v>
      </c>
      <c r="B653" s="1">
        <f ca="1">IFERROR(__xludf.DUMMYFUNCTION("""COMPUTED_VALUE"""),451.19)</f>
        <v>451.19</v>
      </c>
      <c r="C653" s="1">
        <f ca="1">IFERROR(__xludf.DUMMYFUNCTION("""COMPUTED_VALUE"""),189.46)</f>
        <v>189.46</v>
      </c>
      <c r="D653" s="1">
        <f ca="1">IFERROR(__xludf.DUMMYFUNCTION("""COMPUTED_VALUE"""),328.66)</f>
        <v>328.66</v>
      </c>
      <c r="E653" s="1">
        <f ca="1">IFERROR(__xludf.DUMMYFUNCTION("""COMPUTED_VALUE"""),146.82)</f>
        <v>146.82</v>
      </c>
      <c r="F653">
        <f t="shared" ca="1" si="85"/>
        <v>1.865215943155268E-3</v>
      </c>
      <c r="G653">
        <f t="shared" ca="1" si="86"/>
        <v>8.4632990897961537E-3</v>
      </c>
      <c r="H653">
        <f t="shared" ca="1" si="87"/>
        <v>2.7459116426654692E-3</v>
      </c>
      <c r="I653">
        <f t="shared" ca="1" si="88"/>
        <v>3.3485956399916671E-3</v>
      </c>
      <c r="O653">
        <f t="shared" ca="1" si="89"/>
        <v>1.1992398267017503</v>
      </c>
      <c r="P653">
        <f t="shared" ca="1" si="90"/>
        <v>1.4447155711453408</v>
      </c>
      <c r="Q653">
        <f t="shared" ca="1" si="91"/>
        <v>1.3714166492802005</v>
      </c>
      <c r="R653">
        <f t="shared" ca="1" si="92"/>
        <v>1.1326955716710403</v>
      </c>
    </row>
    <row r="654" spans="1:18" x14ac:dyDescent="0.3">
      <c r="A654" s="2">
        <f ca="1">IFERROR(__xludf.DUMMYFUNCTION("""COMPUTED_VALUE"""),45174.6666666666)</f>
        <v>45174.666666666599</v>
      </c>
      <c r="B654" s="1">
        <f ca="1">IFERROR(__xludf.DUMMYFUNCTION("""COMPUTED_VALUE"""),449.24)</f>
        <v>449.24</v>
      </c>
      <c r="C654" s="1">
        <f ca="1">IFERROR(__xludf.DUMMYFUNCTION("""COMPUTED_VALUE"""),189.7)</f>
        <v>189.7</v>
      </c>
      <c r="D654" s="1">
        <f ca="1">IFERROR(__xludf.DUMMYFUNCTION("""COMPUTED_VALUE"""),333.55)</f>
        <v>333.55</v>
      </c>
      <c r="E654" s="1">
        <f ca="1">IFERROR(__xludf.DUMMYFUNCTION("""COMPUTED_VALUE"""),145.2)</f>
        <v>145.19999999999999</v>
      </c>
      <c r="F654">
        <f t="shared" ca="1" si="85"/>
        <v>-4.3219042975242991E-3</v>
      </c>
      <c r="G654">
        <f t="shared" ca="1" si="86"/>
        <v>1.2667581547555192E-3</v>
      </c>
      <c r="H654">
        <f t="shared" ca="1" si="87"/>
        <v>1.4878597943163105E-2</v>
      </c>
      <c r="I654">
        <f t="shared" ca="1" si="88"/>
        <v>-1.1033919084593412E-2</v>
      </c>
      <c r="O654">
        <f t="shared" ca="1" si="89"/>
        <v>1.1940568269409657</v>
      </c>
      <c r="P654">
        <f t="shared" ca="1" si="90"/>
        <v>1.4465456763763913</v>
      </c>
      <c r="Q654">
        <f t="shared" ca="1" si="91"/>
        <v>1.3918214062174006</v>
      </c>
      <c r="R654">
        <f t="shared" ca="1" si="92"/>
        <v>1.1201975003857447</v>
      </c>
    </row>
    <row r="655" spans="1:18" x14ac:dyDescent="0.3">
      <c r="A655" s="2">
        <f ca="1">IFERROR(__xludf.DUMMYFUNCTION("""COMPUTED_VALUE"""),45175.6666666666)</f>
        <v>45175.666666666599</v>
      </c>
      <c r="B655" s="1">
        <f ca="1">IFERROR(__xludf.DUMMYFUNCTION("""COMPUTED_VALUE"""),446.22)</f>
        <v>446.22</v>
      </c>
      <c r="C655" s="1">
        <f ca="1">IFERROR(__xludf.DUMMYFUNCTION("""COMPUTED_VALUE"""),182.91)</f>
        <v>182.91</v>
      </c>
      <c r="D655" s="1">
        <f ca="1">IFERROR(__xludf.DUMMYFUNCTION("""COMPUTED_VALUE"""),332.88)</f>
        <v>332.88</v>
      </c>
      <c r="E655" s="1">
        <f ca="1">IFERROR(__xludf.DUMMYFUNCTION("""COMPUTED_VALUE"""),144.96)</f>
        <v>144.96</v>
      </c>
      <c r="F655">
        <f t="shared" ca="1" si="85"/>
        <v>-6.7224646068915987E-3</v>
      </c>
      <c r="G655">
        <f t="shared" ca="1" si="86"/>
        <v>-3.5793357933579295E-2</v>
      </c>
      <c r="H655">
        <f t="shared" ca="1" si="87"/>
        <v>-2.0086943486734101E-3</v>
      </c>
      <c r="I655">
        <f t="shared" ca="1" si="88"/>
        <v>-1.6528925619833381E-3</v>
      </c>
      <c r="O655">
        <f t="shared" ca="1" si="89"/>
        <v>1.1860298221832377</v>
      </c>
      <c r="P655">
        <f t="shared" ca="1" si="90"/>
        <v>1.3947689492145796</v>
      </c>
      <c r="Q655">
        <f t="shared" ca="1" si="91"/>
        <v>1.3890256624243689</v>
      </c>
      <c r="R655">
        <f t="shared" ca="1" si="92"/>
        <v>1.1183459342694049</v>
      </c>
    </row>
    <row r="656" spans="1:18" x14ac:dyDescent="0.3">
      <c r="A656" s="2">
        <f ca="1">IFERROR(__xludf.DUMMYFUNCTION("""COMPUTED_VALUE"""),45176.6666666666)</f>
        <v>45176.666666666599</v>
      </c>
      <c r="B656" s="1">
        <f ca="1">IFERROR(__xludf.DUMMYFUNCTION("""COMPUTED_VALUE"""),444.85)</f>
        <v>444.85</v>
      </c>
      <c r="C656" s="1">
        <f ca="1">IFERROR(__xludf.DUMMYFUNCTION("""COMPUTED_VALUE"""),177.56)</f>
        <v>177.56</v>
      </c>
      <c r="D656" s="1">
        <f ca="1">IFERROR(__xludf.DUMMYFUNCTION("""COMPUTED_VALUE"""),329.91)</f>
        <v>329.91</v>
      </c>
      <c r="E656" s="1">
        <f ca="1">IFERROR(__xludf.DUMMYFUNCTION("""COMPUTED_VALUE"""),143.72)</f>
        <v>143.72</v>
      </c>
      <c r="F656">
        <f t="shared" ca="1" si="85"/>
        <v>-3.0702344135180057E-3</v>
      </c>
      <c r="G656">
        <f t="shared" ca="1" si="86"/>
        <v>-2.9249357607566532E-2</v>
      </c>
      <c r="H656">
        <f t="shared" ca="1" si="87"/>
        <v>-8.9221341023791468E-3</v>
      </c>
      <c r="I656">
        <f t="shared" ca="1" si="88"/>
        <v>-8.5540838852097758E-3</v>
      </c>
      <c r="O656">
        <f t="shared" ca="1" si="89"/>
        <v>1.1823884326077121</v>
      </c>
      <c r="P656">
        <f t="shared" ca="1" si="90"/>
        <v>1.3539728534390725</v>
      </c>
      <c r="Q656">
        <f t="shared" ca="1" si="91"/>
        <v>1.3766325891925726</v>
      </c>
      <c r="R656">
        <f t="shared" ca="1" si="92"/>
        <v>1.108779509334981</v>
      </c>
    </row>
    <row r="657" spans="1:18" x14ac:dyDescent="0.3">
      <c r="A657" s="2">
        <f ca="1">IFERROR(__xludf.DUMMYFUNCTION("""COMPUTED_VALUE"""),45177.6666666666)</f>
        <v>45177.666666666599</v>
      </c>
      <c r="B657" s="1">
        <f ca="1">IFERROR(__xludf.DUMMYFUNCTION("""COMPUTED_VALUE"""),445.52)</f>
        <v>445.52</v>
      </c>
      <c r="C657" s="1">
        <f ca="1">IFERROR(__xludf.DUMMYFUNCTION("""COMPUTED_VALUE"""),178.18)</f>
        <v>178.18</v>
      </c>
      <c r="D657" s="1">
        <f ca="1">IFERROR(__xludf.DUMMYFUNCTION("""COMPUTED_VALUE"""),334.27)</f>
        <v>334.27</v>
      </c>
      <c r="E657" s="1">
        <f ca="1">IFERROR(__xludf.DUMMYFUNCTION("""COMPUTED_VALUE"""),143.83)</f>
        <v>143.83000000000001</v>
      </c>
      <c r="F657">
        <f t="shared" ca="1" si="85"/>
        <v>1.5061256603348522E-3</v>
      </c>
      <c r="G657">
        <f t="shared" ca="1" si="86"/>
        <v>3.4917774273485274E-3</v>
      </c>
      <c r="H657">
        <f t="shared" ca="1" si="87"/>
        <v>1.3215725500894051E-2</v>
      </c>
      <c r="I657">
        <f t="shared" ca="1" si="88"/>
        <v>7.6537712218211547E-4</v>
      </c>
      <c r="O657">
        <f t="shared" ca="1" si="89"/>
        <v>1.1841692581665457</v>
      </c>
      <c r="P657">
        <f t="shared" ca="1" si="90"/>
        <v>1.3587006252859539</v>
      </c>
      <c r="Q657">
        <f t="shared" ca="1" si="91"/>
        <v>1.3948257876069265</v>
      </c>
      <c r="R657">
        <f t="shared" ca="1" si="92"/>
        <v>1.1096281438049702</v>
      </c>
    </row>
    <row r="658" spans="1:18" x14ac:dyDescent="0.3">
      <c r="A658" s="2">
        <f ca="1">IFERROR(__xludf.DUMMYFUNCTION("""COMPUTED_VALUE"""),45180.6666666666)</f>
        <v>45180.666666666599</v>
      </c>
      <c r="B658" s="1">
        <f ca="1">IFERROR(__xludf.DUMMYFUNCTION("""COMPUTED_VALUE"""),448.45)</f>
        <v>448.45</v>
      </c>
      <c r="C658" s="1">
        <f ca="1">IFERROR(__xludf.DUMMYFUNCTION("""COMPUTED_VALUE"""),179.36)</f>
        <v>179.36</v>
      </c>
      <c r="D658" s="1">
        <f ca="1">IFERROR(__xludf.DUMMYFUNCTION("""COMPUTED_VALUE"""),337.94)</f>
        <v>337.94</v>
      </c>
      <c r="E658" s="1">
        <f ca="1">IFERROR(__xludf.DUMMYFUNCTION("""COMPUTED_VALUE"""),144.46)</f>
        <v>144.46</v>
      </c>
      <c r="F658">
        <f t="shared" ca="1" si="85"/>
        <v>6.5765846651104484E-3</v>
      </c>
      <c r="G658">
        <f t="shared" ca="1" si="86"/>
        <v>6.6225165562914289E-3</v>
      </c>
      <c r="H658">
        <f t="shared" ca="1" si="87"/>
        <v>1.0979148592455249E-2</v>
      </c>
      <c r="I658">
        <f t="shared" ca="1" si="88"/>
        <v>4.3801710352499162E-3</v>
      </c>
      <c r="O658">
        <f t="shared" ca="1" si="89"/>
        <v>1.1919570475506991</v>
      </c>
      <c r="P658">
        <f t="shared" ca="1" si="90"/>
        <v>1.3676986426719537</v>
      </c>
      <c r="Q658">
        <f t="shared" ca="1" si="91"/>
        <v>1.4101397871896515</v>
      </c>
      <c r="R658">
        <f t="shared" ca="1" si="92"/>
        <v>1.114488504860363</v>
      </c>
    </row>
    <row r="659" spans="1:18" x14ac:dyDescent="0.3">
      <c r="A659" s="2">
        <f ca="1">IFERROR(__xludf.DUMMYFUNCTION("""COMPUTED_VALUE"""),45181.6666666666)</f>
        <v>45181.666666666599</v>
      </c>
      <c r="B659" s="1">
        <f ca="1">IFERROR(__xludf.DUMMYFUNCTION("""COMPUTED_VALUE"""),445.99)</f>
        <v>445.99</v>
      </c>
      <c r="C659" s="1">
        <f ca="1">IFERROR(__xludf.DUMMYFUNCTION("""COMPUTED_VALUE"""),176.3)</f>
        <v>176.3</v>
      </c>
      <c r="D659" s="1">
        <f ca="1">IFERROR(__xludf.DUMMYFUNCTION("""COMPUTED_VALUE"""),331.77)</f>
        <v>331.77</v>
      </c>
      <c r="E659" s="1">
        <f ca="1">IFERROR(__xludf.DUMMYFUNCTION("""COMPUTED_VALUE"""),146.34)</f>
        <v>146.34</v>
      </c>
      <c r="F659">
        <f t="shared" ca="1" si="85"/>
        <v>-5.4855613780800082E-3</v>
      </c>
      <c r="G659">
        <f t="shared" ca="1" si="86"/>
        <v>-1.7060660124888504E-2</v>
      </c>
      <c r="H659">
        <f t="shared" ca="1" si="87"/>
        <v>-1.8257678877907368E-2</v>
      </c>
      <c r="I659">
        <f t="shared" ca="1" si="88"/>
        <v>1.3013983109511251E-2</v>
      </c>
      <c r="O659">
        <f t="shared" ca="1" si="89"/>
        <v>1.1854184940063248</v>
      </c>
      <c r="P659">
        <f t="shared" ca="1" si="90"/>
        <v>1.3443648009760563</v>
      </c>
      <c r="Q659">
        <f t="shared" ca="1" si="91"/>
        <v>1.3843939077821821</v>
      </c>
      <c r="R659">
        <f t="shared" ca="1" si="92"/>
        <v>1.1289924394383604</v>
      </c>
    </row>
    <row r="660" spans="1:18" x14ac:dyDescent="0.3">
      <c r="A660" s="2">
        <f ca="1">IFERROR(__xludf.DUMMYFUNCTION("""COMPUTED_VALUE"""),45182.6666666666)</f>
        <v>45182.666666666599</v>
      </c>
      <c r="B660" s="1">
        <f ca="1">IFERROR(__xludf.DUMMYFUNCTION("""COMPUTED_VALUE"""),446.51)</f>
        <v>446.51</v>
      </c>
      <c r="C660" s="1">
        <f ca="1">IFERROR(__xludf.DUMMYFUNCTION("""COMPUTED_VALUE"""),174.21)</f>
        <v>174.21</v>
      </c>
      <c r="D660" s="1">
        <f ca="1">IFERROR(__xludf.DUMMYFUNCTION("""COMPUTED_VALUE"""),336.06)</f>
        <v>336.06</v>
      </c>
      <c r="E660" s="1">
        <f ca="1">IFERROR(__xludf.DUMMYFUNCTION("""COMPUTED_VALUE"""),146.41)</f>
        <v>146.41</v>
      </c>
      <c r="F660">
        <f t="shared" ca="1" si="85"/>
        <v>1.1659454247852682E-3</v>
      </c>
      <c r="G660">
        <f t="shared" ca="1" si="86"/>
        <v>-1.1854792966534335E-2</v>
      </c>
      <c r="H660">
        <f t="shared" ca="1" si="87"/>
        <v>1.2930644723754471E-2</v>
      </c>
      <c r="I660">
        <f t="shared" ca="1" si="88"/>
        <v>4.7833811671445383E-4</v>
      </c>
      <c r="O660">
        <f t="shared" ca="1" si="89"/>
        <v>1.1868006272758673</v>
      </c>
      <c r="P660">
        <f t="shared" ca="1" si="90"/>
        <v>1.3284276345889889</v>
      </c>
      <c r="Q660">
        <f t="shared" ca="1" si="91"/>
        <v>1.4022950135614436</v>
      </c>
      <c r="R660">
        <f t="shared" ca="1" si="92"/>
        <v>1.1295324795556261</v>
      </c>
    </row>
    <row r="661" spans="1:18" x14ac:dyDescent="0.3">
      <c r="A661" s="2">
        <f ca="1">IFERROR(__xludf.DUMMYFUNCTION("""COMPUTED_VALUE"""),45183.6666666666)</f>
        <v>45183.666666666599</v>
      </c>
      <c r="B661" s="1">
        <f ca="1">IFERROR(__xludf.DUMMYFUNCTION("""COMPUTED_VALUE"""),450.36)</f>
        <v>450.36</v>
      </c>
      <c r="C661" s="1">
        <f ca="1">IFERROR(__xludf.DUMMYFUNCTION("""COMPUTED_VALUE"""),175.74)</f>
        <v>175.74</v>
      </c>
      <c r="D661" s="1">
        <f ca="1">IFERROR(__xludf.DUMMYFUNCTION("""COMPUTED_VALUE"""),338.7)</f>
        <v>338.7</v>
      </c>
      <c r="E661" s="1">
        <f ca="1">IFERROR(__xludf.DUMMYFUNCTION("""COMPUTED_VALUE"""),149.25)</f>
        <v>149.25</v>
      </c>
      <c r="F661">
        <f t="shared" ca="1" si="85"/>
        <v>8.6224272692661374E-3</v>
      </c>
      <c r="G661">
        <f t="shared" ca="1" si="86"/>
        <v>8.7825038746340688E-3</v>
      </c>
      <c r="H661">
        <f t="shared" ca="1" si="87"/>
        <v>7.8557400464202409E-3</v>
      </c>
      <c r="I661">
        <f t="shared" ca="1" si="88"/>
        <v>1.939758213236803E-2</v>
      </c>
      <c r="O661">
        <f t="shared" ca="1" si="89"/>
        <v>1.1970337293676729</v>
      </c>
      <c r="P661">
        <f t="shared" ca="1" si="90"/>
        <v>1.3400945554369377</v>
      </c>
      <c r="Q661">
        <f t="shared" ca="1" si="91"/>
        <v>1.4133110786563738</v>
      </c>
      <c r="R661">
        <f t="shared" ca="1" si="92"/>
        <v>1.1514426785989835</v>
      </c>
    </row>
    <row r="662" spans="1:18" x14ac:dyDescent="0.3">
      <c r="A662" s="2">
        <f ca="1">IFERROR(__xludf.DUMMYFUNCTION("""COMPUTED_VALUE"""),45184.6666666666)</f>
        <v>45184.666666666599</v>
      </c>
      <c r="B662" s="1">
        <f ca="1">IFERROR(__xludf.DUMMYFUNCTION("""COMPUTED_VALUE"""),443.37)</f>
        <v>443.37</v>
      </c>
      <c r="C662" s="1">
        <f ca="1">IFERROR(__xludf.DUMMYFUNCTION("""COMPUTED_VALUE"""),175.01)</f>
        <v>175.01</v>
      </c>
      <c r="D662" s="1">
        <f ca="1">IFERROR(__xludf.DUMMYFUNCTION("""COMPUTED_VALUE"""),330.22)</f>
        <v>330.22</v>
      </c>
      <c r="E662" s="1">
        <f ca="1">IFERROR(__xludf.DUMMYFUNCTION("""COMPUTED_VALUE"""),148.81)</f>
        <v>148.81</v>
      </c>
      <c r="F662">
        <f t="shared" ca="1" si="85"/>
        <v>-1.552091660005331E-2</v>
      </c>
      <c r="G662">
        <f t="shared" ca="1" si="86"/>
        <v>-4.1538636622283952E-3</v>
      </c>
      <c r="H662">
        <f t="shared" ca="1" si="87"/>
        <v>-2.5036905816356543E-2</v>
      </c>
      <c r="I662">
        <f t="shared" ca="1" si="88"/>
        <v>-2.948073701842531E-3</v>
      </c>
      <c r="O662">
        <f t="shared" ca="1" si="89"/>
        <v>1.1784546686867066</v>
      </c>
      <c r="P662">
        <f t="shared" ca="1" si="90"/>
        <v>1.3345279853591581</v>
      </c>
      <c r="Q662">
        <f t="shared" ca="1" si="91"/>
        <v>1.3779261422908409</v>
      </c>
      <c r="R662">
        <f t="shared" ca="1" si="92"/>
        <v>1.1480481407190266</v>
      </c>
    </row>
    <row r="663" spans="1:18" x14ac:dyDescent="0.3">
      <c r="A663" s="2">
        <f ca="1">IFERROR(__xludf.DUMMYFUNCTION("""COMPUTED_VALUE"""),45187.6666666666)</f>
        <v>45187.666666666599</v>
      </c>
      <c r="B663" s="1">
        <f ca="1">IFERROR(__xludf.DUMMYFUNCTION("""COMPUTED_VALUE"""),443.63)</f>
        <v>443.63</v>
      </c>
      <c r="C663" s="1">
        <f ca="1">IFERROR(__xludf.DUMMYFUNCTION("""COMPUTED_VALUE"""),177.97)</f>
        <v>177.97</v>
      </c>
      <c r="D663" s="1">
        <f ca="1">IFERROR(__xludf.DUMMYFUNCTION("""COMPUTED_VALUE"""),329.06)</f>
        <v>329.06</v>
      </c>
      <c r="E663" s="1">
        <f ca="1">IFERROR(__xludf.DUMMYFUNCTION("""COMPUTED_VALUE"""),149.12)</f>
        <v>149.12</v>
      </c>
      <c r="F663">
        <f t="shared" ca="1" si="85"/>
        <v>5.8641766470440241E-4</v>
      </c>
      <c r="G663">
        <f t="shared" ca="1" si="86"/>
        <v>1.691331923890068E-2</v>
      </c>
      <c r="H663">
        <f t="shared" ca="1" si="87"/>
        <v>-3.5128096420568859E-3</v>
      </c>
      <c r="I663">
        <f t="shared" ca="1" si="88"/>
        <v>2.0831933337813473E-3</v>
      </c>
      <c r="O663">
        <f t="shared" ca="1" si="89"/>
        <v>1.1791457353214778</v>
      </c>
      <c r="P663">
        <f t="shared" ca="1" si="90"/>
        <v>1.3570992832087845</v>
      </c>
      <c r="Q663">
        <f t="shared" ca="1" si="91"/>
        <v>1.3730857500521594</v>
      </c>
      <c r="R663">
        <f t="shared" ca="1" si="92"/>
        <v>1.1504397469526324</v>
      </c>
    </row>
    <row r="664" spans="1:18" x14ac:dyDescent="0.3">
      <c r="A664" s="2">
        <f ca="1">IFERROR(__xludf.DUMMYFUNCTION("""COMPUTED_VALUE"""),45188.6666666666)</f>
        <v>45188.666666666599</v>
      </c>
      <c r="B664" s="1">
        <f ca="1">IFERROR(__xludf.DUMMYFUNCTION("""COMPUTED_VALUE"""),442.71)</f>
        <v>442.71</v>
      </c>
      <c r="C664" s="1">
        <f ca="1">IFERROR(__xludf.DUMMYFUNCTION("""COMPUTED_VALUE"""),179.07)</f>
        <v>179.07</v>
      </c>
      <c r="D664" s="1">
        <f ca="1">IFERROR(__xludf.DUMMYFUNCTION("""COMPUTED_VALUE"""),328.65)</f>
        <v>328.65</v>
      </c>
      <c r="E664" s="1">
        <f ca="1">IFERROR(__xludf.DUMMYFUNCTION("""COMPUTED_VALUE"""),148.93)</f>
        <v>148.93</v>
      </c>
      <c r="F664">
        <f t="shared" ca="1" si="85"/>
        <v>-2.0738002389378896E-3</v>
      </c>
      <c r="G664">
        <f t="shared" ca="1" si="86"/>
        <v>6.1808169916277708E-3</v>
      </c>
      <c r="H664">
        <f t="shared" ca="1" si="87"/>
        <v>-1.245973378715204E-3</v>
      </c>
      <c r="I664">
        <f t="shared" ca="1" si="88"/>
        <v>-1.2741416309012723E-3</v>
      </c>
      <c r="O664">
        <f t="shared" ca="1" si="89"/>
        <v>1.1767004226138256</v>
      </c>
      <c r="P664">
        <f t="shared" ca="1" si="90"/>
        <v>1.3654872655177672</v>
      </c>
      <c r="Q664">
        <f t="shared" ca="1" si="91"/>
        <v>1.3713749217609013</v>
      </c>
      <c r="R664">
        <f t="shared" ca="1" si="92"/>
        <v>1.1489739237771965</v>
      </c>
    </row>
    <row r="665" spans="1:18" x14ac:dyDescent="0.3">
      <c r="A665" s="2">
        <f ca="1">IFERROR(__xludf.DUMMYFUNCTION("""COMPUTED_VALUE"""),45189.6666666666)</f>
        <v>45189.666666666599</v>
      </c>
      <c r="B665" s="1">
        <f ca="1">IFERROR(__xludf.DUMMYFUNCTION("""COMPUTED_VALUE"""),438.64)</f>
        <v>438.64</v>
      </c>
      <c r="C665" s="1">
        <f ca="1">IFERROR(__xludf.DUMMYFUNCTION("""COMPUTED_VALUE"""),175.49)</f>
        <v>175.49</v>
      </c>
      <c r="D665" s="1">
        <f ca="1">IFERROR(__xludf.DUMMYFUNCTION("""COMPUTED_VALUE"""),320.77)</f>
        <v>320.77</v>
      </c>
      <c r="E665" s="1">
        <f ca="1">IFERROR(__xludf.DUMMYFUNCTION("""COMPUTED_VALUE"""),148.3)</f>
        <v>148.30000000000001</v>
      </c>
      <c r="F665">
        <f t="shared" ca="1" si="85"/>
        <v>-9.1933771543448155E-3</v>
      </c>
      <c r="G665">
        <f t="shared" ca="1" si="86"/>
        <v>-1.99921818283352E-2</v>
      </c>
      <c r="H665">
        <f t="shared" ca="1" si="87"/>
        <v>-2.3976875095085944E-2</v>
      </c>
      <c r="I665">
        <f t="shared" ca="1" si="88"/>
        <v>-4.2301752501174746E-3</v>
      </c>
      <c r="O665">
        <f t="shared" ca="1" si="89"/>
        <v>1.1658825718310597</v>
      </c>
      <c r="P665">
        <f t="shared" ca="1" si="90"/>
        <v>1.3381881958212598</v>
      </c>
      <c r="Q665">
        <f t="shared" ca="1" si="91"/>
        <v>1.3384936365533069</v>
      </c>
      <c r="R665">
        <f t="shared" ca="1" si="92"/>
        <v>1.1441135627218038</v>
      </c>
    </row>
    <row r="666" spans="1:18" x14ac:dyDescent="0.3">
      <c r="A666" s="2">
        <f ca="1">IFERROR(__xludf.DUMMYFUNCTION("""COMPUTED_VALUE"""),45190.6666666666)</f>
        <v>45190.666666666599</v>
      </c>
      <c r="B666" s="1">
        <f ca="1">IFERROR(__xludf.DUMMYFUNCTION("""COMPUTED_VALUE"""),431.39)</f>
        <v>431.39</v>
      </c>
      <c r="C666" s="1">
        <f ca="1">IFERROR(__xludf.DUMMYFUNCTION("""COMPUTED_VALUE"""),173.93)</f>
        <v>173.93</v>
      </c>
      <c r="D666" s="1">
        <f ca="1">IFERROR(__xludf.DUMMYFUNCTION("""COMPUTED_VALUE"""),319.53)</f>
        <v>319.52999999999997</v>
      </c>
      <c r="E666" s="1">
        <f ca="1">IFERROR(__xludf.DUMMYFUNCTION("""COMPUTED_VALUE"""),147.14)</f>
        <v>147.13999999999999</v>
      </c>
      <c r="F666">
        <f t="shared" ca="1" si="85"/>
        <v>-1.6528360386649645E-2</v>
      </c>
      <c r="G666">
        <f t="shared" ca="1" si="86"/>
        <v>-8.8893954071457195E-3</v>
      </c>
      <c r="H666">
        <f t="shared" ca="1" si="87"/>
        <v>-3.8656981637934006E-3</v>
      </c>
      <c r="I666">
        <f t="shared" ca="1" si="88"/>
        <v>-7.8219824679704991E-3</v>
      </c>
      <c r="O666">
        <f t="shared" ca="1" si="89"/>
        <v>1.1466124445153221</v>
      </c>
      <c r="P666">
        <f t="shared" ca="1" si="90"/>
        <v>1.3262925118194298</v>
      </c>
      <c r="Q666">
        <f t="shared" ca="1" si="91"/>
        <v>1.3333194241602335</v>
      </c>
      <c r="R666">
        <f t="shared" ca="1" si="92"/>
        <v>1.1351643264928266</v>
      </c>
    </row>
    <row r="667" spans="1:18" x14ac:dyDescent="0.3">
      <c r="A667" s="2">
        <f ca="1">IFERROR(__xludf.DUMMYFUNCTION("""COMPUTED_VALUE"""),45191.6666666666)</f>
        <v>45191.666666666599</v>
      </c>
      <c r="B667" s="1">
        <f ca="1">IFERROR(__xludf.DUMMYFUNCTION("""COMPUTED_VALUE"""),430.42)</f>
        <v>430.42</v>
      </c>
      <c r="C667" s="1">
        <f ca="1">IFERROR(__xludf.DUMMYFUNCTION("""COMPUTED_VALUE"""),174.79)</f>
        <v>174.79</v>
      </c>
      <c r="D667" s="1">
        <f ca="1">IFERROR(__xludf.DUMMYFUNCTION("""COMPUTED_VALUE"""),317.01)</f>
        <v>317.01</v>
      </c>
      <c r="E667" s="1">
        <f ca="1">IFERROR(__xludf.DUMMYFUNCTION("""COMPUTED_VALUE"""),145.73)</f>
        <v>145.72999999999999</v>
      </c>
      <c r="F667">
        <f t="shared" ca="1" si="85"/>
        <v>-2.2485453997542143E-3</v>
      </c>
      <c r="G667">
        <f t="shared" ca="1" si="86"/>
        <v>4.9445179095037378E-3</v>
      </c>
      <c r="H667">
        <f t="shared" ca="1" si="87"/>
        <v>-7.8865834193971827E-3</v>
      </c>
      <c r="I667">
        <f t="shared" ca="1" si="88"/>
        <v>-9.5827103438901502E-3</v>
      </c>
      <c r="O667">
        <f t="shared" ca="1" si="89"/>
        <v>1.1440342343779062</v>
      </c>
      <c r="P667">
        <f t="shared" ca="1" si="90"/>
        <v>1.3328503888973617</v>
      </c>
      <c r="Q667">
        <f t="shared" ca="1" si="91"/>
        <v>1.3228040892968913</v>
      </c>
      <c r="R667">
        <f t="shared" ca="1" si="92"/>
        <v>1.1242863755593286</v>
      </c>
    </row>
    <row r="668" spans="1:18" x14ac:dyDescent="0.3">
      <c r="A668" s="2">
        <f ca="1">IFERROR(__xludf.DUMMYFUNCTION("""COMPUTED_VALUE"""),45194.6666666666)</f>
        <v>45194.666666666599</v>
      </c>
      <c r="B668" s="1">
        <f ca="1">IFERROR(__xludf.DUMMYFUNCTION("""COMPUTED_VALUE"""),432.23)</f>
        <v>432.23</v>
      </c>
      <c r="C668" s="1">
        <f ca="1">IFERROR(__xludf.DUMMYFUNCTION("""COMPUTED_VALUE"""),176.08)</f>
        <v>176.08</v>
      </c>
      <c r="D668" s="1">
        <f ca="1">IFERROR(__xludf.DUMMYFUNCTION("""COMPUTED_VALUE"""),317.54)</f>
        <v>317.54000000000002</v>
      </c>
      <c r="E668" s="1">
        <f ca="1">IFERROR(__xludf.DUMMYFUNCTION("""COMPUTED_VALUE"""),146.45)</f>
        <v>146.44999999999999</v>
      </c>
      <c r="F668">
        <f t="shared" ca="1" si="85"/>
        <v>4.2051949258863483E-3</v>
      </c>
      <c r="G668">
        <f t="shared" ca="1" si="86"/>
        <v>7.380284913324678E-3</v>
      </c>
      <c r="H668">
        <f t="shared" ca="1" si="87"/>
        <v>1.6718715497934752E-3</v>
      </c>
      <c r="I668">
        <f t="shared" ca="1" si="88"/>
        <v>4.9406436560762981E-3</v>
      </c>
      <c r="O668">
        <f t="shared" ca="1" si="89"/>
        <v>1.1488451213353523</v>
      </c>
      <c r="P668">
        <f t="shared" ca="1" si="90"/>
        <v>1.3426872045142599</v>
      </c>
      <c r="Q668">
        <f t="shared" ca="1" si="91"/>
        <v>1.3250156478197372</v>
      </c>
      <c r="R668">
        <f t="shared" ca="1" si="92"/>
        <v>1.1298410739083489</v>
      </c>
    </row>
    <row r="669" spans="1:18" x14ac:dyDescent="0.3">
      <c r="A669" s="2">
        <f ca="1">IFERROR(__xludf.DUMMYFUNCTION("""COMPUTED_VALUE"""),45195.6666666666)</f>
        <v>45195.666666666599</v>
      </c>
      <c r="B669" s="1">
        <f ca="1">IFERROR(__xludf.DUMMYFUNCTION("""COMPUTED_VALUE"""),425.88)</f>
        <v>425.88</v>
      </c>
      <c r="C669" s="1">
        <f ca="1">IFERROR(__xludf.DUMMYFUNCTION("""COMPUTED_VALUE"""),171.96)</f>
        <v>171.96</v>
      </c>
      <c r="D669" s="1">
        <f ca="1">IFERROR(__xludf.DUMMYFUNCTION("""COMPUTED_VALUE"""),312.14)</f>
        <v>312.14</v>
      </c>
      <c r="E669" s="1">
        <f ca="1">IFERROR(__xludf.DUMMYFUNCTION("""COMPUTED_VALUE"""),144.93)</f>
        <v>144.93</v>
      </c>
      <c r="F669">
        <f t="shared" ca="1" si="85"/>
        <v>-1.4691252342502886E-2</v>
      </c>
      <c r="G669">
        <f t="shared" ca="1" si="86"/>
        <v>-2.3398455247614743E-2</v>
      </c>
      <c r="H669">
        <f t="shared" ca="1" si="87"/>
        <v>-1.70057315613782E-2</v>
      </c>
      <c r="I669">
        <f t="shared" ca="1" si="88"/>
        <v>-1.0378968931375772E-2</v>
      </c>
      <c r="O669">
        <f t="shared" ca="1" si="89"/>
        <v>1.1319671477553612</v>
      </c>
      <c r="P669">
        <f t="shared" ca="1" si="90"/>
        <v>1.3112703980478881</v>
      </c>
      <c r="Q669">
        <f t="shared" ca="1" si="91"/>
        <v>1.3024827873982892</v>
      </c>
      <c r="R669">
        <f t="shared" ca="1" si="92"/>
        <v>1.1181144885048619</v>
      </c>
    </row>
    <row r="670" spans="1:18" x14ac:dyDescent="0.3">
      <c r="A670" s="2">
        <f ca="1">IFERROR(__xludf.DUMMYFUNCTION("""COMPUTED_VALUE"""),45196.6666666666)</f>
        <v>45196.666666666599</v>
      </c>
      <c r="B670" s="1">
        <f ca="1">IFERROR(__xludf.DUMMYFUNCTION("""COMPUTED_VALUE"""),426.05)</f>
        <v>426.05</v>
      </c>
      <c r="C670" s="1">
        <f ca="1">IFERROR(__xludf.DUMMYFUNCTION("""COMPUTED_VALUE"""),170.43)</f>
        <v>170.43</v>
      </c>
      <c r="D670" s="1">
        <f ca="1">IFERROR(__xludf.DUMMYFUNCTION("""COMPUTED_VALUE"""),312.79)</f>
        <v>312.79000000000002</v>
      </c>
      <c r="E670" s="1">
        <f ca="1">IFERROR(__xludf.DUMMYFUNCTION("""COMPUTED_VALUE"""),145.78)</f>
        <v>145.78</v>
      </c>
      <c r="F670">
        <f t="shared" ca="1" si="85"/>
        <v>3.9917347609659038E-4</v>
      </c>
      <c r="G670">
        <f t="shared" ca="1" si="86"/>
        <v>-8.8974180041870264E-3</v>
      </c>
      <c r="H670">
        <f t="shared" ca="1" si="87"/>
        <v>2.0823989235600505E-3</v>
      </c>
      <c r="I670">
        <f t="shared" ca="1" si="88"/>
        <v>5.864900296694917E-3</v>
      </c>
      <c r="O670">
        <f t="shared" ca="1" si="89"/>
        <v>1.1324189990165578</v>
      </c>
      <c r="P670">
        <f t="shared" ca="1" si="90"/>
        <v>1.2996034771999394</v>
      </c>
      <c r="Q670">
        <f t="shared" ca="1" si="91"/>
        <v>1.3051950761527229</v>
      </c>
      <c r="R670">
        <f t="shared" ca="1" si="92"/>
        <v>1.1246721185002329</v>
      </c>
    </row>
    <row r="671" spans="1:18" x14ac:dyDescent="0.3">
      <c r="A671" s="2">
        <f ca="1">IFERROR(__xludf.DUMMYFUNCTION("""COMPUTED_VALUE"""),45197.6666666666)</f>
        <v>45197.666666666599</v>
      </c>
      <c r="B671" s="1">
        <f ca="1">IFERROR(__xludf.DUMMYFUNCTION("""COMPUTED_VALUE"""),428.52)</f>
        <v>428.52</v>
      </c>
      <c r="C671" s="1">
        <f ca="1">IFERROR(__xludf.DUMMYFUNCTION("""COMPUTED_VALUE"""),170.69)</f>
        <v>170.69</v>
      </c>
      <c r="D671" s="1">
        <f ca="1">IFERROR(__xludf.DUMMYFUNCTION("""COMPUTED_VALUE"""),313.64)</f>
        <v>313.64</v>
      </c>
      <c r="E671" s="1">
        <f ca="1">IFERROR(__xludf.DUMMYFUNCTION("""COMPUTED_VALUE"""),147.59)</f>
        <v>147.59</v>
      </c>
      <c r="F671">
        <f t="shared" ca="1" si="85"/>
        <v>5.79744161483387E-3</v>
      </c>
      <c r="G671">
        <f t="shared" ca="1" si="86"/>
        <v>1.5255530129671471E-3</v>
      </c>
      <c r="H671">
        <f t="shared" ca="1" si="87"/>
        <v>2.71747818024862E-3</v>
      </c>
      <c r="I671">
        <f t="shared" ca="1" si="88"/>
        <v>1.2415969268761163E-2</v>
      </c>
      <c r="O671">
        <f t="shared" ca="1" si="89"/>
        <v>1.138984132046885</v>
      </c>
      <c r="P671">
        <f t="shared" ca="1" si="90"/>
        <v>1.3015860912002444</v>
      </c>
      <c r="Q671">
        <f t="shared" ca="1" si="91"/>
        <v>1.3087419152931359</v>
      </c>
      <c r="R671">
        <f t="shared" ca="1" si="92"/>
        <v>1.1386360129609643</v>
      </c>
    </row>
    <row r="672" spans="1:18" x14ac:dyDescent="0.3">
      <c r="A672" s="2">
        <f ca="1">IFERROR(__xludf.DUMMYFUNCTION("""COMPUTED_VALUE"""),45198.6666666666)</f>
        <v>45198.666666666599</v>
      </c>
      <c r="B672" s="1">
        <f ca="1">IFERROR(__xludf.DUMMYFUNCTION("""COMPUTED_VALUE"""),427.48)</f>
        <v>427.48</v>
      </c>
      <c r="C672" s="1">
        <f ca="1">IFERROR(__xludf.DUMMYFUNCTION("""COMPUTED_VALUE"""),171.21)</f>
        <v>171.21</v>
      </c>
      <c r="D672" s="1">
        <f ca="1">IFERROR(__xludf.DUMMYFUNCTION("""COMPUTED_VALUE"""),315.75)</f>
        <v>315.75</v>
      </c>
      <c r="E672" s="1">
        <f ca="1">IFERROR(__xludf.DUMMYFUNCTION("""COMPUTED_VALUE"""),145.02)</f>
        <v>145.02000000000001</v>
      </c>
      <c r="F672">
        <f t="shared" ca="1" si="85"/>
        <v>-2.4269579016147754E-3</v>
      </c>
      <c r="G672">
        <f t="shared" ca="1" si="86"/>
        <v>3.0464584920031064E-3</v>
      </c>
      <c r="H672">
        <f t="shared" ca="1" si="87"/>
        <v>6.7274582323683645E-3</v>
      </c>
      <c r="I672">
        <f t="shared" ca="1" si="88"/>
        <v>-1.7413103868825754E-2</v>
      </c>
      <c r="O672">
        <f t="shared" ca="1" si="89"/>
        <v>1.1362198655078</v>
      </c>
      <c r="P672">
        <f t="shared" ca="1" si="90"/>
        <v>1.3055513192008545</v>
      </c>
      <c r="Q672">
        <f t="shared" ca="1" si="91"/>
        <v>1.3175464218652202</v>
      </c>
      <c r="R672">
        <f t="shared" ca="1" si="92"/>
        <v>1.1188088257984894</v>
      </c>
    </row>
    <row r="673" spans="1:18" x14ac:dyDescent="0.3">
      <c r="A673" s="2">
        <f ca="1">IFERROR(__xludf.DUMMYFUNCTION("""COMPUTED_VALUE"""),45201.6666666666)</f>
        <v>45201.666666666599</v>
      </c>
      <c r="B673" s="1">
        <f ca="1">IFERROR(__xludf.DUMMYFUNCTION("""COMPUTED_VALUE"""),427.31)</f>
        <v>427.31</v>
      </c>
      <c r="C673" s="1">
        <f ca="1">IFERROR(__xludf.DUMMYFUNCTION("""COMPUTED_VALUE"""),173.75)</f>
        <v>173.75</v>
      </c>
      <c r="D673" s="1">
        <f ca="1">IFERROR(__xludf.DUMMYFUNCTION("""COMPUTED_VALUE"""),321.8)</f>
        <v>321.8</v>
      </c>
      <c r="E673" s="1">
        <f ca="1">IFERROR(__xludf.DUMMYFUNCTION("""COMPUTED_VALUE"""),143.77)</f>
        <v>143.77000000000001</v>
      </c>
      <c r="F673">
        <f t="shared" ca="1" si="85"/>
        <v>-3.9767942359880204E-4</v>
      </c>
      <c r="G673">
        <f t="shared" ca="1" si="86"/>
        <v>1.4835582033759663E-2</v>
      </c>
      <c r="H673">
        <f t="shared" ca="1" si="87"/>
        <v>1.9160728424386417E-2</v>
      </c>
      <c r="I673">
        <f t="shared" ca="1" si="88"/>
        <v>-8.6195007585160664E-3</v>
      </c>
      <c r="O673">
        <f t="shared" ca="1" si="89"/>
        <v>1.1357680142466033</v>
      </c>
      <c r="P673">
        <f t="shared" ca="1" si="90"/>
        <v>1.3249199328961418</v>
      </c>
      <c r="Q673">
        <f t="shared" ca="1" si="91"/>
        <v>1.3427915710411018</v>
      </c>
      <c r="R673">
        <f t="shared" ca="1" si="92"/>
        <v>1.1091652522758848</v>
      </c>
    </row>
    <row r="674" spans="1:18" x14ac:dyDescent="0.3">
      <c r="A674" s="2">
        <f ca="1">IFERROR(__xludf.DUMMYFUNCTION("""COMPUTED_VALUE"""),45202.6666666666)</f>
        <v>45202.666666666599</v>
      </c>
      <c r="B674" s="1">
        <f ca="1">IFERROR(__xludf.DUMMYFUNCTION("""COMPUTED_VALUE"""),421.59)</f>
        <v>421.59</v>
      </c>
      <c r="C674" s="1">
        <f ca="1">IFERROR(__xludf.DUMMYFUNCTION("""COMPUTED_VALUE"""),172.4)</f>
        <v>172.4</v>
      </c>
      <c r="D674" s="1">
        <f ca="1">IFERROR(__xludf.DUMMYFUNCTION("""COMPUTED_VALUE"""),313.39)</f>
        <v>313.39</v>
      </c>
      <c r="E674" s="1">
        <f ca="1">IFERROR(__xludf.DUMMYFUNCTION("""COMPUTED_VALUE"""),142.71)</f>
        <v>142.71</v>
      </c>
      <c r="F674">
        <f t="shared" ca="1" si="85"/>
        <v>-1.3386066321874113E-2</v>
      </c>
      <c r="G674">
        <f t="shared" ca="1" si="86"/>
        <v>-7.769784172661838E-3</v>
      </c>
      <c r="H674">
        <f t="shared" ca="1" si="87"/>
        <v>-2.613424487259175E-2</v>
      </c>
      <c r="I674">
        <f t="shared" ca="1" si="88"/>
        <v>-7.3728872504695148E-3</v>
      </c>
      <c r="O674">
        <f t="shared" ca="1" si="89"/>
        <v>1.1205645482816351</v>
      </c>
      <c r="P674">
        <f t="shared" ca="1" si="90"/>
        <v>1.3146255909714812</v>
      </c>
      <c r="Q674">
        <f t="shared" ca="1" si="91"/>
        <v>1.3076987273106615</v>
      </c>
      <c r="R674">
        <f t="shared" ca="1" si="92"/>
        <v>1.1009875019287161</v>
      </c>
    </row>
    <row r="675" spans="1:18" x14ac:dyDescent="0.3">
      <c r="A675" s="2">
        <f ca="1">IFERROR(__xludf.DUMMYFUNCTION("""COMPUTED_VALUE"""),45203.6666666666)</f>
        <v>45203.666666666599</v>
      </c>
      <c r="B675" s="1">
        <f ca="1">IFERROR(__xludf.DUMMYFUNCTION("""COMPUTED_VALUE"""),424.66)</f>
        <v>424.66</v>
      </c>
      <c r="C675" s="1">
        <f ca="1">IFERROR(__xludf.DUMMYFUNCTION("""COMPUTED_VALUE"""),173.66)</f>
        <v>173.66</v>
      </c>
      <c r="D675" s="1">
        <f ca="1">IFERROR(__xludf.DUMMYFUNCTION("""COMPUTED_VALUE"""),318.96)</f>
        <v>318.95999999999998</v>
      </c>
      <c r="E675" s="1">
        <f ca="1">IFERROR(__xludf.DUMMYFUNCTION("""COMPUTED_VALUE"""),143.35)</f>
        <v>143.35</v>
      </c>
      <c r="F675">
        <f t="shared" ca="1" si="85"/>
        <v>7.2819564031406112E-3</v>
      </c>
      <c r="G675">
        <f t="shared" ca="1" si="86"/>
        <v>7.3085846867748886E-3</v>
      </c>
      <c r="H675">
        <f t="shared" ca="1" si="87"/>
        <v>1.7773381409745024E-2</v>
      </c>
      <c r="I675">
        <f t="shared" ca="1" si="88"/>
        <v>4.4846191577323684E-3</v>
      </c>
      <c r="O675">
        <f t="shared" ca="1" si="89"/>
        <v>1.1287244504691269</v>
      </c>
      <c r="P675">
        <f t="shared" ca="1" si="90"/>
        <v>1.3242336434344977</v>
      </c>
      <c r="Q675">
        <f t="shared" ca="1" si="91"/>
        <v>1.3309409555601919</v>
      </c>
      <c r="R675">
        <f t="shared" ca="1" si="92"/>
        <v>1.1059250115722894</v>
      </c>
    </row>
    <row r="676" spans="1:18" x14ac:dyDescent="0.3">
      <c r="A676" s="2">
        <f ca="1">IFERROR(__xludf.DUMMYFUNCTION("""COMPUTED_VALUE"""),45204.6666666666)</f>
        <v>45204.666666666599</v>
      </c>
      <c r="B676" s="1">
        <f ca="1">IFERROR(__xludf.DUMMYFUNCTION("""COMPUTED_VALUE"""),424.5)</f>
        <v>424.5</v>
      </c>
      <c r="C676" s="1">
        <f ca="1">IFERROR(__xludf.DUMMYFUNCTION("""COMPUTED_VALUE"""),174.91)</f>
        <v>174.91</v>
      </c>
      <c r="D676" s="1">
        <f ca="1">IFERROR(__xludf.DUMMYFUNCTION("""COMPUTED_VALUE"""),319.36)</f>
        <v>319.36</v>
      </c>
      <c r="E676" s="1">
        <f ca="1">IFERROR(__xludf.DUMMYFUNCTION("""COMPUTED_VALUE"""),142.9)</f>
        <v>142.9</v>
      </c>
      <c r="F676">
        <f t="shared" ca="1" si="85"/>
        <v>-3.7677200584002496E-4</v>
      </c>
      <c r="G676">
        <f t="shared" ca="1" si="86"/>
        <v>7.1979730507888981E-3</v>
      </c>
      <c r="H676">
        <f t="shared" ca="1" si="87"/>
        <v>1.254075746175176E-3</v>
      </c>
      <c r="I676">
        <f t="shared" ca="1" si="88"/>
        <v>-3.1391698639692267E-3</v>
      </c>
      <c r="O676">
        <f t="shared" ca="1" si="89"/>
        <v>1.128299178693883</v>
      </c>
      <c r="P676">
        <f t="shared" ca="1" si="90"/>
        <v>1.3337654415128872</v>
      </c>
      <c r="Q676">
        <f t="shared" ca="1" si="91"/>
        <v>1.3326100563321512</v>
      </c>
      <c r="R676">
        <f t="shared" ca="1" si="92"/>
        <v>1.1024533251041519</v>
      </c>
    </row>
    <row r="677" spans="1:18" x14ac:dyDescent="0.3">
      <c r="A677" s="2">
        <f ca="1">IFERROR(__xludf.DUMMYFUNCTION("""COMPUTED_VALUE"""),45205.6666666666)</f>
        <v>45205.666666666599</v>
      </c>
      <c r="B677" s="1">
        <f ca="1">IFERROR(__xludf.DUMMYFUNCTION("""COMPUTED_VALUE"""),429.54)</f>
        <v>429.54</v>
      </c>
      <c r="C677" s="1">
        <f ca="1">IFERROR(__xludf.DUMMYFUNCTION("""COMPUTED_VALUE"""),177.49)</f>
        <v>177.49</v>
      </c>
      <c r="D677" s="1">
        <f ca="1">IFERROR(__xludf.DUMMYFUNCTION("""COMPUTED_VALUE"""),327.26)</f>
        <v>327.26</v>
      </c>
      <c r="E677" s="1">
        <f ca="1">IFERROR(__xludf.DUMMYFUNCTION("""COMPUTED_VALUE"""),145.1)</f>
        <v>145.1</v>
      </c>
      <c r="F677">
        <f t="shared" ca="1" si="85"/>
        <v>1.1872791519434676E-2</v>
      </c>
      <c r="G677">
        <f t="shared" ca="1" si="86"/>
        <v>1.4750443085015223E-2</v>
      </c>
      <c r="H677">
        <f t="shared" ca="1" si="87"/>
        <v>2.4736973947895719E-2</v>
      </c>
      <c r="I677">
        <f t="shared" ca="1" si="88"/>
        <v>1.5395381385584245E-2</v>
      </c>
      <c r="O677">
        <f t="shared" ca="1" si="89"/>
        <v>1.1416952396140649</v>
      </c>
      <c r="P677">
        <f t="shared" ca="1" si="90"/>
        <v>1.3534390727466832</v>
      </c>
      <c r="Q677">
        <f t="shared" ca="1" si="91"/>
        <v>1.3655747965783436</v>
      </c>
      <c r="R677">
        <f t="shared" ca="1" si="92"/>
        <v>1.1194260145039359</v>
      </c>
    </row>
    <row r="678" spans="1:18" x14ac:dyDescent="0.3">
      <c r="A678" s="2">
        <f ca="1">IFERROR(__xludf.DUMMYFUNCTION("""COMPUTED_VALUE"""),45208.6666666666)</f>
        <v>45208.666666666599</v>
      </c>
      <c r="B678" s="1">
        <f ca="1">IFERROR(__xludf.DUMMYFUNCTION("""COMPUTED_VALUE"""),432.29)</f>
        <v>432.29</v>
      </c>
      <c r="C678" s="1">
        <f ca="1">IFERROR(__xludf.DUMMYFUNCTION("""COMPUTED_VALUE"""),178.99)</f>
        <v>178.99</v>
      </c>
      <c r="D678" s="1">
        <f ca="1">IFERROR(__xludf.DUMMYFUNCTION("""COMPUTED_VALUE"""),329.82)</f>
        <v>329.82</v>
      </c>
      <c r="E678" s="1">
        <f ca="1">IFERROR(__xludf.DUMMYFUNCTION("""COMPUTED_VALUE"""),144.77)</f>
        <v>144.77000000000001</v>
      </c>
      <c r="F678">
        <f t="shared" ca="1" si="85"/>
        <v>6.4021976998649716E-3</v>
      </c>
      <c r="G678">
        <f t="shared" ca="1" si="86"/>
        <v>8.4511803481886298E-3</v>
      </c>
      <c r="H678">
        <f t="shared" ca="1" si="87"/>
        <v>7.822526431583458E-3</v>
      </c>
      <c r="I678">
        <f t="shared" ca="1" si="88"/>
        <v>-2.2742935906270439E-3</v>
      </c>
      <c r="O678">
        <f t="shared" ca="1" si="89"/>
        <v>1.1490045982510688</v>
      </c>
      <c r="P678">
        <f t="shared" ca="1" si="90"/>
        <v>1.3648772304407506</v>
      </c>
      <c r="Q678">
        <f t="shared" ca="1" si="91"/>
        <v>1.3762570415188817</v>
      </c>
      <c r="R678">
        <f t="shared" ca="1" si="92"/>
        <v>1.1168801110939683</v>
      </c>
    </row>
    <row r="679" spans="1:18" x14ac:dyDescent="0.3">
      <c r="A679" s="2">
        <f ca="1">IFERROR(__xludf.DUMMYFUNCTION("""COMPUTED_VALUE"""),45209.6666666666)</f>
        <v>45209.666666666599</v>
      </c>
      <c r="B679" s="1">
        <f ca="1">IFERROR(__xludf.DUMMYFUNCTION("""COMPUTED_VALUE"""),434.54)</f>
        <v>434.54</v>
      </c>
      <c r="C679" s="1">
        <f ca="1">IFERROR(__xludf.DUMMYFUNCTION("""COMPUTED_VALUE"""),178.39)</f>
        <v>178.39</v>
      </c>
      <c r="D679" s="1">
        <f ca="1">IFERROR(__xludf.DUMMYFUNCTION("""COMPUTED_VALUE"""),328.39)</f>
        <v>328.39</v>
      </c>
      <c r="E679" s="1">
        <f ca="1">IFERROR(__xludf.DUMMYFUNCTION("""COMPUTED_VALUE"""),145.65)</f>
        <v>145.65</v>
      </c>
      <c r="F679">
        <f t="shared" ca="1" si="85"/>
        <v>5.2048393439589162E-3</v>
      </c>
      <c r="G679">
        <f t="shared" ca="1" si="86"/>
        <v>-3.3521425777977691E-3</v>
      </c>
      <c r="H679">
        <f t="shared" ca="1" si="87"/>
        <v>-4.3356982596568037E-3</v>
      </c>
      <c r="I679">
        <f t="shared" ca="1" si="88"/>
        <v>6.07860744629409E-3</v>
      </c>
      <c r="O679">
        <f t="shared" ca="1" si="89"/>
        <v>1.1549849825904357</v>
      </c>
      <c r="P679">
        <f t="shared" ca="1" si="90"/>
        <v>1.3603019673631234</v>
      </c>
      <c r="Q679">
        <f t="shared" ca="1" si="91"/>
        <v>1.3702900062591279</v>
      </c>
      <c r="R679">
        <f t="shared" ca="1" si="92"/>
        <v>1.123669186853882</v>
      </c>
    </row>
    <row r="680" spans="1:18" x14ac:dyDescent="0.3">
      <c r="A680" s="2">
        <f ca="1">IFERROR(__xludf.DUMMYFUNCTION("""COMPUTED_VALUE"""),45210.6666666666)</f>
        <v>45210.666666666599</v>
      </c>
      <c r="B680" s="1">
        <f ca="1">IFERROR(__xludf.DUMMYFUNCTION("""COMPUTED_VALUE"""),436.32)</f>
        <v>436.32</v>
      </c>
      <c r="C680" s="1">
        <f ca="1">IFERROR(__xludf.DUMMYFUNCTION("""COMPUTED_VALUE"""),179.8)</f>
        <v>179.8</v>
      </c>
      <c r="D680" s="1">
        <f ca="1">IFERROR(__xludf.DUMMYFUNCTION("""COMPUTED_VALUE"""),332.42)</f>
        <v>332.42</v>
      </c>
      <c r="E680" s="1">
        <f ca="1">IFERROR(__xludf.DUMMYFUNCTION("""COMPUTED_VALUE"""),146.15)</f>
        <v>146.15</v>
      </c>
      <c r="F680">
        <f t="shared" ca="1" si="85"/>
        <v>4.0962857274358467E-3</v>
      </c>
      <c r="G680">
        <f t="shared" ca="1" si="86"/>
        <v>7.9040304949830435E-3</v>
      </c>
      <c r="H680">
        <f t="shared" ca="1" si="87"/>
        <v>1.2271993666067876E-2</v>
      </c>
      <c r="I680">
        <f t="shared" ca="1" si="88"/>
        <v>3.4328870580157913E-3</v>
      </c>
      <c r="O680">
        <f t="shared" ca="1" si="89"/>
        <v>1.1597161310900237</v>
      </c>
      <c r="P680">
        <f t="shared" ca="1" si="90"/>
        <v>1.3710538355955471</v>
      </c>
      <c r="Q680">
        <f t="shared" ca="1" si="91"/>
        <v>1.3871061965366158</v>
      </c>
      <c r="R680">
        <f t="shared" ca="1" si="92"/>
        <v>1.1275266162629238</v>
      </c>
    </row>
    <row r="681" spans="1:18" x14ac:dyDescent="0.3">
      <c r="A681" s="2">
        <f ca="1">IFERROR(__xludf.DUMMYFUNCTION("""COMPUTED_VALUE"""),45211.6666666666)</f>
        <v>45211.666666666599</v>
      </c>
      <c r="B681" s="1">
        <f ca="1">IFERROR(__xludf.DUMMYFUNCTION("""COMPUTED_VALUE"""),433.66)</f>
        <v>433.66</v>
      </c>
      <c r="C681" s="1">
        <f ca="1">IFERROR(__xludf.DUMMYFUNCTION("""COMPUTED_VALUE"""),180.71)</f>
        <v>180.71</v>
      </c>
      <c r="D681" s="1">
        <f ca="1">IFERROR(__xludf.DUMMYFUNCTION("""COMPUTED_VALUE"""),331.16)</f>
        <v>331.16</v>
      </c>
      <c r="E681" s="1">
        <f ca="1">IFERROR(__xludf.DUMMYFUNCTION("""COMPUTED_VALUE"""),145.81)</f>
        <v>145.81</v>
      </c>
      <c r="F681">
        <f t="shared" ca="1" si="85"/>
        <v>-6.0964429776310235E-3</v>
      </c>
      <c r="G681">
        <f t="shared" ca="1" si="86"/>
        <v>5.0611790878753978E-3</v>
      </c>
      <c r="H681">
        <f t="shared" ca="1" si="87"/>
        <v>-3.7903856566993289E-3</v>
      </c>
      <c r="I681">
        <f t="shared" ca="1" si="88"/>
        <v>-2.3263770099213369E-3</v>
      </c>
      <c r="O681">
        <f t="shared" ca="1" si="89"/>
        <v>1.1526459878265944</v>
      </c>
      <c r="P681">
        <f t="shared" ca="1" si="90"/>
        <v>1.3779929845966146</v>
      </c>
      <c r="Q681">
        <f t="shared" ca="1" si="91"/>
        <v>1.3818485291049447</v>
      </c>
      <c r="R681">
        <f t="shared" ca="1" si="92"/>
        <v>1.1249035642647753</v>
      </c>
    </row>
    <row r="682" spans="1:18" x14ac:dyDescent="0.3">
      <c r="A682" s="2">
        <f ca="1">IFERROR(__xludf.DUMMYFUNCTION("""COMPUTED_VALUE"""),45212.6666666666)</f>
        <v>45212.666666666599</v>
      </c>
      <c r="B682" s="1">
        <f ca="1">IFERROR(__xludf.DUMMYFUNCTION("""COMPUTED_VALUE"""),431.5)</f>
        <v>431.5</v>
      </c>
      <c r="C682" s="1">
        <f ca="1">IFERROR(__xludf.DUMMYFUNCTION("""COMPUTED_VALUE"""),178.85)</f>
        <v>178.85</v>
      </c>
      <c r="D682" s="1">
        <f ca="1">IFERROR(__xludf.DUMMYFUNCTION("""COMPUTED_VALUE"""),327.73)</f>
        <v>327.73</v>
      </c>
      <c r="E682" s="1">
        <f ca="1">IFERROR(__xludf.DUMMYFUNCTION("""COMPUTED_VALUE"""),148)</f>
        <v>148</v>
      </c>
      <c r="F682">
        <f t="shared" ca="1" si="85"/>
        <v>-4.9808605820228398E-3</v>
      </c>
      <c r="G682">
        <f t="shared" ca="1" si="86"/>
        <v>-1.0292734215040749E-2</v>
      </c>
      <c r="H682">
        <f t="shared" ca="1" si="87"/>
        <v>-1.0357531102790212E-2</v>
      </c>
      <c r="I682">
        <f t="shared" ca="1" si="88"/>
        <v>1.5019545984500362E-2</v>
      </c>
      <c r="O682">
        <f t="shared" ca="1" si="89"/>
        <v>1.1469048188608022</v>
      </c>
      <c r="P682">
        <f t="shared" ca="1" si="90"/>
        <v>1.3638096690559709</v>
      </c>
      <c r="Q682">
        <f t="shared" ca="1" si="91"/>
        <v>1.3675359899853954</v>
      </c>
      <c r="R682">
        <f t="shared" ca="1" si="92"/>
        <v>1.1417991050763785</v>
      </c>
    </row>
    <row r="683" spans="1:18" x14ac:dyDescent="0.3">
      <c r="A683" s="2">
        <f ca="1">IFERROR(__xludf.DUMMYFUNCTION("""COMPUTED_VALUE"""),45215.6666666666)</f>
        <v>45215.666666666599</v>
      </c>
      <c r="B683" s="1">
        <f ca="1">IFERROR(__xludf.DUMMYFUNCTION("""COMPUTED_VALUE"""),436.04)</f>
        <v>436.04</v>
      </c>
      <c r="C683" s="1">
        <f ca="1">IFERROR(__xludf.DUMMYFUNCTION("""COMPUTED_VALUE"""),178.72)</f>
        <v>178.72</v>
      </c>
      <c r="D683" s="1">
        <f ca="1">IFERROR(__xludf.DUMMYFUNCTION("""COMPUTED_VALUE"""),332.64)</f>
        <v>332.64</v>
      </c>
      <c r="E683" s="1">
        <f ca="1">IFERROR(__xludf.DUMMYFUNCTION("""COMPUTED_VALUE"""),147.85)</f>
        <v>147.85</v>
      </c>
      <c r="F683">
        <f t="shared" ca="1" si="85"/>
        <v>1.0521436848203987E-2</v>
      </c>
      <c r="G683">
        <f t="shared" ca="1" si="86"/>
        <v>-7.2686608890128851E-4</v>
      </c>
      <c r="H683">
        <f t="shared" ca="1" si="87"/>
        <v>1.4981844811277479E-2</v>
      </c>
      <c r="I683">
        <f t="shared" ca="1" si="88"/>
        <v>-1.013513513513552E-3</v>
      </c>
      <c r="O683">
        <f t="shared" ca="1" si="89"/>
        <v>1.1589719054833469</v>
      </c>
      <c r="P683">
        <f t="shared" ca="1" si="90"/>
        <v>1.3628183620558185</v>
      </c>
      <c r="Q683">
        <f t="shared" ca="1" si="91"/>
        <v>1.3880242019611932</v>
      </c>
      <c r="R683">
        <f t="shared" ca="1" si="92"/>
        <v>1.1406418762536659</v>
      </c>
    </row>
    <row r="684" spans="1:18" x14ac:dyDescent="0.3">
      <c r="A684" s="2">
        <f ca="1">IFERROR(__xludf.DUMMYFUNCTION("""COMPUTED_VALUE"""),45216.6666666666)</f>
        <v>45216.666666666599</v>
      </c>
      <c r="B684" s="1">
        <f ca="1">IFERROR(__xludf.DUMMYFUNCTION("""COMPUTED_VALUE"""),436.02)</f>
        <v>436.02</v>
      </c>
      <c r="C684" s="1">
        <f ca="1">IFERROR(__xludf.DUMMYFUNCTION("""COMPUTED_VALUE"""),177.15)</f>
        <v>177.15</v>
      </c>
      <c r="D684" s="1">
        <f ca="1">IFERROR(__xludf.DUMMYFUNCTION("""COMPUTED_VALUE"""),332.06)</f>
        <v>332.06</v>
      </c>
      <c r="E684" s="1">
        <f ca="1">IFERROR(__xludf.DUMMYFUNCTION("""COMPUTED_VALUE"""),147.53)</f>
        <v>147.53</v>
      </c>
      <c r="F684">
        <f t="shared" ca="1" si="85"/>
        <v>-4.5867351619206157E-5</v>
      </c>
      <c r="G684">
        <f t="shared" ca="1" si="86"/>
        <v>-8.7846911369739988E-3</v>
      </c>
      <c r="H684">
        <f t="shared" ca="1" si="87"/>
        <v>-1.7436267436266959E-3</v>
      </c>
      <c r="I684">
        <f t="shared" ca="1" si="88"/>
        <v>-2.1643557659789866E-3</v>
      </c>
      <c r="O684">
        <f t="shared" ca="1" si="89"/>
        <v>1.1589187465114414</v>
      </c>
      <c r="P684">
        <f t="shared" ca="1" si="90"/>
        <v>1.3508464236693614</v>
      </c>
      <c r="Q684">
        <f t="shared" ca="1" si="91"/>
        <v>1.3856040058418526</v>
      </c>
      <c r="R684">
        <f t="shared" ca="1" si="92"/>
        <v>1.1381731214318791</v>
      </c>
    </row>
    <row r="685" spans="1:18" x14ac:dyDescent="0.3">
      <c r="A685" s="2">
        <f ca="1">IFERROR(__xludf.DUMMYFUNCTION("""COMPUTED_VALUE"""),45217.6666666666)</f>
        <v>45217.666666666599</v>
      </c>
      <c r="B685" s="1">
        <f ca="1">IFERROR(__xludf.DUMMYFUNCTION("""COMPUTED_VALUE"""),430.21)</f>
        <v>430.21</v>
      </c>
      <c r="C685" s="1">
        <f ca="1">IFERROR(__xludf.DUMMYFUNCTION("""COMPUTED_VALUE"""),175.84)</f>
        <v>175.84</v>
      </c>
      <c r="D685" s="1">
        <f ca="1">IFERROR(__xludf.DUMMYFUNCTION("""COMPUTED_VALUE"""),330.11)</f>
        <v>330.11</v>
      </c>
      <c r="E685" s="1">
        <f ca="1">IFERROR(__xludf.DUMMYFUNCTION("""COMPUTED_VALUE"""),145.91)</f>
        <v>145.91</v>
      </c>
      <c r="F685">
        <f t="shared" ca="1" si="85"/>
        <v>-1.3325076831338017E-2</v>
      </c>
      <c r="G685">
        <f t="shared" ca="1" si="86"/>
        <v>-7.3948631103584661E-3</v>
      </c>
      <c r="H685">
        <f t="shared" ca="1" si="87"/>
        <v>-5.8724326928867934E-3</v>
      </c>
      <c r="I685">
        <f t="shared" ca="1" si="88"/>
        <v>-1.098081746085545E-2</v>
      </c>
      <c r="O685">
        <f t="shared" ca="1" si="89"/>
        <v>1.1434760651728986</v>
      </c>
      <c r="P685">
        <f t="shared" ca="1" si="90"/>
        <v>1.3408570992832092</v>
      </c>
      <c r="Q685">
        <f t="shared" ca="1" si="91"/>
        <v>1.377467139578552</v>
      </c>
      <c r="R685">
        <f t="shared" ca="1" si="92"/>
        <v>1.1256750501465835</v>
      </c>
    </row>
    <row r="686" spans="1:18" x14ac:dyDescent="0.3">
      <c r="A686" s="2">
        <f ca="1">IFERROR(__xludf.DUMMYFUNCTION("""COMPUTED_VALUE"""),45218.6666666666)</f>
        <v>45218.666666666599</v>
      </c>
      <c r="B686" s="1">
        <f ca="1">IFERROR(__xludf.DUMMYFUNCTION("""COMPUTED_VALUE"""),426.43)</f>
        <v>426.43</v>
      </c>
      <c r="C686" s="1">
        <f ca="1">IFERROR(__xludf.DUMMYFUNCTION("""COMPUTED_VALUE"""),175.46)</f>
        <v>175.46</v>
      </c>
      <c r="D686" s="1">
        <f ca="1">IFERROR(__xludf.DUMMYFUNCTION("""COMPUTED_VALUE"""),331.32)</f>
        <v>331.32</v>
      </c>
      <c r="E686" s="1">
        <f ca="1">IFERROR(__xludf.DUMMYFUNCTION("""COMPUTED_VALUE"""),145.29)</f>
        <v>145.29</v>
      </c>
      <c r="F686">
        <f t="shared" ca="1" si="85"/>
        <v>-8.7864066386182868E-3</v>
      </c>
      <c r="G686">
        <f t="shared" ca="1" si="86"/>
        <v>-2.1610555050045237E-3</v>
      </c>
      <c r="H686">
        <f t="shared" ca="1" si="87"/>
        <v>3.6654448517160327E-3</v>
      </c>
      <c r="I686">
        <f t="shared" ca="1" si="88"/>
        <v>-4.2491947090672645E-3</v>
      </c>
      <c r="O686">
        <f t="shared" ca="1" si="89"/>
        <v>1.1334290194827623</v>
      </c>
      <c r="P686">
        <f t="shared" ca="1" si="90"/>
        <v>1.3379594326673787</v>
      </c>
      <c r="Q686">
        <f t="shared" ca="1" si="91"/>
        <v>1.3825161694137282</v>
      </c>
      <c r="R686">
        <f t="shared" ca="1" si="92"/>
        <v>1.1208918376793717</v>
      </c>
    </row>
    <row r="687" spans="1:18" x14ac:dyDescent="0.3">
      <c r="A687" s="2">
        <f ca="1">IFERROR(__xludf.DUMMYFUNCTION("""COMPUTED_VALUE"""),45219.6666666666)</f>
        <v>45219.666666666599</v>
      </c>
      <c r="B687" s="1">
        <f ca="1">IFERROR(__xludf.DUMMYFUNCTION("""COMPUTED_VALUE"""),421.19)</f>
        <v>421.19</v>
      </c>
      <c r="C687" s="1">
        <f ca="1">IFERROR(__xludf.DUMMYFUNCTION("""COMPUTED_VALUE"""),172.88)</f>
        <v>172.88</v>
      </c>
      <c r="D687" s="1">
        <f ca="1">IFERROR(__xludf.DUMMYFUNCTION("""COMPUTED_VALUE"""),326.67)</f>
        <v>326.67</v>
      </c>
      <c r="E687" s="1">
        <f ca="1">IFERROR(__xludf.DUMMYFUNCTION("""COMPUTED_VALUE"""),142.95)</f>
        <v>142.94999999999999</v>
      </c>
      <c r="F687">
        <f t="shared" ca="1" si="85"/>
        <v>-1.2288066036629713E-2</v>
      </c>
      <c r="G687">
        <f t="shared" ca="1" si="86"/>
        <v>-1.4704206086857474E-2</v>
      </c>
      <c r="H687">
        <f t="shared" ca="1" si="87"/>
        <v>-1.403477001086556E-2</v>
      </c>
      <c r="I687">
        <f t="shared" ca="1" si="88"/>
        <v>-1.6105719595292198E-2</v>
      </c>
      <c r="O687">
        <f t="shared" ca="1" si="89"/>
        <v>1.1195013688435258</v>
      </c>
      <c r="P687">
        <f t="shared" ca="1" si="90"/>
        <v>1.3182858014335825</v>
      </c>
      <c r="Q687">
        <f t="shared" ca="1" si="91"/>
        <v>1.3631128729397037</v>
      </c>
      <c r="R687">
        <f t="shared" ca="1" si="92"/>
        <v>1.1028390680450559</v>
      </c>
    </row>
    <row r="688" spans="1:18" x14ac:dyDescent="0.3">
      <c r="A688" s="2">
        <f ca="1">IFERROR(__xludf.DUMMYFUNCTION("""COMPUTED_VALUE"""),45222.6666666666)</f>
        <v>45222.666666666599</v>
      </c>
      <c r="B688" s="1">
        <f ca="1">IFERROR(__xludf.DUMMYFUNCTION("""COMPUTED_VALUE"""),420.46)</f>
        <v>420.46</v>
      </c>
      <c r="C688" s="1">
        <f ca="1">IFERROR(__xludf.DUMMYFUNCTION("""COMPUTED_VALUE"""),173)</f>
        <v>173</v>
      </c>
      <c r="D688" s="1">
        <f ca="1">IFERROR(__xludf.DUMMYFUNCTION("""COMPUTED_VALUE"""),329.32)</f>
        <v>329.32</v>
      </c>
      <c r="E688" s="1">
        <f ca="1">IFERROR(__xludf.DUMMYFUNCTION("""COMPUTED_VALUE"""),141)</f>
        <v>141</v>
      </c>
      <c r="F688">
        <f t="shared" ca="1" si="85"/>
        <v>-1.7331845485410817E-3</v>
      </c>
      <c r="G688">
        <f t="shared" ca="1" si="86"/>
        <v>6.9412309116152564E-4</v>
      </c>
      <c r="H688">
        <f t="shared" ca="1" si="87"/>
        <v>8.1121621207946165E-3</v>
      </c>
      <c r="I688">
        <f t="shared" ca="1" si="88"/>
        <v>-1.3641133263378725E-2</v>
      </c>
      <c r="O688">
        <f t="shared" ca="1" si="89"/>
        <v>1.1175610663689757</v>
      </c>
      <c r="P688">
        <f t="shared" ca="1" si="90"/>
        <v>1.3192008540491078</v>
      </c>
      <c r="Q688">
        <f t="shared" ca="1" si="91"/>
        <v>1.3741706655539327</v>
      </c>
      <c r="R688">
        <f t="shared" ca="1" si="92"/>
        <v>1.0877950933497931</v>
      </c>
    </row>
    <row r="689" spans="1:18" x14ac:dyDescent="0.3">
      <c r="A689" s="2">
        <f ca="1">IFERROR(__xludf.DUMMYFUNCTION("""COMPUTED_VALUE"""),45223.6666666666)</f>
        <v>45223.666666666599</v>
      </c>
      <c r="B689" s="1">
        <f ca="1">IFERROR(__xludf.DUMMYFUNCTION("""COMPUTED_VALUE"""),423.63)</f>
        <v>423.63</v>
      </c>
      <c r="C689" s="1">
        <f ca="1">IFERROR(__xludf.DUMMYFUNCTION("""COMPUTED_VALUE"""),173.44)</f>
        <v>173.44</v>
      </c>
      <c r="D689" s="1">
        <f ca="1">IFERROR(__xludf.DUMMYFUNCTION("""COMPUTED_VALUE"""),330.53)</f>
        <v>330.53</v>
      </c>
      <c r="E689" s="1">
        <f ca="1">IFERROR(__xludf.DUMMYFUNCTION("""COMPUTED_VALUE"""),141.17)</f>
        <v>141.16999999999999</v>
      </c>
      <c r="F689">
        <f t="shared" ca="1" si="85"/>
        <v>7.5393616515245588E-3</v>
      </c>
      <c r="G689">
        <f t="shared" ca="1" si="86"/>
        <v>2.5433526011560564E-3</v>
      </c>
      <c r="H689">
        <f t="shared" ca="1" si="87"/>
        <v>3.6742378233935976E-3</v>
      </c>
      <c r="I689">
        <f t="shared" ca="1" si="88"/>
        <v>1.2056737588651595E-3</v>
      </c>
      <c r="O689">
        <f t="shared" ca="1" si="89"/>
        <v>1.1259867634159948</v>
      </c>
      <c r="P689">
        <f t="shared" ca="1" si="90"/>
        <v>1.3225560469727009</v>
      </c>
      <c r="Q689">
        <f t="shared" ca="1" si="91"/>
        <v>1.3792196953891089</v>
      </c>
      <c r="R689">
        <f t="shared" ca="1" si="92"/>
        <v>1.0891066193488672</v>
      </c>
    </row>
    <row r="690" spans="1:18" x14ac:dyDescent="0.3">
      <c r="A690" s="2">
        <f ca="1">IFERROR(__xludf.DUMMYFUNCTION("""COMPUTED_VALUE"""),45224.6666666666)</f>
        <v>45224.666666666599</v>
      </c>
      <c r="B690" s="1">
        <f ca="1">IFERROR(__xludf.DUMMYFUNCTION("""COMPUTED_VALUE"""),417.55)</f>
        <v>417.55</v>
      </c>
      <c r="C690" s="1">
        <f ca="1">IFERROR(__xludf.DUMMYFUNCTION("""COMPUTED_VALUE"""),171.1)</f>
        <v>171.1</v>
      </c>
      <c r="D690" s="1">
        <f ca="1">IFERROR(__xludf.DUMMYFUNCTION("""COMPUTED_VALUE"""),340.67)</f>
        <v>340.67</v>
      </c>
      <c r="E690" s="1">
        <f ca="1">IFERROR(__xludf.DUMMYFUNCTION("""COMPUTED_VALUE"""),140.4)</f>
        <v>140.4</v>
      </c>
      <c r="F690">
        <f t="shared" ca="1" si="85"/>
        <v>-1.4352146920661861E-2</v>
      </c>
      <c r="G690">
        <f t="shared" ca="1" si="86"/>
        <v>-1.349169741697419E-2</v>
      </c>
      <c r="H690">
        <f t="shared" ca="1" si="87"/>
        <v>3.0678001996793162E-2</v>
      </c>
      <c r="I690">
        <f t="shared" ca="1" si="88"/>
        <v>-5.4544166607634901E-3</v>
      </c>
      <c r="O690">
        <f t="shared" ca="1" si="89"/>
        <v>1.1098264359567278</v>
      </c>
      <c r="P690">
        <f t="shared" ca="1" si="90"/>
        <v>1.3047125209699557</v>
      </c>
      <c r="Q690">
        <f t="shared" ca="1" si="91"/>
        <v>1.4215313999582724</v>
      </c>
      <c r="R690">
        <f t="shared" ca="1" si="92"/>
        <v>1.083166178058943</v>
      </c>
    </row>
    <row r="691" spans="1:18" x14ac:dyDescent="0.3">
      <c r="A691" s="2">
        <f ca="1">IFERROR(__xludf.DUMMYFUNCTION("""COMPUTED_VALUE"""),45225.6666666666)</f>
        <v>45225.666666666599</v>
      </c>
      <c r="B691" s="1">
        <f ca="1">IFERROR(__xludf.DUMMYFUNCTION("""COMPUTED_VALUE"""),412.55)</f>
        <v>412.55</v>
      </c>
      <c r="C691" s="1">
        <f ca="1">IFERROR(__xludf.DUMMYFUNCTION("""COMPUTED_VALUE"""),166.89)</f>
        <v>166.89</v>
      </c>
      <c r="D691" s="1">
        <f ca="1">IFERROR(__xludf.DUMMYFUNCTION("""COMPUTED_VALUE"""),327.89)</f>
        <v>327.89</v>
      </c>
      <c r="E691" s="1">
        <f ca="1">IFERROR(__xludf.DUMMYFUNCTION("""COMPUTED_VALUE"""),140.76)</f>
        <v>140.76</v>
      </c>
      <c r="F691">
        <f t="shared" ca="1" si="85"/>
        <v>-1.1974613818704346E-2</v>
      </c>
      <c r="G691">
        <f t="shared" ca="1" si="86"/>
        <v>-2.4605493863237921E-2</v>
      </c>
      <c r="H691">
        <f t="shared" ca="1" si="87"/>
        <v>-3.7514310036105405E-2</v>
      </c>
      <c r="I691">
        <f t="shared" ca="1" si="88"/>
        <v>2.5641025641024587E-3</v>
      </c>
      <c r="O691">
        <f t="shared" ca="1" si="89"/>
        <v>1.0965366929803571</v>
      </c>
      <c r="P691">
        <f t="shared" ca="1" si="90"/>
        <v>1.2726094250419397</v>
      </c>
      <c r="Q691">
        <f t="shared" ca="1" si="91"/>
        <v>1.3682036302941789</v>
      </c>
      <c r="R691">
        <f t="shared" ca="1" si="92"/>
        <v>1.085943527233453</v>
      </c>
    </row>
    <row r="692" spans="1:18" x14ac:dyDescent="0.3">
      <c r="A692" s="2">
        <f ca="1">IFERROR(__xludf.DUMMYFUNCTION("""COMPUTED_VALUE"""),45226.6666666666)</f>
        <v>45226.666666666599</v>
      </c>
      <c r="B692" s="1">
        <f ca="1">IFERROR(__xludf.DUMMYFUNCTION("""COMPUTED_VALUE"""),410.68)</f>
        <v>410.68</v>
      </c>
      <c r="C692" s="1">
        <f ca="1">IFERROR(__xludf.DUMMYFUNCTION("""COMPUTED_VALUE"""),168.22)</f>
        <v>168.22</v>
      </c>
      <c r="D692" s="1">
        <f ca="1">IFERROR(__xludf.DUMMYFUNCTION("""COMPUTED_VALUE"""),329.81)</f>
        <v>329.81</v>
      </c>
      <c r="E692" s="1">
        <f ca="1">IFERROR(__xludf.DUMMYFUNCTION("""COMPUTED_VALUE"""),135.69)</f>
        <v>135.69</v>
      </c>
      <c r="F692">
        <f t="shared" ca="1" si="85"/>
        <v>-4.5327839049812257E-3</v>
      </c>
      <c r="G692">
        <f t="shared" ca="1" si="86"/>
        <v>7.9693211097130595E-3</v>
      </c>
      <c r="H692">
        <f t="shared" ca="1" si="87"/>
        <v>5.8556223123609015E-3</v>
      </c>
      <c r="I692">
        <f t="shared" ca="1" si="88"/>
        <v>-3.6018755328218195E-2</v>
      </c>
      <c r="O692">
        <f t="shared" ca="1" si="89"/>
        <v>1.0915663291071944</v>
      </c>
      <c r="P692">
        <f t="shared" ca="1" si="90"/>
        <v>1.2827512581973464</v>
      </c>
      <c r="Q692">
        <f t="shared" ca="1" si="91"/>
        <v>1.3762153139995827</v>
      </c>
      <c r="R692">
        <f t="shared" ca="1" si="92"/>
        <v>1.0468291930257689</v>
      </c>
    </row>
    <row r="693" spans="1:18" x14ac:dyDescent="0.3">
      <c r="A693" s="2">
        <f ca="1">IFERROR(__xludf.DUMMYFUNCTION("""COMPUTED_VALUE"""),45229.6666666666)</f>
        <v>45229.666666666599</v>
      </c>
      <c r="B693" s="1">
        <f ca="1">IFERROR(__xludf.DUMMYFUNCTION("""COMPUTED_VALUE"""),415.59)</f>
        <v>415.59</v>
      </c>
      <c r="C693" s="1">
        <f ca="1">IFERROR(__xludf.DUMMYFUNCTION("""COMPUTED_VALUE"""),170.29)</f>
        <v>170.29</v>
      </c>
      <c r="D693" s="1">
        <f ca="1">IFERROR(__xludf.DUMMYFUNCTION("""COMPUTED_VALUE"""),337.31)</f>
        <v>337.31</v>
      </c>
      <c r="E693" s="1">
        <f ca="1">IFERROR(__xludf.DUMMYFUNCTION("""COMPUTED_VALUE"""),137.42)</f>
        <v>137.41999999999999</v>
      </c>
      <c r="F693">
        <f t="shared" ca="1" si="85"/>
        <v>1.1955780656472115E-2</v>
      </c>
      <c r="G693">
        <f t="shared" ca="1" si="86"/>
        <v>1.2305314469147505E-2</v>
      </c>
      <c r="H693">
        <f t="shared" ca="1" si="87"/>
        <v>2.2740365665079896E-2</v>
      </c>
      <c r="I693">
        <f t="shared" ca="1" si="88"/>
        <v>1.2749649937357136E-2</v>
      </c>
      <c r="O693">
        <f t="shared" ca="1" si="89"/>
        <v>1.1046168567099905</v>
      </c>
      <c r="P693">
        <f t="shared" ca="1" si="90"/>
        <v>1.2985359158151593</v>
      </c>
      <c r="Q693">
        <f t="shared" ca="1" si="91"/>
        <v>1.4075109534738162</v>
      </c>
      <c r="R693">
        <f t="shared" ca="1" si="92"/>
        <v>1.0601758987810537</v>
      </c>
    </row>
    <row r="694" spans="1:18" x14ac:dyDescent="0.3">
      <c r="A694" s="2">
        <f ca="1">IFERROR(__xludf.DUMMYFUNCTION("""COMPUTED_VALUE"""),45230.6666666666)</f>
        <v>45230.666666666599</v>
      </c>
      <c r="B694" s="1">
        <f ca="1">IFERROR(__xludf.DUMMYFUNCTION("""COMPUTED_VALUE"""),418.2)</f>
        <v>418.2</v>
      </c>
      <c r="C694" s="1">
        <f ca="1">IFERROR(__xludf.DUMMYFUNCTION("""COMPUTED_VALUE"""),170.77)</f>
        <v>170.77</v>
      </c>
      <c r="D694" s="1">
        <f ca="1">IFERROR(__xludf.DUMMYFUNCTION("""COMPUTED_VALUE"""),338.11)</f>
        <v>338.11</v>
      </c>
      <c r="E694" s="1">
        <f ca="1">IFERROR(__xludf.DUMMYFUNCTION("""COMPUTED_VALUE"""),139.06)</f>
        <v>139.06</v>
      </c>
      <c r="F694">
        <f t="shared" ca="1" si="85"/>
        <v>6.2802281094348125E-3</v>
      </c>
      <c r="G694">
        <f t="shared" ca="1" si="86"/>
        <v>2.8187210053439321E-3</v>
      </c>
      <c r="H694">
        <f t="shared" ca="1" si="87"/>
        <v>2.3717055527556589E-3</v>
      </c>
      <c r="I694">
        <f t="shared" ca="1" si="88"/>
        <v>1.1934216271285219E-2</v>
      </c>
      <c r="O694">
        <f t="shared" ca="1" si="89"/>
        <v>1.1115541025436562</v>
      </c>
      <c r="P694">
        <f t="shared" ca="1" si="90"/>
        <v>1.3021961262772608</v>
      </c>
      <c r="Q694">
        <f t="shared" ca="1" si="91"/>
        <v>1.4108491550177344</v>
      </c>
      <c r="R694">
        <f t="shared" ca="1" si="92"/>
        <v>1.072828267242711</v>
      </c>
    </row>
    <row r="695" spans="1:18" x14ac:dyDescent="0.3">
      <c r="A695" s="2">
        <f ca="1">IFERROR(__xludf.DUMMYFUNCTION("""COMPUTED_VALUE"""),45231.6666666666)</f>
        <v>45231.666666666599</v>
      </c>
      <c r="B695" s="1">
        <f ca="1">IFERROR(__xludf.DUMMYFUNCTION("""COMPUTED_VALUE"""),422.66)</f>
        <v>422.66</v>
      </c>
      <c r="C695" s="1">
        <f ca="1">IFERROR(__xludf.DUMMYFUNCTION("""COMPUTED_VALUE"""),173.97)</f>
        <v>173.97</v>
      </c>
      <c r="D695" s="1">
        <f ca="1">IFERROR(__xludf.DUMMYFUNCTION("""COMPUTED_VALUE"""),346.07)</f>
        <v>346.07</v>
      </c>
      <c r="E695" s="1">
        <f ca="1">IFERROR(__xludf.DUMMYFUNCTION("""COMPUTED_VALUE"""),138.94)</f>
        <v>138.94</v>
      </c>
      <c r="F695">
        <f t="shared" ca="1" si="85"/>
        <v>1.0664753706360681E-2</v>
      </c>
      <c r="G695">
        <f t="shared" ca="1" si="86"/>
        <v>1.873865433038583E-2</v>
      </c>
      <c r="H695">
        <f t="shared" ca="1" si="87"/>
        <v>2.3542634054006032E-2</v>
      </c>
      <c r="I695">
        <f t="shared" ca="1" si="88"/>
        <v>-8.6293686178631204E-4</v>
      </c>
      <c r="O695">
        <f t="shared" ca="1" si="89"/>
        <v>1.1234085532785789</v>
      </c>
      <c r="P695">
        <f t="shared" ca="1" si="90"/>
        <v>1.3265975293579377</v>
      </c>
      <c r="Q695">
        <f t="shared" ca="1" si="91"/>
        <v>1.4440642603797207</v>
      </c>
      <c r="R695">
        <f t="shared" ca="1" si="92"/>
        <v>1.0719024841845408</v>
      </c>
    </row>
    <row r="696" spans="1:18" x14ac:dyDescent="0.3">
      <c r="A696" s="2">
        <f ca="1">IFERROR(__xludf.DUMMYFUNCTION("""COMPUTED_VALUE"""),45232.6666666666)</f>
        <v>45232.666666666599</v>
      </c>
      <c r="B696" s="1">
        <f ca="1">IFERROR(__xludf.DUMMYFUNCTION("""COMPUTED_VALUE"""),430.76)</f>
        <v>430.76</v>
      </c>
      <c r="C696" s="1">
        <f ca="1">IFERROR(__xludf.DUMMYFUNCTION("""COMPUTED_VALUE"""),177.57)</f>
        <v>177.57</v>
      </c>
      <c r="D696" s="1">
        <f ca="1">IFERROR(__xludf.DUMMYFUNCTION("""COMPUTED_VALUE"""),348.32)</f>
        <v>348.32</v>
      </c>
      <c r="E696" s="1">
        <f ca="1">IFERROR(__xludf.DUMMYFUNCTION("""COMPUTED_VALUE"""),141.42)</f>
        <v>141.41999999999999</v>
      </c>
      <c r="F696">
        <f t="shared" ca="1" si="85"/>
        <v>1.9164340131547733E-2</v>
      </c>
      <c r="G696">
        <f t="shared" ca="1" si="86"/>
        <v>2.0693222969477464E-2</v>
      </c>
      <c r="H696">
        <f t="shared" ca="1" si="87"/>
        <v>6.5015748259022741E-3</v>
      </c>
      <c r="I696">
        <f t="shared" ca="1" si="88"/>
        <v>1.7849431409241327E-2</v>
      </c>
      <c r="O696">
        <f t="shared" ca="1" si="89"/>
        <v>1.1449379369002997</v>
      </c>
      <c r="P696">
        <f t="shared" ca="1" si="90"/>
        <v>1.3540491078236994</v>
      </c>
      <c r="Q696">
        <f t="shared" ca="1" si="91"/>
        <v>1.4534529522219908</v>
      </c>
      <c r="R696">
        <f t="shared" ca="1" si="92"/>
        <v>1.091035334053388</v>
      </c>
    </row>
    <row r="697" spans="1:18" x14ac:dyDescent="0.3">
      <c r="A697" s="2">
        <f ca="1">IFERROR(__xludf.DUMMYFUNCTION("""COMPUTED_VALUE"""),45233.6666666666)</f>
        <v>45233.666666666599</v>
      </c>
      <c r="B697" s="1">
        <f ca="1">IFERROR(__xludf.DUMMYFUNCTION("""COMPUTED_VALUE"""),434.69)</f>
        <v>434.69</v>
      </c>
      <c r="C697" s="1">
        <f ca="1">IFERROR(__xludf.DUMMYFUNCTION("""COMPUTED_VALUE"""),176.65)</f>
        <v>176.65</v>
      </c>
      <c r="D697" s="1">
        <f ca="1">IFERROR(__xludf.DUMMYFUNCTION("""COMPUTED_VALUE"""),352.8)</f>
        <v>352.8</v>
      </c>
      <c r="E697" s="1">
        <f ca="1">IFERROR(__xludf.DUMMYFUNCTION("""COMPUTED_VALUE"""),143)</f>
        <v>143</v>
      </c>
      <c r="F697">
        <f t="shared" ca="1" si="85"/>
        <v>9.1234097873526022E-3</v>
      </c>
      <c r="G697">
        <f t="shared" ca="1" si="86"/>
        <v>-5.1810553584501181E-3</v>
      </c>
      <c r="H697">
        <f t="shared" ca="1" si="87"/>
        <v>1.2861736334405197E-2</v>
      </c>
      <c r="I697">
        <f t="shared" ca="1" si="88"/>
        <v>1.1172394286522504E-2</v>
      </c>
      <c r="O697">
        <f t="shared" ca="1" si="89"/>
        <v>1.1553836748797273</v>
      </c>
      <c r="P697">
        <f t="shared" ca="1" si="90"/>
        <v>1.3470337044380047</v>
      </c>
      <c r="Q697">
        <f t="shared" ca="1" si="91"/>
        <v>1.472146880867933</v>
      </c>
      <c r="R697">
        <f t="shared" ca="1" si="92"/>
        <v>1.1032248109859604</v>
      </c>
    </row>
    <row r="698" spans="1:18" x14ac:dyDescent="0.3">
      <c r="A698" s="2">
        <f ca="1">IFERROR(__xludf.DUMMYFUNCTION("""COMPUTED_VALUE"""),45236.6666666666)</f>
        <v>45236.666666666599</v>
      </c>
      <c r="B698" s="1">
        <f ca="1">IFERROR(__xludf.DUMMYFUNCTION("""COMPUTED_VALUE"""),435.69)</f>
        <v>435.69</v>
      </c>
      <c r="C698" s="1">
        <f ca="1">IFERROR(__xludf.DUMMYFUNCTION("""COMPUTED_VALUE"""),179.23)</f>
        <v>179.23</v>
      </c>
      <c r="D698" s="1">
        <f ca="1">IFERROR(__xludf.DUMMYFUNCTION("""COMPUTED_VALUE"""),356.53)</f>
        <v>356.53</v>
      </c>
      <c r="E698" s="1">
        <f ca="1">IFERROR(__xludf.DUMMYFUNCTION("""COMPUTED_VALUE"""),144.08)</f>
        <v>144.08000000000001</v>
      </c>
      <c r="F698">
        <f t="shared" ca="1" si="85"/>
        <v>2.3004900043709312E-3</v>
      </c>
      <c r="G698">
        <f t="shared" ca="1" si="86"/>
        <v>1.460515142938004E-2</v>
      </c>
      <c r="H698">
        <f t="shared" ca="1" si="87"/>
        <v>1.0572562358276534E-2</v>
      </c>
      <c r="I698">
        <f t="shared" ca="1" si="88"/>
        <v>7.55244755244764E-3</v>
      </c>
      <c r="O698">
        <f t="shared" ca="1" si="89"/>
        <v>1.1580416234750013</v>
      </c>
      <c r="P698">
        <f t="shared" ca="1" si="90"/>
        <v>1.3667073356718007</v>
      </c>
      <c r="Q698">
        <f t="shared" ca="1" si="91"/>
        <v>1.4877112455664516</v>
      </c>
      <c r="R698">
        <f t="shared" ca="1" si="92"/>
        <v>1.1115568585094906</v>
      </c>
    </row>
    <row r="699" spans="1:18" x14ac:dyDescent="0.3">
      <c r="A699" s="2">
        <f ca="1">IFERROR(__xludf.DUMMYFUNCTION("""COMPUTED_VALUE"""),45237.6666666666)</f>
        <v>45237.666666666599</v>
      </c>
      <c r="B699" s="1">
        <f ca="1">IFERROR(__xludf.DUMMYFUNCTION("""COMPUTED_VALUE"""),436.93)</f>
        <v>436.93</v>
      </c>
      <c r="C699" s="1">
        <f ca="1">IFERROR(__xludf.DUMMYFUNCTION("""COMPUTED_VALUE"""),181.82)</f>
        <v>181.82</v>
      </c>
      <c r="D699" s="1">
        <f ca="1">IFERROR(__xludf.DUMMYFUNCTION("""COMPUTED_VALUE"""),360.53)</f>
        <v>360.53</v>
      </c>
      <c r="E699" s="1">
        <f ca="1">IFERROR(__xludf.DUMMYFUNCTION("""COMPUTED_VALUE"""),144.01)</f>
        <v>144.01</v>
      </c>
      <c r="F699">
        <f t="shared" ca="1" si="85"/>
        <v>2.8460602722119146E-3</v>
      </c>
      <c r="G699">
        <f t="shared" ca="1" si="86"/>
        <v>1.4450705797020609E-2</v>
      </c>
      <c r="H699">
        <f t="shared" ca="1" si="87"/>
        <v>1.1219252236838416E-2</v>
      </c>
      <c r="I699">
        <f t="shared" ca="1" si="88"/>
        <v>-4.8584119933385339E-4</v>
      </c>
      <c r="O699">
        <f t="shared" ca="1" si="89"/>
        <v>1.1613374797331413</v>
      </c>
      <c r="P699">
        <f t="shared" ca="1" si="90"/>
        <v>1.386457221290224</v>
      </c>
      <c r="Q699">
        <f t="shared" ca="1" si="91"/>
        <v>1.5044022532860426</v>
      </c>
      <c r="R699">
        <f t="shared" ca="1" si="92"/>
        <v>1.1110168183922247</v>
      </c>
    </row>
    <row r="700" spans="1:18" x14ac:dyDescent="0.3">
      <c r="A700" s="2">
        <f ca="1">IFERROR(__xludf.DUMMYFUNCTION("""COMPUTED_VALUE"""),45238.6666666666)</f>
        <v>45238.666666666599</v>
      </c>
      <c r="B700" s="1">
        <f ca="1">IFERROR(__xludf.DUMMYFUNCTION("""COMPUTED_VALUE"""),437.25)</f>
        <v>437.25</v>
      </c>
      <c r="C700" s="1">
        <f ca="1">IFERROR(__xludf.DUMMYFUNCTION("""COMPUTED_VALUE"""),182.89)</f>
        <v>182.89</v>
      </c>
      <c r="D700" s="1">
        <f ca="1">IFERROR(__xludf.DUMMYFUNCTION("""COMPUTED_VALUE"""),363.2)</f>
        <v>363.2</v>
      </c>
      <c r="E700" s="1">
        <f ca="1">IFERROR(__xludf.DUMMYFUNCTION("""COMPUTED_VALUE"""),144.72)</f>
        <v>144.72</v>
      </c>
      <c r="F700">
        <f t="shared" ca="1" si="85"/>
        <v>7.3238276154073462E-4</v>
      </c>
      <c r="G700">
        <f t="shared" ca="1" si="86"/>
        <v>5.8849411505884569E-3</v>
      </c>
      <c r="H700">
        <f t="shared" ca="1" si="87"/>
        <v>7.4057637367209829E-3</v>
      </c>
      <c r="I700">
        <f t="shared" ca="1" si="88"/>
        <v>4.9302131796403583E-3</v>
      </c>
      <c r="O700">
        <f t="shared" ca="1" si="89"/>
        <v>1.1621880232836288</v>
      </c>
      <c r="P700">
        <f t="shared" ca="1" si="90"/>
        <v>1.3946164404453252</v>
      </c>
      <c r="Q700">
        <f t="shared" ca="1" si="91"/>
        <v>1.5155435009388698</v>
      </c>
      <c r="R700">
        <f t="shared" ca="1" si="92"/>
        <v>1.1164943681530639</v>
      </c>
    </row>
    <row r="701" spans="1:18" x14ac:dyDescent="0.3">
      <c r="A701" s="2">
        <f ca="1">IFERROR(__xludf.DUMMYFUNCTION("""COMPUTED_VALUE"""),45239.6666666666)</f>
        <v>45239.666666666599</v>
      </c>
      <c r="B701" s="1">
        <f ca="1">IFERROR(__xludf.DUMMYFUNCTION("""COMPUTED_VALUE"""),433.84)</f>
        <v>433.84</v>
      </c>
      <c r="C701" s="1">
        <f ca="1">IFERROR(__xludf.DUMMYFUNCTION("""COMPUTED_VALUE"""),182.41)</f>
        <v>182.41</v>
      </c>
      <c r="D701" s="1">
        <f ca="1">IFERROR(__xludf.DUMMYFUNCTION("""COMPUTED_VALUE"""),360.69)</f>
        <v>360.69</v>
      </c>
      <c r="E701" s="1">
        <f ca="1">IFERROR(__xludf.DUMMYFUNCTION("""COMPUTED_VALUE"""),144.29)</f>
        <v>144.29</v>
      </c>
      <c r="F701">
        <f t="shared" ca="1" si="85"/>
        <v>-7.7987421383648369E-3</v>
      </c>
      <c r="G701">
        <f t="shared" ca="1" si="86"/>
        <v>-2.6245284050521616E-3</v>
      </c>
      <c r="H701">
        <f t="shared" ca="1" si="87"/>
        <v>-6.9107929515418252E-3</v>
      </c>
      <c r="I701">
        <f t="shared" ca="1" si="88"/>
        <v>-2.9712548369265259E-3</v>
      </c>
      <c r="O701">
        <f t="shared" ca="1" si="89"/>
        <v>1.1531244185737439</v>
      </c>
      <c r="P701">
        <f t="shared" ca="1" si="90"/>
        <v>1.3909562299832237</v>
      </c>
      <c r="Q701">
        <f t="shared" ca="1" si="91"/>
        <v>1.5050698935948263</v>
      </c>
      <c r="R701">
        <f t="shared" ca="1" si="92"/>
        <v>1.113176978861288</v>
      </c>
    </row>
    <row r="702" spans="1:18" x14ac:dyDescent="0.3">
      <c r="A702" s="2">
        <f ca="1">IFERROR(__xludf.DUMMYFUNCTION("""COMPUTED_VALUE"""),45240.6666666666)</f>
        <v>45240.666666666599</v>
      </c>
      <c r="B702" s="1">
        <f ca="1">IFERROR(__xludf.DUMMYFUNCTION("""COMPUTED_VALUE"""),440.61)</f>
        <v>440.61</v>
      </c>
      <c r="C702" s="1">
        <f ca="1">IFERROR(__xludf.DUMMYFUNCTION("""COMPUTED_VALUE"""),186.4)</f>
        <v>186.4</v>
      </c>
      <c r="D702" s="1">
        <f ca="1">IFERROR(__xludf.DUMMYFUNCTION("""COMPUTED_VALUE"""),369.67)</f>
        <v>369.67</v>
      </c>
      <c r="E702" s="1">
        <f ca="1">IFERROR(__xludf.DUMMYFUNCTION("""COMPUTED_VALUE"""),146.43)</f>
        <v>146.43</v>
      </c>
      <c r="F702">
        <f t="shared" ca="1" si="85"/>
        <v>1.5604831274202561E-2</v>
      </c>
      <c r="G702">
        <f t="shared" ca="1" si="86"/>
        <v>2.1873800778466145E-2</v>
      </c>
      <c r="H702">
        <f t="shared" ca="1" si="87"/>
        <v>2.4896725720147547E-2</v>
      </c>
      <c r="I702">
        <f t="shared" ca="1" si="88"/>
        <v>1.4831242636357439E-2</v>
      </c>
      <c r="O702">
        <f t="shared" ca="1" si="89"/>
        <v>1.17111873056375</v>
      </c>
      <c r="P702">
        <f t="shared" ca="1" si="90"/>
        <v>1.4213817294494431</v>
      </c>
      <c r="Q702">
        <f t="shared" ca="1" si="91"/>
        <v>1.5425412059253085</v>
      </c>
      <c r="R702">
        <f t="shared" ca="1" si="92"/>
        <v>1.1296867767319871</v>
      </c>
    </row>
    <row r="703" spans="1:18" x14ac:dyDescent="0.3">
      <c r="A703" s="2">
        <f ca="1">IFERROR(__xludf.DUMMYFUNCTION("""COMPUTED_VALUE"""),45243.6666666666)</f>
        <v>45243.666666666599</v>
      </c>
      <c r="B703" s="1">
        <f ca="1">IFERROR(__xludf.DUMMYFUNCTION("""COMPUTED_VALUE"""),440.19)</f>
        <v>440.19</v>
      </c>
      <c r="C703" s="1">
        <f ca="1">IFERROR(__xludf.DUMMYFUNCTION("""COMPUTED_VALUE"""),184.8)</f>
        <v>184.8</v>
      </c>
      <c r="D703" s="1">
        <f ca="1">IFERROR(__xludf.DUMMYFUNCTION("""COMPUTED_VALUE"""),366.68)</f>
        <v>366.68</v>
      </c>
      <c r="E703" s="1">
        <f ca="1">IFERROR(__xludf.DUMMYFUNCTION("""COMPUTED_VALUE"""),145.78)</f>
        <v>145.78</v>
      </c>
      <c r="F703">
        <f t="shared" ca="1" si="85"/>
        <v>-9.5322393953840335E-4</v>
      </c>
      <c r="G703">
        <f t="shared" ca="1" si="86"/>
        <v>-8.5836909871244323E-3</v>
      </c>
      <c r="H703">
        <f t="shared" ca="1" si="87"/>
        <v>-8.0882949657803144E-3</v>
      </c>
      <c r="I703">
        <f t="shared" ca="1" si="88"/>
        <v>-4.438981083111423E-3</v>
      </c>
      <c r="O703">
        <f t="shared" ca="1" si="89"/>
        <v>1.1700023921537348</v>
      </c>
      <c r="P703">
        <f t="shared" ca="1" si="90"/>
        <v>1.4091810279091046</v>
      </c>
      <c r="Q703">
        <f t="shared" ca="1" si="91"/>
        <v>1.5300646776549141</v>
      </c>
      <c r="R703">
        <f t="shared" ca="1" si="92"/>
        <v>1.1246721185002326</v>
      </c>
    </row>
    <row r="704" spans="1:18" x14ac:dyDescent="0.3">
      <c r="A704" s="2">
        <f ca="1">IFERROR(__xludf.DUMMYFUNCTION("""COMPUTED_VALUE"""),45244.6666666666)</f>
        <v>45244.666666666599</v>
      </c>
      <c r="B704" s="1">
        <f ca="1">IFERROR(__xludf.DUMMYFUNCTION("""COMPUTED_VALUE"""),448.73)</f>
        <v>448.73</v>
      </c>
      <c r="C704" s="1">
        <f ca="1">IFERROR(__xludf.DUMMYFUNCTION("""COMPUTED_VALUE"""),187.44)</f>
        <v>187.44</v>
      </c>
      <c r="D704" s="1">
        <f ca="1">IFERROR(__xludf.DUMMYFUNCTION("""COMPUTED_VALUE"""),370.27)</f>
        <v>370.27</v>
      </c>
      <c r="E704" s="1">
        <f ca="1">IFERROR(__xludf.DUMMYFUNCTION("""COMPUTED_VALUE"""),148.44)</f>
        <v>148.44</v>
      </c>
      <c r="F704">
        <f t="shared" ca="1" si="85"/>
        <v>1.9400713328335539E-2</v>
      </c>
      <c r="G704">
        <f t="shared" ca="1" si="86"/>
        <v>1.4285714285714211E-2</v>
      </c>
      <c r="H704">
        <f t="shared" ca="1" si="87"/>
        <v>9.790553070797358E-3</v>
      </c>
      <c r="I704">
        <f t="shared" ca="1" si="88"/>
        <v>1.8246673069008072E-2</v>
      </c>
      <c r="O704">
        <f t="shared" ca="1" si="89"/>
        <v>1.1927012731573763</v>
      </c>
      <c r="P704">
        <f t="shared" ca="1" si="90"/>
        <v>1.4293121854506632</v>
      </c>
      <c r="Q704">
        <f t="shared" ca="1" si="91"/>
        <v>1.5450448570832469</v>
      </c>
      <c r="R704">
        <f t="shared" ca="1" si="92"/>
        <v>1.145193642956335</v>
      </c>
    </row>
    <row r="705" spans="1:18" x14ac:dyDescent="0.3">
      <c r="A705" s="2">
        <f ca="1">IFERROR(__xludf.DUMMYFUNCTION("""COMPUTED_VALUE"""),45245.6666666666)</f>
        <v>45245.666666666599</v>
      </c>
      <c r="B705" s="1">
        <f ca="1">IFERROR(__xludf.DUMMYFUNCTION("""COMPUTED_VALUE"""),449.68)</f>
        <v>449.68</v>
      </c>
      <c r="C705" s="1">
        <f ca="1">IFERROR(__xludf.DUMMYFUNCTION("""COMPUTED_VALUE"""),188.01)</f>
        <v>188.01</v>
      </c>
      <c r="D705" s="1">
        <f ca="1">IFERROR(__xludf.DUMMYFUNCTION("""COMPUTED_VALUE"""),369.67)</f>
        <v>369.67</v>
      </c>
      <c r="E705" s="1">
        <f ca="1">IFERROR(__xludf.DUMMYFUNCTION("""COMPUTED_VALUE"""),149.74)</f>
        <v>149.74</v>
      </c>
      <c r="F705">
        <f t="shared" ca="1" si="85"/>
        <v>2.1170859982617357E-3</v>
      </c>
      <c r="G705">
        <f t="shared" ca="1" si="86"/>
        <v>3.0409731113956104E-3</v>
      </c>
      <c r="H705">
        <f t="shared" ca="1" si="87"/>
        <v>-1.6204391390065788E-3</v>
      </c>
      <c r="I705">
        <f t="shared" ca="1" si="88"/>
        <v>8.7577472379413331E-3</v>
      </c>
      <c r="O705">
        <f t="shared" ca="1" si="89"/>
        <v>1.1952263243228867</v>
      </c>
      <c r="P705">
        <f t="shared" ca="1" si="90"/>
        <v>1.4336586853744087</v>
      </c>
      <c r="Q705">
        <f t="shared" ca="1" si="91"/>
        <v>1.5425412059253085</v>
      </c>
      <c r="R705">
        <f t="shared" ca="1" si="92"/>
        <v>1.155222959419844</v>
      </c>
    </row>
    <row r="706" spans="1:18" x14ac:dyDescent="0.3">
      <c r="A706" s="2">
        <f ca="1">IFERROR(__xludf.DUMMYFUNCTION("""COMPUTED_VALUE"""),45246.6666666666)</f>
        <v>45246.666666666599</v>
      </c>
      <c r="B706" s="1">
        <f ca="1">IFERROR(__xludf.DUMMYFUNCTION("""COMPUTED_VALUE"""),450.23)</f>
        <v>450.23</v>
      </c>
      <c r="C706" s="1">
        <f ca="1">IFERROR(__xludf.DUMMYFUNCTION("""COMPUTED_VALUE"""),189.71)</f>
        <v>189.71</v>
      </c>
      <c r="D706" s="1">
        <f ca="1">IFERROR(__xludf.DUMMYFUNCTION("""COMPUTED_VALUE"""),376.17)</f>
        <v>376.17</v>
      </c>
      <c r="E706" s="1">
        <f ca="1">IFERROR(__xludf.DUMMYFUNCTION("""COMPUTED_VALUE"""),151.45)</f>
        <v>151.44999999999999</v>
      </c>
      <c r="F706">
        <f t="shared" ca="1" si="85"/>
        <v>1.2230919765166594E-3</v>
      </c>
      <c r="G706">
        <f t="shared" ca="1" si="86"/>
        <v>9.042072230200612E-3</v>
      </c>
      <c r="H706">
        <f t="shared" ca="1" si="87"/>
        <v>1.7583249925609327E-2</v>
      </c>
      <c r="I706">
        <f t="shared" ca="1" si="88"/>
        <v>1.1419794310137435E-2</v>
      </c>
      <c r="O706">
        <f t="shared" ca="1" si="89"/>
        <v>1.1966881960502873</v>
      </c>
      <c r="P706">
        <f t="shared" ca="1" si="90"/>
        <v>1.4466219307610186</v>
      </c>
      <c r="Q706">
        <f t="shared" ca="1" si="91"/>
        <v>1.569664093469644</v>
      </c>
      <c r="R706">
        <f t="shared" ca="1" si="92"/>
        <v>1.168415367998767</v>
      </c>
    </row>
    <row r="707" spans="1:18" x14ac:dyDescent="0.3">
      <c r="A707" s="2">
        <f ca="1">IFERROR(__xludf.DUMMYFUNCTION("""COMPUTED_VALUE"""),45247.6666666666)</f>
        <v>45247.666666666599</v>
      </c>
      <c r="B707" s="1">
        <f ca="1">IFERROR(__xludf.DUMMYFUNCTION("""COMPUTED_VALUE"""),450.79)</f>
        <v>450.79</v>
      </c>
      <c r="C707" s="1">
        <f ca="1">IFERROR(__xludf.DUMMYFUNCTION("""COMPUTED_VALUE"""),189.69)</f>
        <v>189.69</v>
      </c>
      <c r="D707" s="1">
        <f ca="1">IFERROR(__xludf.DUMMYFUNCTION("""COMPUTED_VALUE"""),369.85)</f>
        <v>369.85</v>
      </c>
      <c r="E707" s="1">
        <f ca="1">IFERROR(__xludf.DUMMYFUNCTION("""COMPUTED_VALUE"""),152.82)</f>
        <v>152.82</v>
      </c>
      <c r="F707">
        <f t="shared" ca="1" si="85"/>
        <v>1.2438087199875669E-3</v>
      </c>
      <c r="G707">
        <f t="shared" ca="1" si="86"/>
        <v>-1.0542406831485019E-4</v>
      </c>
      <c r="H707">
        <f t="shared" ca="1" si="87"/>
        <v>-1.6800914480155232E-2</v>
      </c>
      <c r="I707">
        <f t="shared" ca="1" si="88"/>
        <v>9.0458897325850426E-3</v>
      </c>
      <c r="O707">
        <f t="shared" ca="1" si="89"/>
        <v>1.1981766472636408</v>
      </c>
      <c r="P707">
        <f t="shared" ca="1" si="90"/>
        <v>1.4464694219917644</v>
      </c>
      <c r="Q707">
        <f t="shared" ca="1" si="91"/>
        <v>1.5432923012726902</v>
      </c>
      <c r="R707">
        <f t="shared" ca="1" si="92"/>
        <v>1.1789847245795417</v>
      </c>
    </row>
    <row r="708" spans="1:18" x14ac:dyDescent="0.3">
      <c r="A708" s="2">
        <f ca="1">IFERROR(__xludf.DUMMYFUNCTION("""COMPUTED_VALUE"""),45250.6666666666)</f>
        <v>45250.666666666599</v>
      </c>
      <c r="B708" s="1">
        <f ca="1">IFERROR(__xludf.DUMMYFUNCTION("""COMPUTED_VALUE"""),454.26)</f>
        <v>454.26</v>
      </c>
      <c r="C708" s="1">
        <f ca="1">IFERROR(__xludf.DUMMYFUNCTION("""COMPUTED_VALUE"""),191.45)</f>
        <v>191.45</v>
      </c>
      <c r="D708" s="1">
        <f ca="1">IFERROR(__xludf.DUMMYFUNCTION("""COMPUTED_VALUE"""),377.44)</f>
        <v>377.44</v>
      </c>
      <c r="E708" s="1">
        <f ca="1">IFERROR(__xludf.DUMMYFUNCTION("""COMPUTED_VALUE"""),153.29)</f>
        <v>153.29</v>
      </c>
      <c r="F708">
        <f t="shared" ref="F708:F771" ca="1" si="93">(B708-B707)/B707</f>
        <v>7.6975975509660155E-3</v>
      </c>
      <c r="G708">
        <f t="shared" ref="G708:G771" ca="1" si="94">(C708-C707)/C707</f>
        <v>9.278296167431024E-3</v>
      </c>
      <c r="H708">
        <f t="shared" ref="H708:H771" ca="1" si="95">(D708-D707)/D707</f>
        <v>2.0521833175611667E-2</v>
      </c>
      <c r="I708">
        <f t="shared" ref="I708:I771" ca="1" si="96">(E708-E707)/E707</f>
        <v>3.0755136762203828E-3</v>
      </c>
      <c r="O708">
        <f t="shared" ref="O708:O771" ca="1" si="97">O707*(1+F708)</f>
        <v>1.2073997288892422</v>
      </c>
      <c r="P708">
        <f t="shared" ref="P708:P771" ca="1" si="98">P707*(1+G708)</f>
        <v>1.4598901936861366</v>
      </c>
      <c r="Q708">
        <f t="shared" ref="Q708:Q771" ca="1" si="99">Q707*(1+H708)</f>
        <v>1.5749634884206141</v>
      </c>
      <c r="R708">
        <f t="shared" ref="R708:R771" ca="1" si="100">R707*(1+I708)</f>
        <v>1.1826107082240411</v>
      </c>
    </row>
    <row r="709" spans="1:18" x14ac:dyDescent="0.3">
      <c r="A709" s="2">
        <f ca="1">IFERROR(__xludf.DUMMYFUNCTION("""COMPUTED_VALUE"""),45251.6666666666)</f>
        <v>45251.666666666599</v>
      </c>
      <c r="B709" s="1">
        <f ca="1">IFERROR(__xludf.DUMMYFUNCTION("""COMPUTED_VALUE"""),453.27)</f>
        <v>453.27</v>
      </c>
      <c r="C709" s="1">
        <f ca="1">IFERROR(__xludf.DUMMYFUNCTION("""COMPUTED_VALUE"""),190.64)</f>
        <v>190.64</v>
      </c>
      <c r="D709" s="1">
        <f ca="1">IFERROR(__xludf.DUMMYFUNCTION("""COMPUTED_VALUE"""),373.07)</f>
        <v>373.07</v>
      </c>
      <c r="E709" s="1">
        <f ca="1">IFERROR(__xludf.DUMMYFUNCTION("""COMPUTED_VALUE"""),152.97)</f>
        <v>152.97</v>
      </c>
      <c r="F709">
        <f t="shared" ca="1" si="93"/>
        <v>-2.1793686435081431E-3</v>
      </c>
      <c r="G709">
        <f t="shared" ca="1" si="94"/>
        <v>-4.230869678767314E-3</v>
      </c>
      <c r="H709">
        <f t="shared" ca="1" si="95"/>
        <v>-1.1577999152183141E-2</v>
      </c>
      <c r="I709">
        <f t="shared" ca="1" si="96"/>
        <v>-2.0875464805270613E-3</v>
      </c>
      <c r="O709">
        <f t="shared" ca="1" si="97"/>
        <v>1.2047683597799208</v>
      </c>
      <c r="P709">
        <f t="shared" ca="1" si="98"/>
        <v>1.4537135885313401</v>
      </c>
      <c r="Q709">
        <f t="shared" ca="1" si="99"/>
        <v>1.5567285624869607</v>
      </c>
      <c r="R709">
        <f t="shared" ca="1" si="100"/>
        <v>1.1801419534022544</v>
      </c>
    </row>
    <row r="710" spans="1:18" x14ac:dyDescent="0.3">
      <c r="A710" s="2">
        <f ca="1">IFERROR(__xludf.DUMMYFUNCTION("""COMPUTED_VALUE"""),45252.6666666666)</f>
        <v>45252.666666666599</v>
      </c>
      <c r="B710" s="1">
        <f ca="1">IFERROR(__xludf.DUMMYFUNCTION("""COMPUTED_VALUE"""),455.02)</f>
        <v>455.02</v>
      </c>
      <c r="C710" s="1">
        <f ca="1">IFERROR(__xludf.DUMMYFUNCTION("""COMPUTED_VALUE"""),191.31)</f>
        <v>191.31</v>
      </c>
      <c r="D710" s="1">
        <f ca="1">IFERROR(__xludf.DUMMYFUNCTION("""COMPUTED_VALUE"""),377.85)</f>
        <v>377.85</v>
      </c>
      <c r="E710" s="1">
        <f ca="1">IFERROR(__xludf.DUMMYFUNCTION("""COMPUTED_VALUE"""),153.33)</f>
        <v>153.33000000000001</v>
      </c>
      <c r="F710">
        <f t="shared" ca="1" si="93"/>
        <v>3.8608334987976262E-3</v>
      </c>
      <c r="G710">
        <f t="shared" ca="1" si="94"/>
        <v>3.514477549307679E-3</v>
      </c>
      <c r="H710">
        <f t="shared" ca="1" si="95"/>
        <v>1.2812608893773366E-2</v>
      </c>
      <c r="I710">
        <f t="shared" ca="1" si="96"/>
        <v>2.353402627966357E-3</v>
      </c>
      <c r="O710">
        <f t="shared" ca="1" si="97"/>
        <v>1.2094197698216507</v>
      </c>
      <c r="P710">
        <f t="shared" ca="1" si="98"/>
        <v>1.4588226323013571</v>
      </c>
      <c r="Q710">
        <f t="shared" ca="1" si="99"/>
        <v>1.5766743167118722</v>
      </c>
      <c r="R710">
        <f t="shared" ca="1" si="100"/>
        <v>1.1829193025767646</v>
      </c>
    </row>
    <row r="711" spans="1:18" x14ac:dyDescent="0.3">
      <c r="A711" s="2">
        <f ca="1">IFERROR(__xludf.DUMMYFUNCTION("""COMPUTED_VALUE"""),45254.5520833333)</f>
        <v>45254.552083333299</v>
      </c>
      <c r="B711" s="1">
        <f ca="1">IFERROR(__xludf.DUMMYFUNCTION("""COMPUTED_VALUE"""),455.3)</f>
        <v>455.3</v>
      </c>
      <c r="C711" s="1">
        <f ca="1">IFERROR(__xludf.DUMMYFUNCTION("""COMPUTED_VALUE"""),189.97)</f>
        <v>189.97</v>
      </c>
      <c r="D711" s="1">
        <f ca="1">IFERROR(__xludf.DUMMYFUNCTION("""COMPUTED_VALUE"""),377.43)</f>
        <v>377.43</v>
      </c>
      <c r="E711" s="1">
        <f ca="1">IFERROR(__xludf.DUMMYFUNCTION("""COMPUTED_VALUE"""),153.54)</f>
        <v>153.54</v>
      </c>
      <c r="F711">
        <f t="shared" ca="1" si="93"/>
        <v>6.1535756670042983E-4</v>
      </c>
      <c r="G711">
        <f t="shared" ca="1" si="94"/>
        <v>-7.0043385081804575E-3</v>
      </c>
      <c r="H711">
        <f t="shared" ca="1" si="95"/>
        <v>-1.1115522032553022E-3</v>
      </c>
      <c r="I711">
        <f t="shared" ca="1" si="96"/>
        <v>1.3695949911953272E-3</v>
      </c>
      <c r="O711">
        <f t="shared" ca="1" si="97"/>
        <v>1.2101639954283276</v>
      </c>
      <c r="P711">
        <f t="shared" ca="1" si="98"/>
        <v>1.4486045447613234</v>
      </c>
      <c r="Q711">
        <f t="shared" ca="1" si="99"/>
        <v>1.5749217609013151</v>
      </c>
      <c r="R711">
        <f t="shared" ca="1" si="100"/>
        <v>1.184539422928562</v>
      </c>
    </row>
    <row r="712" spans="1:18" x14ac:dyDescent="0.3">
      <c r="A712" s="2">
        <f ca="1">IFERROR(__xludf.DUMMYFUNCTION("""COMPUTED_VALUE"""),45257.6666666666)</f>
        <v>45257.666666666599</v>
      </c>
      <c r="B712" s="1">
        <f ca="1">IFERROR(__xludf.DUMMYFUNCTION("""COMPUTED_VALUE"""),454.48)</f>
        <v>454.48</v>
      </c>
      <c r="C712" s="1">
        <f ca="1">IFERROR(__xludf.DUMMYFUNCTION("""COMPUTED_VALUE"""),189.79)</f>
        <v>189.79</v>
      </c>
      <c r="D712" s="1">
        <f ca="1">IFERROR(__xludf.DUMMYFUNCTION("""COMPUTED_VALUE"""),378.61)</f>
        <v>378.61</v>
      </c>
      <c r="E712" s="1">
        <f ca="1">IFERROR(__xludf.DUMMYFUNCTION("""COMPUTED_VALUE"""),153.19)</f>
        <v>153.19</v>
      </c>
      <c r="F712">
        <f t="shared" ca="1" si="93"/>
        <v>-1.8010103228640307E-3</v>
      </c>
      <c r="G712">
        <f t="shared" ca="1" si="94"/>
        <v>-9.4751802916253529E-4</v>
      </c>
      <c r="H712">
        <f t="shared" ca="1" si="95"/>
        <v>3.1264075457700948E-3</v>
      </c>
      <c r="I712">
        <f t="shared" ca="1" si="96"/>
        <v>-2.2795362771915744E-3</v>
      </c>
      <c r="O712">
        <f t="shared" ca="1" si="97"/>
        <v>1.2079844775802029</v>
      </c>
      <c r="P712">
        <f t="shared" ca="1" si="98"/>
        <v>1.4472319658380353</v>
      </c>
      <c r="Q712">
        <f t="shared" ca="1" si="99"/>
        <v>1.5798456081785945</v>
      </c>
      <c r="R712">
        <f t="shared" ca="1" si="100"/>
        <v>1.1818392223422327</v>
      </c>
    </row>
    <row r="713" spans="1:18" x14ac:dyDescent="0.3">
      <c r="A713" s="2">
        <f ca="1">IFERROR(__xludf.DUMMYFUNCTION("""COMPUTED_VALUE"""),45258.6666666666)</f>
        <v>45258.666666666599</v>
      </c>
      <c r="B713" s="1">
        <f ca="1">IFERROR(__xludf.DUMMYFUNCTION("""COMPUTED_VALUE"""),454.93)</f>
        <v>454.93</v>
      </c>
      <c r="C713" s="1">
        <f ca="1">IFERROR(__xludf.DUMMYFUNCTION("""COMPUTED_VALUE"""),190.4)</f>
        <v>190.4</v>
      </c>
      <c r="D713" s="1">
        <f ca="1">IFERROR(__xludf.DUMMYFUNCTION("""COMPUTED_VALUE"""),382.7)</f>
        <v>382.7</v>
      </c>
      <c r="E713" s="1">
        <f ca="1">IFERROR(__xludf.DUMMYFUNCTION("""COMPUTED_VALUE"""),153.54)</f>
        <v>153.54</v>
      </c>
      <c r="F713">
        <f t="shared" ca="1" si="93"/>
        <v>9.9014258053157144E-4</v>
      </c>
      <c r="G713">
        <f t="shared" ca="1" si="94"/>
        <v>3.2140787185837697E-3</v>
      </c>
      <c r="H713">
        <f t="shared" ca="1" si="95"/>
        <v>1.0802672935210308E-2</v>
      </c>
      <c r="I713">
        <f t="shared" ca="1" si="96"/>
        <v>2.2847444350153033E-3</v>
      </c>
      <c r="O713">
        <f t="shared" ca="1" si="97"/>
        <v>1.2091805544480763</v>
      </c>
      <c r="P713">
        <f t="shared" ca="1" si="98"/>
        <v>1.4518834833002894</v>
      </c>
      <c r="Q713">
        <f t="shared" ca="1" si="99"/>
        <v>1.5969121635718762</v>
      </c>
      <c r="R713">
        <f t="shared" ca="1" si="100"/>
        <v>1.184539422928562</v>
      </c>
    </row>
    <row r="714" spans="1:18" x14ac:dyDescent="0.3">
      <c r="A714" s="2">
        <f ca="1">IFERROR(__xludf.DUMMYFUNCTION("""COMPUTED_VALUE"""),45259.6666666666)</f>
        <v>45259.666666666599</v>
      </c>
      <c r="B714" s="1">
        <f ca="1">IFERROR(__xludf.DUMMYFUNCTION("""COMPUTED_VALUE"""),454.61)</f>
        <v>454.61</v>
      </c>
      <c r="C714" s="1">
        <f ca="1">IFERROR(__xludf.DUMMYFUNCTION("""COMPUTED_VALUE"""),189.37)</f>
        <v>189.37</v>
      </c>
      <c r="D714" s="1">
        <f ca="1">IFERROR(__xludf.DUMMYFUNCTION("""COMPUTED_VALUE"""),378.85)</f>
        <v>378.85</v>
      </c>
      <c r="E714" s="1">
        <f ca="1">IFERROR(__xludf.DUMMYFUNCTION("""COMPUTED_VALUE"""),154.32)</f>
        <v>154.32</v>
      </c>
      <c r="F714">
        <f t="shared" ca="1" si="93"/>
        <v>-7.0340491943814035E-4</v>
      </c>
      <c r="G714">
        <f t="shared" ca="1" si="94"/>
        <v>-5.4096638655462244E-3</v>
      </c>
      <c r="H714">
        <f t="shared" ca="1" si="95"/>
        <v>-1.0060099294486454E-2</v>
      </c>
      <c r="I714">
        <f t="shared" ca="1" si="96"/>
        <v>5.0801094177413131E-3</v>
      </c>
      <c r="O714">
        <f t="shared" ca="1" si="97"/>
        <v>1.2083300108975885</v>
      </c>
      <c r="P714">
        <f t="shared" ca="1" si="98"/>
        <v>1.4440292816836964</v>
      </c>
      <c r="Q714">
        <f t="shared" ca="1" si="99"/>
        <v>1.5808470686417699</v>
      </c>
      <c r="R714">
        <f t="shared" ca="1" si="100"/>
        <v>1.1905570128066671</v>
      </c>
    </row>
    <row r="715" spans="1:18" x14ac:dyDescent="0.3">
      <c r="A715" s="2">
        <f ca="1">IFERROR(__xludf.DUMMYFUNCTION("""COMPUTED_VALUE"""),45260.6666666666)</f>
        <v>45260.666666666599</v>
      </c>
      <c r="B715" s="1">
        <f ca="1">IFERROR(__xludf.DUMMYFUNCTION("""COMPUTED_VALUE"""),456.4)</f>
        <v>456.4</v>
      </c>
      <c r="C715" s="1">
        <f ca="1">IFERROR(__xludf.DUMMYFUNCTION("""COMPUTED_VALUE"""),189.95)</f>
        <v>189.95</v>
      </c>
      <c r="D715" s="1">
        <f ca="1">IFERROR(__xludf.DUMMYFUNCTION("""COMPUTED_VALUE"""),378.91)</f>
        <v>378.91</v>
      </c>
      <c r="E715" s="1">
        <f ca="1">IFERROR(__xludf.DUMMYFUNCTION("""COMPUTED_VALUE"""),156.08)</f>
        <v>156.08000000000001</v>
      </c>
      <c r="F715">
        <f t="shared" ca="1" si="93"/>
        <v>3.9374408833944777E-3</v>
      </c>
      <c r="G715">
        <f t="shared" ca="1" si="94"/>
        <v>3.0627871362939436E-3</v>
      </c>
      <c r="H715">
        <f t="shared" ca="1" si="95"/>
        <v>1.5837402665963381E-4</v>
      </c>
      <c r="I715">
        <f t="shared" ca="1" si="96"/>
        <v>1.1404872991187269E-2</v>
      </c>
      <c r="O715">
        <f t="shared" ca="1" si="97"/>
        <v>1.2130877388831292</v>
      </c>
      <c r="P715">
        <f t="shared" ca="1" si="98"/>
        <v>1.4484520359920692</v>
      </c>
      <c r="Q715">
        <f t="shared" ca="1" si="99"/>
        <v>1.5810974337575636</v>
      </c>
      <c r="R715">
        <f t="shared" ca="1" si="100"/>
        <v>1.2041351643264946</v>
      </c>
    </row>
    <row r="716" spans="1:18" x14ac:dyDescent="0.3">
      <c r="A716" s="2">
        <f ca="1">IFERROR(__xludf.DUMMYFUNCTION("""COMPUTED_VALUE"""),45261.6666666666)</f>
        <v>45261.666666666599</v>
      </c>
      <c r="B716" s="1">
        <f ca="1">IFERROR(__xludf.DUMMYFUNCTION("""COMPUTED_VALUE"""),459.1)</f>
        <v>459.1</v>
      </c>
      <c r="C716" s="1">
        <f ca="1">IFERROR(__xludf.DUMMYFUNCTION("""COMPUTED_VALUE"""),191.24)</f>
        <v>191.24</v>
      </c>
      <c r="D716" s="1">
        <f ca="1">IFERROR(__xludf.DUMMYFUNCTION("""COMPUTED_VALUE"""),374.51)</f>
        <v>374.51</v>
      </c>
      <c r="E716" s="1">
        <f ca="1">IFERROR(__xludf.DUMMYFUNCTION("""COMPUTED_VALUE"""),156.84)</f>
        <v>156.84</v>
      </c>
      <c r="F716">
        <f t="shared" ca="1" si="93"/>
        <v>5.9158632778265677E-3</v>
      </c>
      <c r="G716">
        <f t="shared" ca="1" si="94"/>
        <v>6.791260858120666E-3</v>
      </c>
      <c r="H716">
        <f t="shared" ca="1" si="95"/>
        <v>-1.1612256208598437E-2</v>
      </c>
      <c r="I716">
        <f t="shared" ca="1" si="96"/>
        <v>4.8692977960019916E-3</v>
      </c>
      <c r="O716">
        <f t="shared" ca="1" si="97"/>
        <v>1.2202642000903696</v>
      </c>
      <c r="P716">
        <f t="shared" ca="1" si="98"/>
        <v>1.4582888516089674</v>
      </c>
      <c r="Q716">
        <f t="shared" ca="1" si="99"/>
        <v>1.5627373252660133</v>
      </c>
      <c r="R716">
        <f t="shared" ca="1" si="100"/>
        <v>1.2099984570282383</v>
      </c>
    </row>
    <row r="717" spans="1:18" x14ac:dyDescent="0.3">
      <c r="A717" s="2">
        <f ca="1">IFERROR(__xludf.DUMMYFUNCTION("""COMPUTED_VALUE"""),45264.6666666666)</f>
        <v>45264.666666666599</v>
      </c>
      <c r="B717" s="1">
        <f ca="1">IFERROR(__xludf.DUMMYFUNCTION("""COMPUTED_VALUE"""),456.69)</f>
        <v>456.69</v>
      </c>
      <c r="C717" s="1">
        <f ca="1">IFERROR(__xludf.DUMMYFUNCTION("""COMPUTED_VALUE"""),189.43)</f>
        <v>189.43</v>
      </c>
      <c r="D717" s="1">
        <f ca="1">IFERROR(__xludf.DUMMYFUNCTION("""COMPUTED_VALUE"""),369.14)</f>
        <v>369.14</v>
      </c>
      <c r="E717" s="1">
        <f ca="1">IFERROR(__xludf.DUMMYFUNCTION("""COMPUTED_VALUE"""),157.99)</f>
        <v>157.99</v>
      </c>
      <c r="F717">
        <f t="shared" ca="1" si="93"/>
        <v>-5.2494010019604118E-3</v>
      </c>
      <c r="G717">
        <f t="shared" ca="1" si="94"/>
        <v>-9.4645471658648932E-3</v>
      </c>
      <c r="H717">
        <f t="shared" ca="1" si="95"/>
        <v>-1.4338735948305798E-2</v>
      </c>
      <c r="I717">
        <f t="shared" ca="1" si="96"/>
        <v>7.3323131854119211E-3</v>
      </c>
      <c r="O717">
        <f t="shared" ca="1" si="97"/>
        <v>1.2138585439757588</v>
      </c>
      <c r="P717">
        <f t="shared" ca="1" si="98"/>
        <v>1.4444868079914595</v>
      </c>
      <c r="Q717">
        <f t="shared" ca="1" si="99"/>
        <v>1.5403296474024621</v>
      </c>
      <c r="R717">
        <f t="shared" ca="1" si="100"/>
        <v>1.2188705446690344</v>
      </c>
    </row>
    <row r="718" spans="1:18" x14ac:dyDescent="0.3">
      <c r="A718" s="2">
        <f ca="1">IFERROR(__xludf.DUMMYFUNCTION("""COMPUTED_VALUE"""),45265.6666666666)</f>
        <v>45265.666666666599</v>
      </c>
      <c r="B718" s="1">
        <f ca="1">IFERROR(__xludf.DUMMYFUNCTION("""COMPUTED_VALUE"""),456.6)</f>
        <v>456.6</v>
      </c>
      <c r="C718" s="1">
        <f ca="1">IFERROR(__xludf.DUMMYFUNCTION("""COMPUTED_VALUE"""),193.42)</f>
        <v>193.42</v>
      </c>
      <c r="D718" s="1">
        <f ca="1">IFERROR(__xludf.DUMMYFUNCTION("""COMPUTED_VALUE"""),372.52)</f>
        <v>372.52</v>
      </c>
      <c r="E718" s="1">
        <f ca="1">IFERROR(__xludf.DUMMYFUNCTION("""COMPUTED_VALUE"""),157.97)</f>
        <v>157.97</v>
      </c>
      <c r="F718">
        <f t="shared" ca="1" si="93"/>
        <v>-1.9707022268929686E-4</v>
      </c>
      <c r="G718">
        <f t="shared" ca="1" si="94"/>
        <v>2.1063189568706016E-2</v>
      </c>
      <c r="H718">
        <f t="shared" ca="1" si="95"/>
        <v>9.1564176193314074E-3</v>
      </c>
      <c r="I718">
        <f t="shared" ca="1" si="96"/>
        <v>-1.265902905247815E-4</v>
      </c>
      <c r="O718">
        <f t="shared" ca="1" si="97"/>
        <v>1.2136193286021841</v>
      </c>
      <c r="P718">
        <f t="shared" ca="1" si="98"/>
        <v>1.4749123074576789</v>
      </c>
      <c r="Q718">
        <f t="shared" ca="1" si="99"/>
        <v>1.5544335489255168</v>
      </c>
      <c r="R718">
        <f t="shared" ca="1" si="100"/>
        <v>1.2187162474926727</v>
      </c>
    </row>
    <row r="719" spans="1:18" x14ac:dyDescent="0.3">
      <c r="A719" s="2">
        <f ca="1">IFERROR(__xludf.DUMMYFUNCTION("""COMPUTED_VALUE"""),45266.6666666666)</f>
        <v>45266.666666666599</v>
      </c>
      <c r="B719" s="1">
        <f ca="1">IFERROR(__xludf.DUMMYFUNCTION("""COMPUTED_VALUE"""),454.76)</f>
        <v>454.76</v>
      </c>
      <c r="C719" s="1">
        <f ca="1">IFERROR(__xludf.DUMMYFUNCTION("""COMPUTED_VALUE"""),192.32)</f>
        <v>192.32</v>
      </c>
      <c r="D719" s="1">
        <f ca="1">IFERROR(__xludf.DUMMYFUNCTION("""COMPUTED_VALUE"""),368.8)</f>
        <v>368.8</v>
      </c>
      <c r="E719" s="1">
        <f ca="1">IFERROR(__xludf.DUMMYFUNCTION("""COMPUTED_VALUE"""),156.31)</f>
        <v>156.31</v>
      </c>
      <c r="F719">
        <f t="shared" ca="1" si="93"/>
        <v>-4.0297853701270958E-3</v>
      </c>
      <c r="G719">
        <f t="shared" ca="1" si="94"/>
        <v>-5.6871057801674823E-3</v>
      </c>
      <c r="H719">
        <f t="shared" ca="1" si="95"/>
        <v>-9.9860410179318446E-3</v>
      </c>
      <c r="I719">
        <f t="shared" ca="1" si="96"/>
        <v>-1.0508324365385811E-2</v>
      </c>
      <c r="O719">
        <f t="shared" ca="1" si="97"/>
        <v>1.2087287031868796</v>
      </c>
      <c r="P719">
        <f t="shared" ca="1" si="98"/>
        <v>1.4665243251486961</v>
      </c>
      <c r="Q719">
        <f t="shared" ca="1" si="99"/>
        <v>1.5389109117462971</v>
      </c>
      <c r="R719">
        <f t="shared" ca="1" si="100"/>
        <v>1.2059095818546539</v>
      </c>
    </row>
    <row r="720" spans="1:18" x14ac:dyDescent="0.3">
      <c r="A720" s="2">
        <f ca="1">IFERROR(__xludf.DUMMYFUNCTION("""COMPUTED_VALUE"""),45267.6666666666)</f>
        <v>45267.666666666599</v>
      </c>
      <c r="B720" s="1">
        <f ca="1">IFERROR(__xludf.DUMMYFUNCTION("""COMPUTED_VALUE"""),458.23)</f>
        <v>458.23</v>
      </c>
      <c r="C720" s="1">
        <f ca="1">IFERROR(__xludf.DUMMYFUNCTION("""COMPUTED_VALUE"""),194.27)</f>
        <v>194.27</v>
      </c>
      <c r="D720" s="1">
        <f ca="1">IFERROR(__xludf.DUMMYFUNCTION("""COMPUTED_VALUE"""),370.95)</f>
        <v>370.95</v>
      </c>
      <c r="E720" s="1">
        <f ca="1">IFERROR(__xludf.DUMMYFUNCTION("""COMPUTED_VALUE"""),156.79)</f>
        <v>156.79</v>
      </c>
      <c r="F720">
        <f t="shared" ca="1" si="93"/>
        <v>7.6303984519307489E-3</v>
      </c>
      <c r="G720">
        <f t="shared" ca="1" si="94"/>
        <v>1.0139351081530872E-2</v>
      </c>
      <c r="H720">
        <f t="shared" ca="1" si="95"/>
        <v>5.8297180043383329E-3</v>
      </c>
      <c r="I720">
        <f t="shared" ca="1" si="96"/>
        <v>3.0708208048108869E-3</v>
      </c>
      <c r="O720">
        <f t="shared" ca="1" si="97"/>
        <v>1.2179517848124812</v>
      </c>
      <c r="P720">
        <f t="shared" ca="1" si="98"/>
        <v>1.481393930150984</v>
      </c>
      <c r="Q720">
        <f t="shared" ca="1" si="99"/>
        <v>1.5478823283955772</v>
      </c>
      <c r="R720">
        <f t="shared" ca="1" si="100"/>
        <v>1.2096127140873341</v>
      </c>
    </row>
    <row r="721" spans="1:18" x14ac:dyDescent="0.3">
      <c r="A721" s="2">
        <f ca="1">IFERROR(__xludf.DUMMYFUNCTION("""COMPUTED_VALUE"""),45268.6666666666)</f>
        <v>45268.666666666599</v>
      </c>
      <c r="B721" s="1">
        <f ca="1">IFERROR(__xludf.DUMMYFUNCTION("""COMPUTED_VALUE"""),460.2)</f>
        <v>460.2</v>
      </c>
      <c r="C721" s="1">
        <f ca="1">IFERROR(__xludf.DUMMYFUNCTION("""COMPUTED_VALUE"""),195.71)</f>
        <v>195.71</v>
      </c>
      <c r="D721" s="1">
        <f ca="1">IFERROR(__xludf.DUMMYFUNCTION("""COMPUTED_VALUE"""),374.23)</f>
        <v>374.23</v>
      </c>
      <c r="E721" s="1">
        <f ca="1">IFERROR(__xludf.DUMMYFUNCTION("""COMPUTED_VALUE"""),158.52)</f>
        <v>158.52000000000001</v>
      </c>
      <c r="F721">
        <f t="shared" ca="1" si="93"/>
        <v>4.2991510813346363E-3</v>
      </c>
      <c r="G721">
        <f t="shared" ca="1" si="94"/>
        <v>7.4123642353425521E-3</v>
      </c>
      <c r="H721">
        <f t="shared" ca="1" si="95"/>
        <v>8.8421620164443448E-3</v>
      </c>
      <c r="I721">
        <f t="shared" ca="1" si="96"/>
        <v>1.1033866955800869E-2</v>
      </c>
      <c r="O721">
        <f t="shared" ca="1" si="97"/>
        <v>1.2231879435451711</v>
      </c>
      <c r="P721">
        <f t="shared" ca="1" si="98"/>
        <v>1.4923745615372885</v>
      </c>
      <c r="Q721">
        <f t="shared" ca="1" si="99"/>
        <v>1.5615689547256419</v>
      </c>
      <c r="R721">
        <f t="shared" ca="1" si="100"/>
        <v>1.2229594198426188</v>
      </c>
    </row>
    <row r="722" spans="1:18" x14ac:dyDescent="0.3">
      <c r="A722" s="2">
        <f ca="1">IFERROR(__xludf.DUMMYFUNCTION("""COMPUTED_VALUE"""),45271.6666666666)</f>
        <v>45271.666666666599</v>
      </c>
      <c r="B722" s="1">
        <f ca="1">IFERROR(__xludf.DUMMYFUNCTION("""COMPUTED_VALUE"""),461.99)</f>
        <v>461.99</v>
      </c>
      <c r="C722" s="1">
        <f ca="1">IFERROR(__xludf.DUMMYFUNCTION("""COMPUTED_VALUE"""),193.18)</f>
        <v>193.18</v>
      </c>
      <c r="D722" s="1">
        <f ca="1">IFERROR(__xludf.DUMMYFUNCTION("""COMPUTED_VALUE"""),371.3)</f>
        <v>371.3</v>
      </c>
      <c r="E722" s="1">
        <f ca="1">IFERROR(__xludf.DUMMYFUNCTION("""COMPUTED_VALUE"""),159.1)</f>
        <v>159.1</v>
      </c>
      <c r="F722">
        <f t="shared" ca="1" si="93"/>
        <v>3.8896132116471543E-3</v>
      </c>
      <c r="G722">
        <f t="shared" ca="1" si="94"/>
        <v>-1.2927290378621436E-2</v>
      </c>
      <c r="H722">
        <f t="shared" ca="1" si="95"/>
        <v>-7.8294097212944086E-3</v>
      </c>
      <c r="I722">
        <f t="shared" ca="1" si="96"/>
        <v>3.6588443098661623E-3</v>
      </c>
      <c r="O722">
        <f t="shared" ca="1" si="97"/>
        <v>1.2279456715307118</v>
      </c>
      <c r="P722">
        <f t="shared" ca="1" si="98"/>
        <v>1.4730822022266283</v>
      </c>
      <c r="Q722">
        <f t="shared" ca="1" si="99"/>
        <v>1.5493427915710414</v>
      </c>
      <c r="R722">
        <f t="shared" ca="1" si="100"/>
        <v>1.2274340379571071</v>
      </c>
    </row>
    <row r="723" spans="1:18" x14ac:dyDescent="0.3">
      <c r="A723" s="2">
        <f ca="1">IFERROR(__xludf.DUMMYFUNCTION("""COMPUTED_VALUE"""),45272.6666666666)</f>
        <v>45272.666666666599</v>
      </c>
      <c r="B723" s="1">
        <f ca="1">IFERROR(__xludf.DUMMYFUNCTION("""COMPUTED_VALUE"""),464.1)</f>
        <v>464.1</v>
      </c>
      <c r="C723" s="1">
        <f ca="1">IFERROR(__xludf.DUMMYFUNCTION("""COMPUTED_VALUE"""),194.71)</f>
        <v>194.71</v>
      </c>
      <c r="D723" s="1">
        <f ca="1">IFERROR(__xludf.DUMMYFUNCTION("""COMPUTED_VALUE"""),374.38)</f>
        <v>374.38</v>
      </c>
      <c r="E723" s="1">
        <f ca="1">IFERROR(__xludf.DUMMYFUNCTION("""COMPUTED_VALUE"""),160.52)</f>
        <v>160.52000000000001</v>
      </c>
      <c r="F723">
        <f t="shared" ca="1" si="93"/>
        <v>4.5671984242083453E-3</v>
      </c>
      <c r="G723">
        <f t="shared" ca="1" si="94"/>
        <v>7.9200745418780468E-3</v>
      </c>
      <c r="H723">
        <f t="shared" ca="1" si="95"/>
        <v>8.2951791004578085E-3</v>
      </c>
      <c r="I723">
        <f t="shared" ca="1" si="96"/>
        <v>8.9252042740415836E-3</v>
      </c>
      <c r="O723">
        <f t="shared" ca="1" si="97"/>
        <v>1.2335539430667404</v>
      </c>
      <c r="P723">
        <f t="shared" ca="1" si="98"/>
        <v>1.4847491230745773</v>
      </c>
      <c r="Q723">
        <f t="shared" ca="1" si="99"/>
        <v>1.5621948675151263</v>
      </c>
      <c r="R723">
        <f t="shared" ca="1" si="100"/>
        <v>1.2383891374787859</v>
      </c>
    </row>
    <row r="724" spans="1:18" x14ac:dyDescent="0.3">
      <c r="A724" s="2">
        <f ca="1">IFERROR(__xludf.DUMMYFUNCTION("""COMPUTED_VALUE"""),45273.6666666666)</f>
        <v>45273.666666666599</v>
      </c>
      <c r="B724" s="1">
        <f ca="1">IFERROR(__xludf.DUMMYFUNCTION("""COMPUTED_VALUE"""),470.5)</f>
        <v>470.5</v>
      </c>
      <c r="C724" s="1">
        <f ca="1">IFERROR(__xludf.DUMMYFUNCTION("""COMPUTED_VALUE"""),197.96)</f>
        <v>197.96</v>
      </c>
      <c r="D724" s="1">
        <f ca="1">IFERROR(__xludf.DUMMYFUNCTION("""COMPUTED_VALUE"""),374.37)</f>
        <v>374.37</v>
      </c>
      <c r="E724" s="1">
        <f ca="1">IFERROR(__xludf.DUMMYFUNCTION("""COMPUTED_VALUE"""),161.06)</f>
        <v>161.06</v>
      </c>
      <c r="F724">
        <f t="shared" ca="1" si="93"/>
        <v>1.3790131437190212E-2</v>
      </c>
      <c r="G724">
        <f t="shared" ca="1" si="94"/>
        <v>1.6691489908068409E-2</v>
      </c>
      <c r="H724">
        <f t="shared" ca="1" si="95"/>
        <v>-2.6710828569877944E-5</v>
      </c>
      <c r="I724">
        <f t="shared" ca="1" si="96"/>
        <v>3.3640667829553453E-3</v>
      </c>
      <c r="O724">
        <f t="shared" ca="1" si="97"/>
        <v>1.2505648140764949</v>
      </c>
      <c r="P724">
        <f t="shared" ca="1" si="98"/>
        <v>1.50953179807839</v>
      </c>
      <c r="Q724">
        <f t="shared" ca="1" si="99"/>
        <v>1.5621531399958273</v>
      </c>
      <c r="R724">
        <f t="shared" ca="1" si="100"/>
        <v>1.242555161240551</v>
      </c>
    </row>
    <row r="725" spans="1:18" x14ac:dyDescent="0.3">
      <c r="A725" s="2">
        <f ca="1">IFERROR(__xludf.DUMMYFUNCTION("""COMPUTED_VALUE"""),45274.6666666666)</f>
        <v>45274.666666666599</v>
      </c>
      <c r="B725" s="1">
        <f ca="1">IFERROR(__xludf.DUMMYFUNCTION("""COMPUTED_VALUE"""),472.01)</f>
        <v>472.01</v>
      </c>
      <c r="C725" s="1">
        <f ca="1">IFERROR(__xludf.DUMMYFUNCTION("""COMPUTED_VALUE"""),198.11)</f>
        <v>198.11</v>
      </c>
      <c r="D725" s="1">
        <f ca="1">IFERROR(__xludf.DUMMYFUNCTION("""COMPUTED_VALUE"""),365.93)</f>
        <v>365.93</v>
      </c>
      <c r="E725" s="1">
        <f ca="1">IFERROR(__xludf.DUMMYFUNCTION("""COMPUTED_VALUE"""),163.99)</f>
        <v>163.99</v>
      </c>
      <c r="F725">
        <f t="shared" ca="1" si="93"/>
        <v>3.2093517534537534E-3</v>
      </c>
      <c r="G725">
        <f t="shared" ca="1" si="94"/>
        <v>7.5772883410792926E-4</v>
      </c>
      <c r="H725">
        <f t="shared" ca="1" si="95"/>
        <v>-2.254454149638058E-2</v>
      </c>
      <c r="I725">
        <f t="shared" ca="1" si="96"/>
        <v>1.8191978144790802E-2</v>
      </c>
      <c r="O725">
        <f t="shared" ca="1" si="97"/>
        <v>1.2545783164553588</v>
      </c>
      <c r="P725">
        <f t="shared" ca="1" si="98"/>
        <v>1.5106756138477966</v>
      </c>
      <c r="Q725">
        <f t="shared" ca="1" si="99"/>
        <v>1.52693511370749</v>
      </c>
      <c r="R725">
        <f t="shared" ca="1" si="100"/>
        <v>1.2651596975775361</v>
      </c>
    </row>
    <row r="726" spans="1:18" x14ac:dyDescent="0.3">
      <c r="A726" s="2">
        <f ca="1">IFERROR(__xludf.DUMMYFUNCTION("""COMPUTED_VALUE"""),45275.6666666666)</f>
        <v>45275.666666666599</v>
      </c>
      <c r="B726" s="1">
        <f ca="1">IFERROR(__xludf.DUMMYFUNCTION("""COMPUTED_VALUE"""),469.33)</f>
        <v>469.33</v>
      </c>
      <c r="C726" s="1">
        <f ca="1">IFERROR(__xludf.DUMMYFUNCTION("""COMPUTED_VALUE"""),197.57)</f>
        <v>197.57</v>
      </c>
      <c r="D726" s="1">
        <f ca="1">IFERROR(__xludf.DUMMYFUNCTION("""COMPUTED_VALUE"""),370.73)</f>
        <v>370.73</v>
      </c>
      <c r="E726" s="1">
        <f ca="1">IFERROR(__xludf.DUMMYFUNCTION("""COMPUTED_VALUE"""),165.23)</f>
        <v>165.23</v>
      </c>
      <c r="F726">
        <f t="shared" ca="1" si="93"/>
        <v>-5.6778458083515324E-3</v>
      </c>
      <c r="G726">
        <f t="shared" ca="1" si="94"/>
        <v>-2.7257584170411408E-3</v>
      </c>
      <c r="H726">
        <f t="shared" ca="1" si="95"/>
        <v>1.311726286448231E-2</v>
      </c>
      <c r="I726">
        <f t="shared" ca="1" si="96"/>
        <v>7.5614366729677453E-3</v>
      </c>
      <c r="O726">
        <f t="shared" ca="1" si="97"/>
        <v>1.247455014220024</v>
      </c>
      <c r="P726">
        <f t="shared" ca="1" si="98"/>
        <v>1.5065578770779322</v>
      </c>
      <c r="Q726">
        <f t="shared" ca="1" si="99"/>
        <v>1.5469643229709993</v>
      </c>
      <c r="R726">
        <f t="shared" ca="1" si="100"/>
        <v>1.2747261225119597</v>
      </c>
    </row>
    <row r="727" spans="1:18" x14ac:dyDescent="0.3">
      <c r="A727" s="2">
        <f ca="1">IFERROR(__xludf.DUMMYFUNCTION("""COMPUTED_VALUE"""),45278.6666666666)</f>
        <v>45278.666666666599</v>
      </c>
      <c r="B727" s="1">
        <f ca="1">IFERROR(__xludf.DUMMYFUNCTION("""COMPUTED_VALUE"""),471.97)</f>
        <v>471.97</v>
      </c>
      <c r="C727" s="1">
        <f ca="1">IFERROR(__xludf.DUMMYFUNCTION("""COMPUTED_VALUE"""),195.89)</f>
        <v>195.89</v>
      </c>
      <c r="D727" s="1">
        <f ca="1">IFERROR(__xludf.DUMMYFUNCTION("""COMPUTED_VALUE"""),372.65)</f>
        <v>372.65</v>
      </c>
      <c r="E727" s="1">
        <f ca="1">IFERROR(__xludf.DUMMYFUNCTION("""COMPUTED_VALUE"""),166.23)</f>
        <v>166.23</v>
      </c>
      <c r="F727">
        <f t="shared" ca="1" si="93"/>
        <v>5.6250399505679231E-3</v>
      </c>
      <c r="G727">
        <f t="shared" ca="1" si="94"/>
        <v>-8.5033152806600534E-3</v>
      </c>
      <c r="H727">
        <f t="shared" ca="1" si="95"/>
        <v>5.1789712189462926E-3</v>
      </c>
      <c r="I727">
        <f t="shared" ca="1" si="96"/>
        <v>6.0521697028384676E-3</v>
      </c>
      <c r="O727">
        <f t="shared" ca="1" si="97"/>
        <v>1.254471998511548</v>
      </c>
      <c r="P727">
        <f t="shared" ca="1" si="98"/>
        <v>1.4937471404605767</v>
      </c>
      <c r="Q727">
        <f t="shared" ca="1" si="99"/>
        <v>1.5549760066764029</v>
      </c>
      <c r="R727">
        <f t="shared" ca="1" si="100"/>
        <v>1.2824409813300433</v>
      </c>
    </row>
    <row r="728" spans="1:18" x14ac:dyDescent="0.3">
      <c r="A728" s="2">
        <f ca="1">IFERROR(__xludf.DUMMYFUNCTION("""COMPUTED_VALUE"""),45279.6666666666)</f>
        <v>45279.666666666599</v>
      </c>
      <c r="B728" s="1">
        <f ca="1">IFERROR(__xludf.DUMMYFUNCTION("""COMPUTED_VALUE"""),474.84)</f>
        <v>474.84</v>
      </c>
      <c r="C728" s="1">
        <f ca="1">IFERROR(__xludf.DUMMYFUNCTION("""COMPUTED_VALUE"""),196.94)</f>
        <v>196.94</v>
      </c>
      <c r="D728" s="1">
        <f ca="1">IFERROR(__xludf.DUMMYFUNCTION("""COMPUTED_VALUE"""),373.26)</f>
        <v>373.26</v>
      </c>
      <c r="E728" s="1">
        <f ca="1">IFERROR(__xludf.DUMMYFUNCTION("""COMPUTED_VALUE"""),168.45)</f>
        <v>168.45</v>
      </c>
      <c r="F728">
        <f t="shared" ca="1" si="93"/>
        <v>6.0808949721379481E-3</v>
      </c>
      <c r="G728">
        <f t="shared" ca="1" si="94"/>
        <v>5.3601511052121676E-3</v>
      </c>
      <c r="H728">
        <f t="shared" ca="1" si="95"/>
        <v>1.6369247282973667E-3</v>
      </c>
      <c r="I728">
        <f t="shared" ca="1" si="96"/>
        <v>1.3354990073993859E-2</v>
      </c>
      <c r="O728">
        <f t="shared" ca="1" si="97"/>
        <v>1.2621003109799849</v>
      </c>
      <c r="P728">
        <f t="shared" ca="1" si="98"/>
        <v>1.5017538508464239</v>
      </c>
      <c r="Q728">
        <f t="shared" ca="1" si="99"/>
        <v>1.5575213853536407</v>
      </c>
      <c r="R728">
        <f t="shared" ca="1" si="100"/>
        <v>1.2995679679061889</v>
      </c>
    </row>
    <row r="729" spans="1:18" x14ac:dyDescent="0.3">
      <c r="A729" s="2">
        <f ca="1">IFERROR(__xludf.DUMMYFUNCTION("""COMPUTED_VALUE"""),45280.6666666666)</f>
        <v>45280.666666666599</v>
      </c>
      <c r="B729" s="1">
        <f ca="1">IFERROR(__xludf.DUMMYFUNCTION("""COMPUTED_VALUE"""),468.26)</f>
        <v>468.26</v>
      </c>
      <c r="C729" s="1">
        <f ca="1">IFERROR(__xludf.DUMMYFUNCTION("""COMPUTED_VALUE"""),194.83)</f>
        <v>194.83</v>
      </c>
      <c r="D729" s="1">
        <f ca="1">IFERROR(__xludf.DUMMYFUNCTION("""COMPUTED_VALUE"""),370.62)</f>
        <v>370.62</v>
      </c>
      <c r="E729" s="1">
        <f ca="1">IFERROR(__xludf.DUMMYFUNCTION("""COMPUTED_VALUE"""),166.55)</f>
        <v>166.55</v>
      </c>
      <c r="F729">
        <f t="shared" ca="1" si="93"/>
        <v>-1.3857299300817085E-2</v>
      </c>
      <c r="G729">
        <f t="shared" ca="1" si="94"/>
        <v>-1.0713923022240201E-2</v>
      </c>
      <c r="H729">
        <f t="shared" ca="1" si="95"/>
        <v>-7.0728178749396835E-3</v>
      </c>
      <c r="I729">
        <f t="shared" ca="1" si="96"/>
        <v>-1.1279311368358429E-2</v>
      </c>
      <c r="O729">
        <f t="shared" ca="1" si="97"/>
        <v>1.2446110092230809</v>
      </c>
      <c r="P729">
        <f t="shared" ca="1" si="98"/>
        <v>1.4856641756901026</v>
      </c>
      <c r="Q729">
        <f t="shared" ca="1" si="99"/>
        <v>1.5465053202587107</v>
      </c>
      <c r="R729">
        <f t="shared" ca="1" si="100"/>
        <v>1.28490973615183</v>
      </c>
    </row>
    <row r="730" spans="1:18" x14ac:dyDescent="0.3">
      <c r="A730" s="2">
        <f ca="1">IFERROR(__xludf.DUMMYFUNCTION("""COMPUTED_VALUE"""),45281.6666666666)</f>
        <v>45281.666666666599</v>
      </c>
      <c r="B730" s="1">
        <f ca="1">IFERROR(__xludf.DUMMYFUNCTION("""COMPUTED_VALUE"""),472.7)</f>
        <v>472.7</v>
      </c>
      <c r="C730" s="1">
        <f ca="1">IFERROR(__xludf.DUMMYFUNCTION("""COMPUTED_VALUE"""),194.68)</f>
        <v>194.68</v>
      </c>
      <c r="D730" s="1">
        <f ca="1">IFERROR(__xludf.DUMMYFUNCTION("""COMPUTED_VALUE"""),373.54)</f>
        <v>373.54</v>
      </c>
      <c r="E730" s="1">
        <f ca="1">IFERROR(__xludf.DUMMYFUNCTION("""COMPUTED_VALUE"""),167.5)</f>
        <v>167.5</v>
      </c>
      <c r="F730">
        <f t="shared" ca="1" si="93"/>
        <v>9.4819117584248012E-3</v>
      </c>
      <c r="G730">
        <f t="shared" ca="1" si="94"/>
        <v>-7.6990196581638187E-4</v>
      </c>
      <c r="H730">
        <f t="shared" ca="1" si="95"/>
        <v>7.8786897630997131E-3</v>
      </c>
      <c r="I730">
        <f t="shared" ca="1" si="96"/>
        <v>5.7039927949564008E-3</v>
      </c>
      <c r="O730">
        <f t="shared" ca="1" si="97"/>
        <v>1.2564123009860981</v>
      </c>
      <c r="P730">
        <f t="shared" ca="1" si="98"/>
        <v>1.4845203599206958</v>
      </c>
      <c r="Q730">
        <f t="shared" ca="1" si="99"/>
        <v>1.5586897558940123</v>
      </c>
      <c r="R730">
        <f t="shared" ca="1" si="100"/>
        <v>1.2922388520290096</v>
      </c>
    </row>
    <row r="731" spans="1:18" x14ac:dyDescent="0.3">
      <c r="A731" s="2">
        <f ca="1">IFERROR(__xludf.DUMMYFUNCTION("""COMPUTED_VALUE"""),45282.6666666666)</f>
        <v>45282.666666666599</v>
      </c>
      <c r="B731" s="1">
        <f ca="1">IFERROR(__xludf.DUMMYFUNCTION("""COMPUTED_VALUE"""),473.65)</f>
        <v>473.65</v>
      </c>
      <c r="C731" s="1">
        <f ca="1">IFERROR(__xludf.DUMMYFUNCTION("""COMPUTED_VALUE"""),193.6)</f>
        <v>193.6</v>
      </c>
      <c r="D731" s="1">
        <f ca="1">IFERROR(__xludf.DUMMYFUNCTION("""COMPUTED_VALUE"""),374.58)</f>
        <v>374.58</v>
      </c>
      <c r="E731" s="1">
        <f ca="1">IFERROR(__xludf.DUMMYFUNCTION("""COMPUTED_VALUE"""),167.4)</f>
        <v>167.4</v>
      </c>
      <c r="F731">
        <f t="shared" ca="1" si="93"/>
        <v>2.0097313306536675E-3</v>
      </c>
      <c r="G731">
        <f t="shared" ca="1" si="94"/>
        <v>-5.5475652352579233E-3</v>
      </c>
      <c r="H731">
        <f t="shared" ca="1" si="95"/>
        <v>2.7841730470631351E-3</v>
      </c>
      <c r="I731">
        <f t="shared" ca="1" si="96"/>
        <v>-5.970149253731004E-4</v>
      </c>
      <c r="O731">
        <f t="shared" ca="1" si="97"/>
        <v>1.2589373521516087</v>
      </c>
      <c r="P731">
        <f t="shared" ca="1" si="98"/>
        <v>1.4762848863809672</v>
      </c>
      <c r="Q731">
        <f t="shared" ca="1" si="99"/>
        <v>1.5630294179011059</v>
      </c>
      <c r="R731">
        <f t="shared" ca="1" si="100"/>
        <v>1.2914673661472011</v>
      </c>
    </row>
    <row r="732" spans="1:18" x14ac:dyDescent="0.3">
      <c r="A732" s="2">
        <f ca="1">IFERROR(__xludf.DUMMYFUNCTION("""COMPUTED_VALUE"""),45286.6666666666)</f>
        <v>45286.666666666599</v>
      </c>
      <c r="B732" s="1">
        <f ca="1">IFERROR(__xludf.DUMMYFUNCTION("""COMPUTED_VALUE"""),475.65)</f>
        <v>475.65</v>
      </c>
      <c r="C732" s="1">
        <f ca="1">IFERROR(__xludf.DUMMYFUNCTION("""COMPUTED_VALUE"""),193.05)</f>
        <v>193.05</v>
      </c>
      <c r="D732" s="1">
        <f ca="1">IFERROR(__xludf.DUMMYFUNCTION("""COMPUTED_VALUE"""),374.66)</f>
        <v>374.66</v>
      </c>
      <c r="E732" s="1">
        <f ca="1">IFERROR(__xludf.DUMMYFUNCTION("""COMPUTED_VALUE"""),168.39)</f>
        <v>168.39</v>
      </c>
      <c r="F732">
        <f t="shared" ca="1" si="93"/>
        <v>4.2225271825187373E-3</v>
      </c>
      <c r="G732">
        <f t="shared" ca="1" si="94"/>
        <v>-2.840909090909003E-3</v>
      </c>
      <c r="H732">
        <f t="shared" ca="1" si="95"/>
        <v>2.1357253457216332E-4</v>
      </c>
      <c r="I732">
        <f t="shared" ca="1" si="96"/>
        <v>5.9139784946235403E-3</v>
      </c>
      <c r="O732">
        <f t="shared" ca="1" si="97"/>
        <v>1.264253249342157</v>
      </c>
      <c r="P732">
        <f t="shared" ca="1" si="98"/>
        <v>1.472090895226476</v>
      </c>
      <c r="Q732">
        <f t="shared" ca="1" si="99"/>
        <v>1.563363238055498</v>
      </c>
      <c r="R732">
        <f t="shared" ca="1" si="100"/>
        <v>1.2991050763771039</v>
      </c>
    </row>
    <row r="733" spans="1:18" x14ac:dyDescent="0.3">
      <c r="A733" s="2">
        <f ca="1">IFERROR(__xludf.DUMMYFUNCTION("""COMPUTED_VALUE"""),45287.6666666666)</f>
        <v>45287.666666666599</v>
      </c>
      <c r="B733" s="1">
        <f ca="1">IFERROR(__xludf.DUMMYFUNCTION("""COMPUTED_VALUE"""),476.51)</f>
        <v>476.51</v>
      </c>
      <c r="C733" s="1">
        <f ca="1">IFERROR(__xludf.DUMMYFUNCTION("""COMPUTED_VALUE"""),193.15)</f>
        <v>193.15</v>
      </c>
      <c r="D733" s="1">
        <f ca="1">IFERROR(__xludf.DUMMYFUNCTION("""COMPUTED_VALUE"""),374.07)</f>
        <v>374.07</v>
      </c>
      <c r="E733" s="1">
        <f ca="1">IFERROR(__xludf.DUMMYFUNCTION("""COMPUTED_VALUE"""),169.4)</f>
        <v>169.4</v>
      </c>
      <c r="F733">
        <f t="shared" ca="1" si="93"/>
        <v>1.8080521391779958E-3</v>
      </c>
      <c r="G733">
        <f t="shared" ca="1" si="94"/>
        <v>5.1800051800048855E-4</v>
      </c>
      <c r="H733">
        <f t="shared" ca="1" si="95"/>
        <v>-1.5747611167459344E-3</v>
      </c>
      <c r="I733">
        <f t="shared" ca="1" si="96"/>
        <v>5.9979808777244461E-3</v>
      </c>
      <c r="O733">
        <f t="shared" ca="1" si="97"/>
        <v>1.2665390851340927</v>
      </c>
      <c r="P733">
        <f t="shared" ca="1" si="98"/>
        <v>1.4728534390727472</v>
      </c>
      <c r="Q733">
        <f t="shared" ca="1" si="99"/>
        <v>1.5609013144168582</v>
      </c>
      <c r="R733">
        <f t="shared" ca="1" si="100"/>
        <v>1.3068970837833684</v>
      </c>
    </row>
    <row r="734" spans="1:18" x14ac:dyDescent="0.3">
      <c r="A734" s="2">
        <f ca="1">IFERROR(__xludf.DUMMYFUNCTION("""COMPUTED_VALUE"""),45288.6666666666)</f>
        <v>45288.666666666599</v>
      </c>
      <c r="B734" s="1">
        <f ca="1">IFERROR(__xludf.DUMMYFUNCTION("""COMPUTED_VALUE"""),476.69)</f>
        <v>476.69</v>
      </c>
      <c r="C734" s="1">
        <f ca="1">IFERROR(__xludf.DUMMYFUNCTION("""COMPUTED_VALUE"""),193.58)</f>
        <v>193.58</v>
      </c>
      <c r="D734" s="1">
        <f ca="1">IFERROR(__xludf.DUMMYFUNCTION("""COMPUTED_VALUE"""),375.28)</f>
        <v>375.28</v>
      </c>
      <c r="E734" s="1">
        <f ca="1">IFERROR(__xludf.DUMMYFUNCTION("""COMPUTED_VALUE"""),170.3)</f>
        <v>170.3</v>
      </c>
      <c r="F734">
        <f t="shared" ca="1" si="93"/>
        <v>3.7774653207699069E-4</v>
      </c>
      <c r="G734">
        <f t="shared" ca="1" si="94"/>
        <v>2.2262490292519121E-3</v>
      </c>
      <c r="H734">
        <f t="shared" ca="1" si="95"/>
        <v>3.2346886946292928E-3</v>
      </c>
      <c r="I734">
        <f t="shared" ca="1" si="96"/>
        <v>5.3128689492326188E-3</v>
      </c>
      <c r="O734">
        <f t="shared" ca="1" si="97"/>
        <v>1.267017515881242</v>
      </c>
      <c r="P734">
        <f t="shared" ca="1" si="98"/>
        <v>1.4761323776117132</v>
      </c>
      <c r="Q734">
        <f t="shared" ca="1" si="99"/>
        <v>1.5659503442520344</v>
      </c>
      <c r="R734">
        <f t="shared" ca="1" si="100"/>
        <v>1.3138404567196438</v>
      </c>
    </row>
    <row r="735" spans="1:18" x14ac:dyDescent="0.3">
      <c r="A735" s="2">
        <f ca="1">IFERROR(__xludf.DUMMYFUNCTION("""COMPUTED_VALUE"""),45289.6666666666)</f>
        <v>45289.666666666599</v>
      </c>
      <c r="B735" s="1">
        <f ca="1">IFERROR(__xludf.DUMMYFUNCTION("""COMPUTED_VALUE"""),475.31)</f>
        <v>475.31</v>
      </c>
      <c r="C735" s="1">
        <f ca="1">IFERROR(__xludf.DUMMYFUNCTION("""COMPUTED_VALUE"""),192.53)</f>
        <v>192.53</v>
      </c>
      <c r="D735" s="1">
        <f ca="1">IFERROR(__xludf.DUMMYFUNCTION("""COMPUTED_VALUE"""),376.04)</f>
        <v>376.04</v>
      </c>
      <c r="E735" s="1">
        <f ca="1">IFERROR(__xludf.DUMMYFUNCTION("""COMPUTED_VALUE"""),170.1)</f>
        <v>170.1</v>
      </c>
      <c r="F735">
        <f t="shared" ca="1" si="93"/>
        <v>-2.8949631836203728E-3</v>
      </c>
      <c r="G735">
        <f t="shared" ca="1" si="94"/>
        <v>-5.4241140613700348E-3</v>
      </c>
      <c r="H735">
        <f t="shared" ca="1" si="95"/>
        <v>2.0251545512685138E-3</v>
      </c>
      <c r="I735">
        <f t="shared" ca="1" si="96"/>
        <v>-1.1743981209631066E-3</v>
      </c>
      <c r="O735">
        <f t="shared" ca="1" si="97"/>
        <v>1.2633495468197637</v>
      </c>
      <c r="P735">
        <f t="shared" ca="1" si="98"/>
        <v>1.468125667225866</v>
      </c>
      <c r="Q735">
        <f t="shared" ca="1" si="99"/>
        <v>1.569121635718757</v>
      </c>
      <c r="R735">
        <f t="shared" ca="1" si="100"/>
        <v>1.3122974849560269</v>
      </c>
    </row>
    <row r="736" spans="1:18" x14ac:dyDescent="0.3">
      <c r="A736" s="2">
        <f ca="1">IFERROR(__xludf.DUMMYFUNCTION("""COMPUTED_VALUE"""),45293.6666666666)</f>
        <v>45293.666666666599</v>
      </c>
      <c r="B736" s="1">
        <f ca="1">IFERROR(__xludf.DUMMYFUNCTION("""COMPUTED_VALUE"""),472.65)</f>
        <v>472.65</v>
      </c>
      <c r="C736" s="1">
        <f ca="1">IFERROR(__xludf.DUMMYFUNCTION("""COMPUTED_VALUE"""),185.64)</f>
        <v>185.64</v>
      </c>
      <c r="D736" s="1">
        <f ca="1">IFERROR(__xludf.DUMMYFUNCTION("""COMPUTED_VALUE"""),370.87)</f>
        <v>370.87</v>
      </c>
      <c r="E736" s="1">
        <f ca="1">IFERROR(__xludf.DUMMYFUNCTION("""COMPUTED_VALUE"""),172.08)</f>
        <v>172.08</v>
      </c>
      <c r="F736">
        <f t="shared" ca="1" si="93"/>
        <v>-5.5963476467989839E-3</v>
      </c>
      <c r="G736">
        <f t="shared" ca="1" si="94"/>
        <v>-3.5786630654962938E-2</v>
      </c>
      <c r="H736">
        <f t="shared" ca="1" si="95"/>
        <v>-1.3748537389639442E-2</v>
      </c>
      <c r="I736">
        <f t="shared" ca="1" si="96"/>
        <v>1.1640211640211747E-2</v>
      </c>
      <c r="O736">
        <f t="shared" ca="1" si="97"/>
        <v>1.2562794035563345</v>
      </c>
      <c r="P736">
        <f t="shared" ca="1" si="98"/>
        <v>1.415586396217783</v>
      </c>
      <c r="Q736">
        <f t="shared" ca="1" si="99"/>
        <v>1.5475485082411855</v>
      </c>
      <c r="R736">
        <f t="shared" ca="1" si="100"/>
        <v>1.3275729054158325</v>
      </c>
    </row>
    <row r="737" spans="1:18" x14ac:dyDescent="0.3">
      <c r="A737" s="2">
        <f ca="1">IFERROR(__xludf.DUMMYFUNCTION("""COMPUTED_VALUE"""),45294.6666666666)</f>
        <v>45294.666666666599</v>
      </c>
      <c r="B737" s="1">
        <f ca="1">IFERROR(__xludf.DUMMYFUNCTION("""COMPUTED_VALUE"""),468.79)</f>
        <v>468.79</v>
      </c>
      <c r="C737" s="1">
        <f ca="1">IFERROR(__xludf.DUMMYFUNCTION("""COMPUTED_VALUE"""),184.25)</f>
        <v>184.25</v>
      </c>
      <c r="D737" s="1">
        <f ca="1">IFERROR(__xludf.DUMMYFUNCTION("""COMPUTED_VALUE"""),370.6)</f>
        <v>370.6</v>
      </c>
      <c r="E737" s="1">
        <f ca="1">IFERROR(__xludf.DUMMYFUNCTION("""COMPUTED_VALUE"""),171.33)</f>
        <v>171.33</v>
      </c>
      <c r="F737">
        <f t="shared" ca="1" si="93"/>
        <v>-8.1667195599279749E-3</v>
      </c>
      <c r="G737">
        <f t="shared" ca="1" si="94"/>
        <v>-7.4876104287868268E-3</v>
      </c>
      <c r="H737">
        <f t="shared" ca="1" si="95"/>
        <v>-7.2801790384766042E-4</v>
      </c>
      <c r="I737">
        <f t="shared" ca="1" si="96"/>
        <v>-4.3584379358437937E-3</v>
      </c>
      <c r="O737">
        <f t="shared" ca="1" si="97"/>
        <v>1.2460197219785762</v>
      </c>
      <c r="P737">
        <f t="shared" ca="1" si="98"/>
        <v>1.404987036754614</v>
      </c>
      <c r="Q737">
        <f t="shared" ca="1" si="99"/>
        <v>1.5464218652201132</v>
      </c>
      <c r="R737">
        <f t="shared" ca="1" si="100"/>
        <v>1.3217867613022698</v>
      </c>
    </row>
    <row r="738" spans="1:18" x14ac:dyDescent="0.3">
      <c r="A738" s="2">
        <f ca="1">IFERROR(__xludf.DUMMYFUNCTION("""COMPUTED_VALUE"""),45295.6666666666)</f>
        <v>45295.666666666599</v>
      </c>
      <c r="B738" s="1">
        <f ca="1">IFERROR(__xludf.DUMMYFUNCTION("""COMPUTED_VALUE"""),467.28)</f>
        <v>467.28</v>
      </c>
      <c r="C738" s="1">
        <f ca="1">IFERROR(__xludf.DUMMYFUNCTION("""COMPUTED_VALUE"""),181.91)</f>
        <v>181.91</v>
      </c>
      <c r="D738" s="1">
        <f ca="1">IFERROR(__xludf.DUMMYFUNCTION("""COMPUTED_VALUE"""),367.94)</f>
        <v>367.94</v>
      </c>
      <c r="E738" s="1">
        <f ca="1">IFERROR(__xludf.DUMMYFUNCTION("""COMPUTED_VALUE"""),171.41)</f>
        <v>171.41</v>
      </c>
      <c r="F738">
        <f t="shared" ca="1" si="93"/>
        <v>-3.2210584696773558E-3</v>
      </c>
      <c r="G738">
        <f t="shared" ca="1" si="94"/>
        <v>-1.2700135685210331E-2</v>
      </c>
      <c r="H738">
        <f t="shared" ca="1" si="95"/>
        <v>-7.1775499190502561E-3</v>
      </c>
      <c r="I738">
        <f t="shared" ca="1" si="96"/>
        <v>4.6693515438034247E-4</v>
      </c>
      <c r="O738">
        <f t="shared" ca="1" si="97"/>
        <v>1.2420062195997121</v>
      </c>
      <c r="P738">
        <f t="shared" ca="1" si="98"/>
        <v>1.3871435107518688</v>
      </c>
      <c r="Q738">
        <f t="shared" ca="1" si="99"/>
        <v>1.5353223450865849</v>
      </c>
      <c r="R738">
        <f t="shared" ca="1" si="100"/>
        <v>1.3224039500077163</v>
      </c>
    </row>
    <row r="739" spans="1:18" x14ac:dyDescent="0.3">
      <c r="A739" s="2">
        <f ca="1">IFERROR(__xludf.DUMMYFUNCTION("""COMPUTED_VALUE"""),45296.6666666666)</f>
        <v>45296.666666666599</v>
      </c>
      <c r="B739" s="1">
        <f ca="1">IFERROR(__xludf.DUMMYFUNCTION("""COMPUTED_VALUE"""),467.92)</f>
        <v>467.92</v>
      </c>
      <c r="C739" s="1">
        <f ca="1">IFERROR(__xludf.DUMMYFUNCTION("""COMPUTED_VALUE"""),181.18)</f>
        <v>181.18</v>
      </c>
      <c r="D739" s="1">
        <f ca="1">IFERROR(__xludf.DUMMYFUNCTION("""COMPUTED_VALUE"""),367.75)</f>
        <v>367.75</v>
      </c>
      <c r="E739" s="1">
        <f ca="1">IFERROR(__xludf.DUMMYFUNCTION("""COMPUTED_VALUE"""),172.27)</f>
        <v>172.27</v>
      </c>
      <c r="F739">
        <f t="shared" ca="1" si="93"/>
        <v>1.3696284882726486E-3</v>
      </c>
      <c r="G739">
        <f t="shared" ca="1" si="94"/>
        <v>-4.0129734484084974E-3</v>
      </c>
      <c r="H739">
        <f t="shared" ca="1" si="95"/>
        <v>-5.1638854161003894E-4</v>
      </c>
      <c r="I739">
        <f t="shared" ca="1" si="96"/>
        <v>5.0172101977715051E-3</v>
      </c>
      <c r="O739">
        <f t="shared" ca="1" si="97"/>
        <v>1.2437073067006879</v>
      </c>
      <c r="P739">
        <f t="shared" ca="1" si="98"/>
        <v>1.3815769406740894</v>
      </c>
      <c r="Q739">
        <f t="shared" ca="1" si="99"/>
        <v>1.5345295222199042</v>
      </c>
      <c r="R739">
        <f t="shared" ca="1" si="100"/>
        <v>1.3290387285912681</v>
      </c>
    </row>
    <row r="740" spans="1:18" x14ac:dyDescent="0.3">
      <c r="A740" s="2">
        <f ca="1">IFERROR(__xludf.DUMMYFUNCTION("""COMPUTED_VALUE"""),45299.6666666666)</f>
        <v>45299.666666666599</v>
      </c>
      <c r="B740" s="1">
        <f ca="1">IFERROR(__xludf.DUMMYFUNCTION("""COMPUTED_VALUE"""),474.6)</f>
        <v>474.6</v>
      </c>
      <c r="C740" s="1">
        <f ca="1">IFERROR(__xludf.DUMMYFUNCTION("""COMPUTED_VALUE"""),185.56)</f>
        <v>185.56</v>
      </c>
      <c r="D740" s="1">
        <f ca="1">IFERROR(__xludf.DUMMYFUNCTION("""COMPUTED_VALUE"""),374.69)</f>
        <v>374.69</v>
      </c>
      <c r="E740" s="1">
        <f ca="1">IFERROR(__xludf.DUMMYFUNCTION("""COMPUTED_VALUE"""),172.02)</f>
        <v>172.02</v>
      </c>
      <c r="F740">
        <f t="shared" ca="1" si="93"/>
        <v>1.4275944605915556E-2</v>
      </c>
      <c r="G740">
        <f t="shared" ca="1" si="94"/>
        <v>2.4174853736615494E-2</v>
      </c>
      <c r="H740">
        <f t="shared" ca="1" si="95"/>
        <v>1.8871515975526845E-2</v>
      </c>
      <c r="I740">
        <f t="shared" ca="1" si="96"/>
        <v>-1.4512103093980379E-3</v>
      </c>
      <c r="O740">
        <f t="shared" ca="1" si="97"/>
        <v>1.2614624033171193</v>
      </c>
      <c r="P740">
        <f t="shared" ca="1" si="98"/>
        <v>1.4149763611407664</v>
      </c>
      <c r="Q740">
        <f t="shared" ca="1" si="99"/>
        <v>1.5634884206133948</v>
      </c>
      <c r="R740">
        <f t="shared" ca="1" si="100"/>
        <v>1.3271100138867473</v>
      </c>
    </row>
    <row r="741" spans="1:18" x14ac:dyDescent="0.3">
      <c r="A741" s="2">
        <f ca="1">IFERROR(__xludf.DUMMYFUNCTION("""COMPUTED_VALUE"""),45300.6666666666)</f>
        <v>45300.666666666599</v>
      </c>
      <c r="B741" s="1">
        <f ca="1">IFERROR(__xludf.DUMMYFUNCTION("""COMPUTED_VALUE"""),473.88)</f>
        <v>473.88</v>
      </c>
      <c r="C741" s="1">
        <f ca="1">IFERROR(__xludf.DUMMYFUNCTION("""COMPUTED_VALUE"""),185.14)</f>
        <v>185.14</v>
      </c>
      <c r="D741" s="1">
        <f ca="1">IFERROR(__xludf.DUMMYFUNCTION("""COMPUTED_VALUE"""),375.79)</f>
        <v>375.79</v>
      </c>
      <c r="E741" s="1">
        <f ca="1">IFERROR(__xludf.DUMMYFUNCTION("""COMPUTED_VALUE"""),170.66)</f>
        <v>170.66</v>
      </c>
      <c r="F741">
        <f t="shared" ca="1" si="93"/>
        <v>-1.517067003792725E-3</v>
      </c>
      <c r="G741">
        <f t="shared" ca="1" si="94"/>
        <v>-2.2634188402673849E-3</v>
      </c>
      <c r="H741">
        <f t="shared" ca="1" si="95"/>
        <v>2.9357602284555838E-3</v>
      </c>
      <c r="I741">
        <f t="shared" ca="1" si="96"/>
        <v>-7.9060574351820338E-3</v>
      </c>
      <c r="O741">
        <f t="shared" ca="1" si="97"/>
        <v>1.2595486803285219</v>
      </c>
      <c r="P741">
        <f t="shared" ca="1" si="98"/>
        <v>1.4117736769864275</v>
      </c>
      <c r="Q741">
        <f t="shared" ca="1" si="99"/>
        <v>1.5680784477362826</v>
      </c>
      <c r="R741">
        <f t="shared" ca="1" si="100"/>
        <v>1.3166178058941536</v>
      </c>
    </row>
    <row r="742" spans="1:18" x14ac:dyDescent="0.3">
      <c r="A742" s="2">
        <f ca="1">IFERROR(__xludf.DUMMYFUNCTION("""COMPUTED_VALUE"""),45301.6666666666)</f>
        <v>45301.666666666599</v>
      </c>
      <c r="B742" s="1">
        <f ca="1">IFERROR(__xludf.DUMMYFUNCTION("""COMPUTED_VALUE"""),476.56)</f>
        <v>476.56</v>
      </c>
      <c r="C742" s="1">
        <f ca="1">IFERROR(__xludf.DUMMYFUNCTION("""COMPUTED_VALUE"""),186.19)</f>
        <v>186.19</v>
      </c>
      <c r="D742" s="1">
        <f ca="1">IFERROR(__xludf.DUMMYFUNCTION("""COMPUTED_VALUE"""),382.77)</f>
        <v>382.77</v>
      </c>
      <c r="E742" s="1">
        <f ca="1">IFERROR(__xludf.DUMMYFUNCTION("""COMPUTED_VALUE"""),171.02)</f>
        <v>171.02</v>
      </c>
      <c r="F742">
        <f t="shared" ca="1" si="93"/>
        <v>5.6554401958301822E-3</v>
      </c>
      <c r="G742">
        <f t="shared" ca="1" si="94"/>
        <v>5.6713838176515692E-3</v>
      </c>
      <c r="H742">
        <f t="shared" ca="1" si="95"/>
        <v>1.8574203677585784E-2</v>
      </c>
      <c r="I742">
        <f t="shared" ca="1" si="96"/>
        <v>2.1094574006797939E-3</v>
      </c>
      <c r="O742">
        <f t="shared" ca="1" si="97"/>
        <v>1.2666719825638566</v>
      </c>
      <c r="P742">
        <f t="shared" ca="1" si="98"/>
        <v>1.419780387372275</v>
      </c>
      <c r="Q742">
        <f t="shared" ca="1" si="99"/>
        <v>1.5972042562069688</v>
      </c>
      <c r="R742">
        <f t="shared" ca="1" si="100"/>
        <v>1.3193951550686636</v>
      </c>
    </row>
    <row r="743" spans="1:18" x14ac:dyDescent="0.3">
      <c r="A743" s="2">
        <f ca="1">IFERROR(__xludf.DUMMYFUNCTION("""COMPUTED_VALUE"""),45302.6666666666)</f>
        <v>45302.666666666599</v>
      </c>
      <c r="B743" s="1">
        <f ca="1">IFERROR(__xludf.DUMMYFUNCTION("""COMPUTED_VALUE"""),476.35)</f>
        <v>476.35</v>
      </c>
      <c r="C743" s="1">
        <f ca="1">IFERROR(__xludf.DUMMYFUNCTION("""COMPUTED_VALUE"""),185.59)</f>
        <v>185.59</v>
      </c>
      <c r="D743" s="1">
        <f ca="1">IFERROR(__xludf.DUMMYFUNCTION("""COMPUTED_VALUE"""),384.63)</f>
        <v>384.63</v>
      </c>
      <c r="E743" s="1">
        <f ca="1">IFERROR(__xludf.DUMMYFUNCTION("""COMPUTED_VALUE"""),170.3)</f>
        <v>170.3</v>
      </c>
      <c r="F743">
        <f t="shared" ca="1" si="93"/>
        <v>-4.4065804935365861E-4</v>
      </c>
      <c r="G743">
        <f t="shared" ca="1" si="94"/>
        <v>-3.2225146355872726E-3</v>
      </c>
      <c r="H743">
        <f t="shared" ca="1" si="95"/>
        <v>4.8593149933380715E-3</v>
      </c>
      <c r="I743">
        <f t="shared" ca="1" si="96"/>
        <v>-4.2100339141620795E-3</v>
      </c>
      <c r="O743">
        <f t="shared" ca="1" si="97"/>
        <v>1.266113813358849</v>
      </c>
      <c r="P743">
        <f t="shared" ca="1" si="98"/>
        <v>1.415205124294648</v>
      </c>
      <c r="Q743">
        <f t="shared" ca="1" si="99"/>
        <v>1.6049655747965788</v>
      </c>
      <c r="R743">
        <f t="shared" ca="1" si="100"/>
        <v>1.3138404567196433</v>
      </c>
    </row>
    <row r="744" spans="1:18" x14ac:dyDescent="0.3">
      <c r="A744" s="2">
        <f ca="1">IFERROR(__xludf.DUMMYFUNCTION("""COMPUTED_VALUE"""),45303.6666666666)</f>
        <v>45303.666666666599</v>
      </c>
      <c r="B744" s="1">
        <f ca="1">IFERROR(__xludf.DUMMYFUNCTION("""COMPUTED_VALUE"""),476.68)</f>
        <v>476.68</v>
      </c>
      <c r="C744" s="1">
        <f ca="1">IFERROR(__xludf.DUMMYFUNCTION("""COMPUTED_VALUE"""),185.92)</f>
        <v>185.92</v>
      </c>
      <c r="D744" s="1">
        <f ca="1">IFERROR(__xludf.DUMMYFUNCTION("""COMPUTED_VALUE"""),388.47)</f>
        <v>388.47</v>
      </c>
      <c r="E744" s="1">
        <f ca="1">IFERROR(__xludf.DUMMYFUNCTION("""COMPUTED_VALUE"""),169.05)</f>
        <v>169.05</v>
      </c>
      <c r="F744">
        <f t="shared" ca="1" si="93"/>
        <v>6.9276792274584669E-4</v>
      </c>
      <c r="G744">
        <f t="shared" ca="1" si="94"/>
        <v>1.7781130448837981E-3</v>
      </c>
      <c r="H744">
        <f t="shared" ca="1" si="95"/>
        <v>9.9836206224164312E-3</v>
      </c>
      <c r="I744">
        <f t="shared" ca="1" si="96"/>
        <v>-7.3399882560187899E-3</v>
      </c>
      <c r="O744">
        <f t="shared" ca="1" si="97"/>
        <v>1.2669909363952894</v>
      </c>
      <c r="P744">
        <f t="shared" ca="1" si="98"/>
        <v>1.4177215189873427</v>
      </c>
      <c r="Q744">
        <f t="shared" ca="1" si="99"/>
        <v>1.6209889422073862</v>
      </c>
      <c r="R744">
        <f t="shared" ca="1" si="100"/>
        <v>1.3041968831970387</v>
      </c>
    </row>
    <row r="745" spans="1:18" x14ac:dyDescent="0.3">
      <c r="A745" s="2">
        <f ca="1">IFERROR(__xludf.DUMMYFUNCTION("""COMPUTED_VALUE"""),45307.6666666666)</f>
        <v>45307.666666666599</v>
      </c>
      <c r="B745" s="1">
        <f ca="1">IFERROR(__xludf.DUMMYFUNCTION("""COMPUTED_VALUE"""),474.93)</f>
        <v>474.93</v>
      </c>
      <c r="C745" s="1">
        <f ca="1">IFERROR(__xludf.DUMMYFUNCTION("""COMPUTED_VALUE"""),183.63)</f>
        <v>183.63</v>
      </c>
      <c r="D745" s="1">
        <f ca="1">IFERROR(__xludf.DUMMYFUNCTION("""COMPUTED_VALUE"""),390.27)</f>
        <v>390.27</v>
      </c>
      <c r="E745" s="1">
        <f ca="1">IFERROR(__xludf.DUMMYFUNCTION("""COMPUTED_VALUE"""),167.99)</f>
        <v>167.99</v>
      </c>
      <c r="F745">
        <f t="shared" ca="1" si="93"/>
        <v>-3.6712259796928756E-3</v>
      </c>
      <c r="G745">
        <f t="shared" ca="1" si="94"/>
        <v>-1.2317125645438857E-2</v>
      </c>
      <c r="H745">
        <f t="shared" ca="1" si="95"/>
        <v>4.6335624372537245E-3</v>
      </c>
      <c r="I745">
        <f t="shared" ca="1" si="96"/>
        <v>-6.270334220644793E-3</v>
      </c>
      <c r="O745">
        <f t="shared" ca="1" si="97"/>
        <v>1.2623395263535597</v>
      </c>
      <c r="P745">
        <f t="shared" ca="1" si="98"/>
        <v>1.4002592649077332</v>
      </c>
      <c r="Q745">
        <f t="shared" ca="1" si="99"/>
        <v>1.628499895681202</v>
      </c>
      <c r="R745">
        <f t="shared" ca="1" si="100"/>
        <v>1.29601913284987</v>
      </c>
    </row>
    <row r="746" spans="1:18" x14ac:dyDescent="0.3">
      <c r="A746" s="2">
        <f ca="1">IFERROR(__xludf.DUMMYFUNCTION("""COMPUTED_VALUE"""),45308.6666666666)</f>
        <v>45308.666666666599</v>
      </c>
      <c r="B746" s="1">
        <f ca="1">IFERROR(__xludf.DUMMYFUNCTION("""COMPUTED_VALUE"""),472.29)</f>
        <v>472.29</v>
      </c>
      <c r="C746" s="1">
        <f ca="1">IFERROR(__xludf.DUMMYFUNCTION("""COMPUTED_VALUE"""),182.68)</f>
        <v>182.68</v>
      </c>
      <c r="D746" s="1">
        <f ca="1">IFERROR(__xludf.DUMMYFUNCTION("""COMPUTED_VALUE"""),389.47)</f>
        <v>389.47</v>
      </c>
      <c r="E746" s="1">
        <f ca="1">IFERROR(__xludf.DUMMYFUNCTION("""COMPUTED_VALUE"""),167.09)</f>
        <v>167.09</v>
      </c>
      <c r="F746">
        <f t="shared" ca="1" si="93"/>
        <v>-5.5587139157349218E-3</v>
      </c>
      <c r="G746">
        <f t="shared" ca="1" si="94"/>
        <v>-5.1734466045852455E-3</v>
      </c>
      <c r="H746">
        <f t="shared" ca="1" si="95"/>
        <v>-2.049862915417415E-3</v>
      </c>
      <c r="I746">
        <f t="shared" ca="1" si="96"/>
        <v>-5.3574617536758474E-3</v>
      </c>
      <c r="O746">
        <f t="shared" ca="1" si="97"/>
        <v>1.255322542062036</v>
      </c>
      <c r="P746">
        <f t="shared" ca="1" si="98"/>
        <v>1.3930150983681573</v>
      </c>
      <c r="Q746">
        <f t="shared" ca="1" si="99"/>
        <v>1.625161694137284</v>
      </c>
      <c r="R746">
        <f t="shared" ca="1" si="100"/>
        <v>1.2890757599135947</v>
      </c>
    </row>
    <row r="747" spans="1:18" x14ac:dyDescent="0.3">
      <c r="A747" s="2">
        <f ca="1">IFERROR(__xludf.DUMMYFUNCTION("""COMPUTED_VALUE"""),45309.6666666666)</f>
        <v>45309.666666666599</v>
      </c>
      <c r="B747" s="1">
        <f ca="1">IFERROR(__xludf.DUMMYFUNCTION("""COMPUTED_VALUE"""),476.49)</f>
        <v>476.49</v>
      </c>
      <c r="C747" s="1">
        <f ca="1">IFERROR(__xludf.DUMMYFUNCTION("""COMPUTED_VALUE"""),188.63)</f>
        <v>188.63</v>
      </c>
      <c r="D747" s="1">
        <f ca="1">IFERROR(__xludf.DUMMYFUNCTION("""COMPUTED_VALUE"""),393.87)</f>
        <v>393.87</v>
      </c>
      <c r="E747" s="1">
        <f ca="1">IFERROR(__xludf.DUMMYFUNCTION("""COMPUTED_VALUE"""),167.42)</f>
        <v>167.42</v>
      </c>
      <c r="F747">
        <f t="shared" ca="1" si="93"/>
        <v>8.8928412627834342E-3</v>
      </c>
      <c r="G747">
        <f t="shared" ca="1" si="94"/>
        <v>3.2570615283555884E-2</v>
      </c>
      <c r="H747">
        <f t="shared" ca="1" si="95"/>
        <v>1.129740416463393E-2</v>
      </c>
      <c r="I747">
        <f t="shared" ca="1" si="96"/>
        <v>1.974983541803723E-3</v>
      </c>
      <c r="O747">
        <f t="shared" ca="1" si="97"/>
        <v>1.2664859261621872</v>
      </c>
      <c r="P747">
        <f t="shared" ca="1" si="98"/>
        <v>1.4383864572212912</v>
      </c>
      <c r="Q747">
        <f t="shared" ca="1" si="99"/>
        <v>1.6435218026288338</v>
      </c>
      <c r="R747">
        <f t="shared" ca="1" si="100"/>
        <v>1.2916216633235622</v>
      </c>
    </row>
    <row r="748" spans="1:18" x14ac:dyDescent="0.3">
      <c r="A748" s="2">
        <f ca="1">IFERROR(__xludf.DUMMYFUNCTION("""COMPUTED_VALUE"""),45310.6666666666)</f>
        <v>45310.666666666599</v>
      </c>
      <c r="B748" s="1">
        <f ca="1">IFERROR(__xludf.DUMMYFUNCTION("""COMPUTED_VALUE"""),482.43)</f>
        <v>482.43</v>
      </c>
      <c r="C748" s="1">
        <f ca="1">IFERROR(__xludf.DUMMYFUNCTION("""COMPUTED_VALUE"""),191.56)</f>
        <v>191.56</v>
      </c>
      <c r="D748" s="1">
        <f ca="1">IFERROR(__xludf.DUMMYFUNCTION("""COMPUTED_VALUE"""),398.67)</f>
        <v>398.67</v>
      </c>
      <c r="E748" s="1">
        <f ca="1">IFERROR(__xludf.DUMMYFUNCTION("""COMPUTED_VALUE"""),170.31)</f>
        <v>170.31</v>
      </c>
      <c r="F748">
        <f t="shared" ca="1" si="93"/>
        <v>1.2466158786123524E-2</v>
      </c>
      <c r="G748">
        <f t="shared" ca="1" si="94"/>
        <v>1.5533054127127216E-2</v>
      </c>
      <c r="H748">
        <f t="shared" ca="1" si="95"/>
        <v>1.2186762129636711E-2</v>
      </c>
      <c r="I748">
        <f t="shared" ca="1" si="96"/>
        <v>1.7261975869071886E-2</v>
      </c>
      <c r="O748">
        <f t="shared" ca="1" si="97"/>
        <v>1.2822741408181157</v>
      </c>
      <c r="P748">
        <f t="shared" ca="1" si="98"/>
        <v>1.4607289919170363</v>
      </c>
      <c r="Q748">
        <f t="shared" ca="1" si="99"/>
        <v>1.6635510118923433</v>
      </c>
      <c r="R748">
        <f t="shared" ca="1" si="100"/>
        <v>1.3139176053078241</v>
      </c>
    </row>
    <row r="749" spans="1:18" x14ac:dyDescent="0.3">
      <c r="A749" s="2">
        <f ca="1">IFERROR(__xludf.DUMMYFUNCTION("""COMPUTED_VALUE"""),45313.6666666666)</f>
        <v>45313.666666666599</v>
      </c>
      <c r="B749" s="1">
        <f ca="1">IFERROR(__xludf.DUMMYFUNCTION("""COMPUTED_VALUE"""),483.45)</f>
        <v>483.45</v>
      </c>
      <c r="C749" s="1">
        <f ca="1">IFERROR(__xludf.DUMMYFUNCTION("""COMPUTED_VALUE"""),193.89)</f>
        <v>193.89</v>
      </c>
      <c r="D749" s="1">
        <f ca="1">IFERROR(__xludf.DUMMYFUNCTION("""COMPUTED_VALUE"""),396.51)</f>
        <v>396.51</v>
      </c>
      <c r="E749" s="1">
        <f ca="1">IFERROR(__xludf.DUMMYFUNCTION("""COMPUTED_VALUE"""),170.11)</f>
        <v>170.11</v>
      </c>
      <c r="F749">
        <f t="shared" ca="1" si="93"/>
        <v>2.1142963746035317E-3</v>
      </c>
      <c r="G749">
        <f t="shared" ca="1" si="94"/>
        <v>1.2163290874921613E-2</v>
      </c>
      <c r="H749">
        <f t="shared" ca="1" si="95"/>
        <v>-5.4180148995410359E-3</v>
      </c>
      <c r="I749">
        <f t="shared" ca="1" si="96"/>
        <v>-1.1743291644647326E-3</v>
      </c>
      <c r="O749">
        <f t="shared" ca="1" si="97"/>
        <v>1.2849852483852953</v>
      </c>
      <c r="P749">
        <f t="shared" ca="1" si="98"/>
        <v>1.4784962635351542</v>
      </c>
      <c r="Q749">
        <f t="shared" ca="1" si="99"/>
        <v>1.6545378677237639</v>
      </c>
      <c r="R749">
        <f t="shared" ca="1" si="100"/>
        <v>1.3123746335442075</v>
      </c>
    </row>
    <row r="750" spans="1:18" x14ac:dyDescent="0.3">
      <c r="A750" s="2">
        <f ca="1">IFERROR(__xludf.DUMMYFUNCTION("""COMPUTED_VALUE"""),45314.6666666666)</f>
        <v>45314.666666666599</v>
      </c>
      <c r="B750" s="1">
        <f ca="1">IFERROR(__xludf.DUMMYFUNCTION("""COMPUTED_VALUE"""),484.86)</f>
        <v>484.86</v>
      </c>
      <c r="C750" s="1">
        <f ca="1">IFERROR(__xludf.DUMMYFUNCTION("""COMPUTED_VALUE"""),195.18)</f>
        <v>195.18</v>
      </c>
      <c r="D750" s="1">
        <f ca="1">IFERROR(__xludf.DUMMYFUNCTION("""COMPUTED_VALUE"""),398.9)</f>
        <v>398.9</v>
      </c>
      <c r="E750" s="1">
        <f ca="1">IFERROR(__xludf.DUMMYFUNCTION("""COMPUTED_VALUE"""),168.99)</f>
        <v>168.99</v>
      </c>
      <c r="F750">
        <f t="shared" ca="1" si="93"/>
        <v>2.9165373875272003E-3</v>
      </c>
      <c r="G750">
        <f t="shared" ca="1" si="94"/>
        <v>6.6532570013926482E-3</v>
      </c>
      <c r="H750">
        <f t="shared" ca="1" si="95"/>
        <v>6.0275907291114632E-3</v>
      </c>
      <c r="I750">
        <f t="shared" ca="1" si="96"/>
        <v>-6.5839750749515282E-3</v>
      </c>
      <c r="O750">
        <f t="shared" ca="1" si="97"/>
        <v>1.2887329559046321</v>
      </c>
      <c r="P750">
        <f t="shared" ca="1" si="98"/>
        <v>1.4883330791520524</v>
      </c>
      <c r="Q750">
        <f t="shared" ca="1" si="99"/>
        <v>1.6645107448362193</v>
      </c>
      <c r="R750">
        <f t="shared" ca="1" si="100"/>
        <v>1.3037339916679538</v>
      </c>
    </row>
    <row r="751" spans="1:18" x14ac:dyDescent="0.3">
      <c r="A751" s="2">
        <f ca="1">IFERROR(__xludf.DUMMYFUNCTION("""COMPUTED_VALUE"""),45315.6666666666)</f>
        <v>45315.666666666599</v>
      </c>
      <c r="B751" s="1">
        <f ca="1">IFERROR(__xludf.DUMMYFUNCTION("""COMPUTED_VALUE"""),485.39)</f>
        <v>485.39</v>
      </c>
      <c r="C751" s="1">
        <f ca="1">IFERROR(__xludf.DUMMYFUNCTION("""COMPUTED_VALUE"""),194.5)</f>
        <v>194.5</v>
      </c>
      <c r="D751" s="1">
        <f ca="1">IFERROR(__xludf.DUMMYFUNCTION("""COMPUTED_VALUE"""),402.56)</f>
        <v>402.56</v>
      </c>
      <c r="E751" s="1">
        <f ca="1">IFERROR(__xludf.DUMMYFUNCTION("""COMPUTED_VALUE"""),170.5)</f>
        <v>170.5</v>
      </c>
      <c r="F751">
        <f t="shared" ca="1" si="93"/>
        <v>1.0930990388977699E-3</v>
      </c>
      <c r="G751">
        <f t="shared" ca="1" si="94"/>
        <v>-3.4839635208525812E-3</v>
      </c>
      <c r="H751">
        <f t="shared" ca="1" si="95"/>
        <v>9.1752318876912146E-3</v>
      </c>
      <c r="I751">
        <f t="shared" ca="1" si="96"/>
        <v>8.9354399668618908E-3</v>
      </c>
      <c r="O751">
        <f t="shared" ca="1" si="97"/>
        <v>1.2901416686601272</v>
      </c>
      <c r="P751">
        <f t="shared" ca="1" si="98"/>
        <v>1.4831477809974085</v>
      </c>
      <c r="Q751">
        <f t="shared" ca="1" si="99"/>
        <v>1.6797830168996453</v>
      </c>
      <c r="R751">
        <f t="shared" ca="1" si="100"/>
        <v>1.3153834284832602</v>
      </c>
    </row>
    <row r="752" spans="1:18" x14ac:dyDescent="0.3">
      <c r="A752" s="2">
        <f ca="1">IFERROR(__xludf.DUMMYFUNCTION("""COMPUTED_VALUE"""),45316.6666666666)</f>
        <v>45316.666666666599</v>
      </c>
      <c r="B752" s="1">
        <f ca="1">IFERROR(__xludf.DUMMYFUNCTION("""COMPUTED_VALUE"""),488.03)</f>
        <v>488.03</v>
      </c>
      <c r="C752" s="1">
        <f ca="1">IFERROR(__xludf.DUMMYFUNCTION("""COMPUTED_VALUE"""),194.17)</f>
        <v>194.17</v>
      </c>
      <c r="D752" s="1">
        <f ca="1">IFERROR(__xludf.DUMMYFUNCTION("""COMPUTED_VALUE"""),404.87)</f>
        <v>404.87</v>
      </c>
      <c r="E752" s="1">
        <f ca="1">IFERROR(__xludf.DUMMYFUNCTION("""COMPUTED_VALUE"""),172.94)</f>
        <v>172.94</v>
      </c>
      <c r="F752">
        <f t="shared" ca="1" si="93"/>
        <v>5.4389254001936307E-3</v>
      </c>
      <c r="G752">
        <f t="shared" ca="1" si="94"/>
        <v>-1.6966580976864396E-3</v>
      </c>
      <c r="H752">
        <f t="shared" ca="1" si="95"/>
        <v>5.738275039745634E-3</v>
      </c>
      <c r="I752">
        <f t="shared" ca="1" si="96"/>
        <v>1.4310850439882684E-2</v>
      </c>
      <c r="O752">
        <f t="shared" ca="1" si="97"/>
        <v>1.297158652951651</v>
      </c>
      <c r="P752">
        <f t="shared" ca="1" si="98"/>
        <v>1.4806313863047136</v>
      </c>
      <c r="Q752">
        <f t="shared" ca="1" si="99"/>
        <v>1.6894220738577093</v>
      </c>
      <c r="R752">
        <f t="shared" ca="1" si="100"/>
        <v>1.3342076839993844</v>
      </c>
    </row>
    <row r="753" spans="1:18" x14ac:dyDescent="0.3">
      <c r="A753" s="2">
        <f ca="1">IFERROR(__xludf.DUMMYFUNCTION("""COMPUTED_VALUE"""),45317.6666666666)</f>
        <v>45317.666666666599</v>
      </c>
      <c r="B753" s="1">
        <f ca="1">IFERROR(__xludf.DUMMYFUNCTION("""COMPUTED_VALUE"""),487.41)</f>
        <v>487.41</v>
      </c>
      <c r="C753" s="1">
        <f ca="1">IFERROR(__xludf.DUMMYFUNCTION("""COMPUTED_VALUE"""),192.42)</f>
        <v>192.42</v>
      </c>
      <c r="D753" s="1">
        <f ca="1">IFERROR(__xludf.DUMMYFUNCTION("""COMPUTED_VALUE"""),403.93)</f>
        <v>403.93</v>
      </c>
      <c r="E753" s="1">
        <f ca="1">IFERROR(__xludf.DUMMYFUNCTION("""COMPUTED_VALUE"""),172.28)</f>
        <v>172.28</v>
      </c>
      <c r="F753">
        <f t="shared" ca="1" si="93"/>
        <v>-1.270413704075462E-3</v>
      </c>
      <c r="G753">
        <f t="shared" ca="1" si="94"/>
        <v>-9.012720811659887E-3</v>
      </c>
      <c r="H753">
        <f t="shared" ca="1" si="95"/>
        <v>-2.3217329019191288E-3</v>
      </c>
      <c r="I753">
        <f t="shared" ca="1" si="96"/>
        <v>-3.8163524921938047E-3</v>
      </c>
      <c r="O753">
        <f t="shared" ca="1" si="97"/>
        <v>1.2955107248225812</v>
      </c>
      <c r="P753">
        <f t="shared" ca="1" si="98"/>
        <v>1.4672868689949683</v>
      </c>
      <c r="Q753">
        <f t="shared" ca="1" si="99"/>
        <v>1.6854996870436052</v>
      </c>
      <c r="R753">
        <f t="shared" ca="1" si="100"/>
        <v>1.3291158771794491</v>
      </c>
    </row>
    <row r="754" spans="1:18" x14ac:dyDescent="0.3">
      <c r="A754" s="2">
        <f ca="1">IFERROR(__xludf.DUMMYFUNCTION("""COMPUTED_VALUE"""),45320.6666666666)</f>
        <v>45320.666666666599</v>
      </c>
      <c r="B754" s="1">
        <f ca="1">IFERROR(__xludf.DUMMYFUNCTION("""COMPUTED_VALUE"""),491.27)</f>
        <v>491.27</v>
      </c>
      <c r="C754" s="1">
        <f ca="1">IFERROR(__xludf.DUMMYFUNCTION("""COMPUTED_VALUE"""),191.73)</f>
        <v>191.73</v>
      </c>
      <c r="D754" s="1">
        <f ca="1">IFERROR(__xludf.DUMMYFUNCTION("""COMPUTED_VALUE"""),409.72)</f>
        <v>409.72</v>
      </c>
      <c r="E754" s="1">
        <f ca="1">IFERROR(__xludf.DUMMYFUNCTION("""COMPUTED_VALUE"""),172.73)</f>
        <v>172.73</v>
      </c>
      <c r="F754">
        <f t="shared" ca="1" si="93"/>
        <v>7.9194107630125698E-3</v>
      </c>
      <c r="G754">
        <f t="shared" ca="1" si="94"/>
        <v>-3.5859058309946875E-3</v>
      </c>
      <c r="H754">
        <f t="shared" ca="1" si="95"/>
        <v>1.4334166811081179E-2</v>
      </c>
      <c r="I754">
        <f t="shared" ca="1" si="96"/>
        <v>2.6120269328998645E-3</v>
      </c>
      <c r="O754">
        <f t="shared" ca="1" si="97"/>
        <v>1.3057704064003393</v>
      </c>
      <c r="P754">
        <f t="shared" ca="1" si="98"/>
        <v>1.4620253164556973</v>
      </c>
      <c r="Q754">
        <f t="shared" ca="1" si="99"/>
        <v>1.7096599207177134</v>
      </c>
      <c r="R754">
        <f t="shared" ca="1" si="100"/>
        <v>1.3325875636475868</v>
      </c>
    </row>
    <row r="755" spans="1:18" x14ac:dyDescent="0.3">
      <c r="A755" s="2">
        <f ca="1">IFERROR(__xludf.DUMMYFUNCTION("""COMPUTED_VALUE"""),45321.6666666666)</f>
        <v>45321.666666666599</v>
      </c>
      <c r="B755" s="1">
        <f ca="1">IFERROR(__xludf.DUMMYFUNCTION("""COMPUTED_VALUE"""),490.89)</f>
        <v>490.89</v>
      </c>
      <c r="C755" s="1">
        <f ca="1">IFERROR(__xludf.DUMMYFUNCTION("""COMPUTED_VALUE"""),188.04)</f>
        <v>188.04</v>
      </c>
      <c r="D755" s="1">
        <f ca="1">IFERROR(__xludf.DUMMYFUNCTION("""COMPUTED_VALUE"""),408.59)</f>
        <v>408.59</v>
      </c>
      <c r="E755" s="1">
        <f ca="1">IFERROR(__xludf.DUMMYFUNCTION("""COMPUTED_VALUE"""),176.27)</f>
        <v>176.27</v>
      </c>
      <c r="F755">
        <f t="shared" ca="1" si="93"/>
        <v>-7.7350540436011859E-4</v>
      </c>
      <c r="G755">
        <f t="shared" ca="1" si="94"/>
        <v>-1.9245814426537309E-2</v>
      </c>
      <c r="H755">
        <f t="shared" ca="1" si="95"/>
        <v>-2.7579810602363863E-3</v>
      </c>
      <c r="I755">
        <f t="shared" ca="1" si="96"/>
        <v>2.0494413246106759E-2</v>
      </c>
      <c r="O755">
        <f t="shared" ca="1" si="97"/>
        <v>1.304760385934135</v>
      </c>
      <c r="P755">
        <f t="shared" ca="1" si="98"/>
        <v>1.4338874485282915</v>
      </c>
      <c r="Q755">
        <f t="shared" ca="1" si="99"/>
        <v>1.7049447110369287</v>
      </c>
      <c r="R755">
        <f t="shared" ca="1" si="100"/>
        <v>1.359898163863603</v>
      </c>
    </row>
    <row r="756" spans="1:18" x14ac:dyDescent="0.3">
      <c r="A756" s="2">
        <f ca="1">IFERROR(__xludf.DUMMYFUNCTION("""COMPUTED_VALUE"""),45322.6666666666)</f>
        <v>45322.666666666599</v>
      </c>
      <c r="B756" s="1">
        <f ca="1">IFERROR(__xludf.DUMMYFUNCTION("""COMPUTED_VALUE"""),482.88)</f>
        <v>482.88</v>
      </c>
      <c r="C756" s="1">
        <f ca="1">IFERROR(__xludf.DUMMYFUNCTION("""COMPUTED_VALUE"""),184.4)</f>
        <v>184.4</v>
      </c>
      <c r="D756" s="1">
        <f ca="1">IFERROR(__xludf.DUMMYFUNCTION("""COMPUTED_VALUE"""),397.58)</f>
        <v>397.58</v>
      </c>
      <c r="E756" s="1">
        <f ca="1">IFERROR(__xludf.DUMMYFUNCTION("""COMPUTED_VALUE"""),174.36)</f>
        <v>174.36</v>
      </c>
      <c r="F756">
        <f t="shared" ca="1" si="93"/>
        <v>-1.6317301228381084E-2</v>
      </c>
      <c r="G756">
        <f t="shared" ca="1" si="94"/>
        <v>-1.9357583492873785E-2</v>
      </c>
      <c r="H756">
        <f t="shared" ca="1" si="95"/>
        <v>-2.6946327614479043E-2</v>
      </c>
      <c r="I756">
        <f t="shared" ca="1" si="96"/>
        <v>-1.0835649855335545E-2</v>
      </c>
      <c r="O756">
        <f t="shared" ca="1" si="97"/>
        <v>1.2834702176859891</v>
      </c>
      <c r="P756">
        <f t="shared" ca="1" si="98"/>
        <v>1.4061308525240215</v>
      </c>
      <c r="Q756">
        <f t="shared" ca="1" si="99"/>
        <v>1.6590027122887543</v>
      </c>
      <c r="R756">
        <f t="shared" ca="1" si="100"/>
        <v>1.3451627835210631</v>
      </c>
    </row>
    <row r="757" spans="1:18" x14ac:dyDescent="0.3">
      <c r="A757" s="2">
        <f ca="1">IFERROR(__xludf.DUMMYFUNCTION("""COMPUTED_VALUE"""),45323.6666666666)</f>
        <v>45323.666666666599</v>
      </c>
      <c r="B757" s="1">
        <f ca="1">IFERROR(__xludf.DUMMYFUNCTION("""COMPUTED_VALUE"""),489.2)</f>
        <v>489.2</v>
      </c>
      <c r="C757" s="1">
        <f ca="1">IFERROR(__xludf.DUMMYFUNCTION("""COMPUTED_VALUE"""),186.86)</f>
        <v>186.86</v>
      </c>
      <c r="D757" s="1">
        <f ca="1">IFERROR(__xludf.DUMMYFUNCTION("""COMPUTED_VALUE"""),403.78)</f>
        <v>403.78</v>
      </c>
      <c r="E757" s="1">
        <f ca="1">IFERROR(__xludf.DUMMYFUNCTION("""COMPUTED_VALUE"""),173.73)</f>
        <v>173.73</v>
      </c>
      <c r="F757">
        <f t="shared" ca="1" si="93"/>
        <v>1.308813783962888E-2</v>
      </c>
      <c r="G757">
        <f t="shared" ca="1" si="94"/>
        <v>1.3340563991323252E-2</v>
      </c>
      <c r="H757">
        <f t="shared" ca="1" si="95"/>
        <v>1.5594345792041825E-2</v>
      </c>
      <c r="I757">
        <f t="shared" ca="1" si="96"/>
        <v>-3.6132140399175489E-3</v>
      </c>
      <c r="O757">
        <f t="shared" ca="1" si="97"/>
        <v>1.3002684528081216</v>
      </c>
      <c r="P757">
        <f t="shared" ca="1" si="98"/>
        <v>1.4248894311422922</v>
      </c>
      <c r="Q757">
        <f t="shared" ca="1" si="99"/>
        <v>1.6848737742541202</v>
      </c>
      <c r="R757">
        <f t="shared" ca="1" si="100"/>
        <v>1.3403024224656703</v>
      </c>
    </row>
    <row r="758" spans="1:18" x14ac:dyDescent="0.3">
      <c r="A758" s="2">
        <f ca="1">IFERROR(__xludf.DUMMYFUNCTION("""COMPUTED_VALUE"""),45324.6666666666)</f>
        <v>45324.666666666599</v>
      </c>
      <c r="B758" s="1">
        <f ca="1">IFERROR(__xludf.DUMMYFUNCTION("""COMPUTED_VALUE"""),494.35)</f>
        <v>494.35</v>
      </c>
      <c r="C758" s="1">
        <f ca="1">IFERROR(__xludf.DUMMYFUNCTION("""COMPUTED_VALUE"""),185.85)</f>
        <v>185.85</v>
      </c>
      <c r="D758" s="1">
        <f ca="1">IFERROR(__xludf.DUMMYFUNCTION("""COMPUTED_VALUE"""),411.22)</f>
        <v>411.22</v>
      </c>
      <c r="E758" s="1">
        <f ca="1">IFERROR(__xludf.DUMMYFUNCTION("""COMPUTED_VALUE"""),174.73)</f>
        <v>174.73</v>
      </c>
      <c r="F758">
        <f t="shared" ca="1" si="93"/>
        <v>1.0527391659852892E-2</v>
      </c>
      <c r="G758">
        <f t="shared" ca="1" si="94"/>
        <v>-5.4051161297228902E-3</v>
      </c>
      <c r="H758">
        <f t="shared" ca="1" si="95"/>
        <v>1.8425875476744898E-2</v>
      </c>
      <c r="I758">
        <f t="shared" ca="1" si="96"/>
        <v>5.7560582513095033E-3</v>
      </c>
      <c r="O758">
        <f t="shared" ca="1" si="97"/>
        <v>1.3139568880737837</v>
      </c>
      <c r="P758">
        <f t="shared" ca="1" si="98"/>
        <v>1.4171877382949531</v>
      </c>
      <c r="Q758">
        <f t="shared" ca="1" si="99"/>
        <v>1.7159190486125597</v>
      </c>
      <c r="R758">
        <f t="shared" ca="1" si="100"/>
        <v>1.3480172812837539</v>
      </c>
    </row>
    <row r="759" spans="1:18" x14ac:dyDescent="0.3">
      <c r="A759" s="2">
        <f ca="1">IFERROR(__xludf.DUMMYFUNCTION("""COMPUTED_VALUE"""),45327.6666666666)</f>
        <v>45327.666666666599</v>
      </c>
      <c r="B759" s="1">
        <f ca="1">IFERROR(__xludf.DUMMYFUNCTION("""COMPUTED_VALUE"""),492.55)</f>
        <v>492.55</v>
      </c>
      <c r="C759" s="1">
        <f ca="1">IFERROR(__xludf.DUMMYFUNCTION("""COMPUTED_VALUE"""),187.68)</f>
        <v>187.68</v>
      </c>
      <c r="D759" s="1">
        <f ca="1">IFERROR(__xludf.DUMMYFUNCTION("""COMPUTED_VALUE"""),405.65)</f>
        <v>405.65</v>
      </c>
      <c r="E759" s="1">
        <f ca="1">IFERROR(__xludf.DUMMYFUNCTION("""COMPUTED_VALUE"""),174.5)</f>
        <v>174.5</v>
      </c>
      <c r="F759">
        <f t="shared" ca="1" si="93"/>
        <v>-3.6411449377971301E-3</v>
      </c>
      <c r="G759">
        <f t="shared" ca="1" si="94"/>
        <v>9.846650524616694E-3</v>
      </c>
      <c r="H759">
        <f t="shared" ca="1" si="95"/>
        <v>-1.3545061037887383E-2</v>
      </c>
      <c r="I759">
        <f t="shared" ca="1" si="96"/>
        <v>-1.3163166027584832E-3</v>
      </c>
      <c r="O759">
        <f t="shared" ca="1" si="97"/>
        <v>1.3091725806022902</v>
      </c>
      <c r="P759">
        <f t="shared" ca="1" si="98"/>
        <v>1.4311422906817155</v>
      </c>
      <c r="Q759">
        <f t="shared" ca="1" si="99"/>
        <v>1.6926768203630291</v>
      </c>
      <c r="R759">
        <f t="shared" ca="1" si="100"/>
        <v>1.3462428637555948</v>
      </c>
    </row>
    <row r="760" spans="1:18" x14ac:dyDescent="0.3">
      <c r="A760" s="2">
        <f ca="1">IFERROR(__xludf.DUMMYFUNCTION("""COMPUTED_VALUE"""),45328.6666666666)</f>
        <v>45328.666666666599</v>
      </c>
      <c r="B760" s="1">
        <f ca="1">IFERROR(__xludf.DUMMYFUNCTION("""COMPUTED_VALUE"""),493.98)</f>
        <v>493.98</v>
      </c>
      <c r="C760" s="1">
        <f ca="1">IFERROR(__xludf.DUMMYFUNCTION("""COMPUTED_VALUE"""),189.3)</f>
        <v>189.3</v>
      </c>
      <c r="D760" s="1">
        <f ca="1">IFERROR(__xludf.DUMMYFUNCTION("""COMPUTED_VALUE"""),405.49)</f>
        <v>405.49</v>
      </c>
      <c r="E760" s="1">
        <f ca="1">IFERROR(__xludf.DUMMYFUNCTION("""COMPUTED_VALUE"""),175.1)</f>
        <v>175.1</v>
      </c>
      <c r="F760">
        <f t="shared" ca="1" si="93"/>
        <v>2.9032585524312389E-3</v>
      </c>
      <c r="G760">
        <f t="shared" ca="1" si="94"/>
        <v>8.6317135549872359E-3</v>
      </c>
      <c r="H760">
        <f t="shared" ca="1" si="95"/>
        <v>-3.9442869468746006E-4</v>
      </c>
      <c r="I760">
        <f t="shared" ca="1" si="96"/>
        <v>3.4383954154727468E-3</v>
      </c>
      <c r="O760">
        <f t="shared" ca="1" si="97"/>
        <v>1.3129734470935324</v>
      </c>
      <c r="P760">
        <f t="shared" ca="1" si="98"/>
        <v>1.4434955009913082</v>
      </c>
      <c r="Q760">
        <f t="shared" ca="1" si="99"/>
        <v>1.6920091800542456</v>
      </c>
      <c r="R760">
        <f t="shared" ca="1" si="100"/>
        <v>1.3508717790464448</v>
      </c>
    </row>
    <row r="761" spans="1:18" x14ac:dyDescent="0.3">
      <c r="A761" s="2">
        <f ca="1">IFERROR(__xludf.DUMMYFUNCTION("""COMPUTED_VALUE"""),45329.6666666666)</f>
        <v>45329.666666666599</v>
      </c>
      <c r="B761" s="1">
        <f ca="1">IFERROR(__xludf.DUMMYFUNCTION("""COMPUTED_VALUE"""),498.1)</f>
        <v>498.1</v>
      </c>
      <c r="C761" s="1">
        <f ca="1">IFERROR(__xludf.DUMMYFUNCTION("""COMPUTED_VALUE"""),189.41)</f>
        <v>189.41</v>
      </c>
      <c r="D761" s="1">
        <f ca="1">IFERROR(__xludf.DUMMYFUNCTION("""COMPUTED_VALUE"""),414.05)</f>
        <v>414.05</v>
      </c>
      <c r="E761" s="1">
        <f ca="1">IFERROR(__xludf.DUMMYFUNCTION("""COMPUTED_VALUE"""),175.43)</f>
        <v>175.43</v>
      </c>
      <c r="F761">
        <f t="shared" ca="1" si="93"/>
        <v>8.3404186404307957E-3</v>
      </c>
      <c r="G761">
        <f t="shared" ca="1" si="94"/>
        <v>5.8108821975692132E-4</v>
      </c>
      <c r="H761">
        <f t="shared" ca="1" si="95"/>
        <v>2.1110261658733882E-2</v>
      </c>
      <c r="I761">
        <f t="shared" ca="1" si="96"/>
        <v>1.8846373500857369E-3</v>
      </c>
      <c r="O761">
        <f t="shared" ca="1" si="97"/>
        <v>1.3239241953060619</v>
      </c>
      <c r="P761">
        <f t="shared" ca="1" si="98"/>
        <v>1.4443342992222066</v>
      </c>
      <c r="Q761">
        <f t="shared" ca="1" si="99"/>
        <v>1.7277279365741707</v>
      </c>
      <c r="R761">
        <f t="shared" ca="1" si="100"/>
        <v>1.3534176824564126</v>
      </c>
    </row>
    <row r="762" spans="1:18" x14ac:dyDescent="0.3">
      <c r="A762" s="2">
        <f ca="1">IFERROR(__xludf.DUMMYFUNCTION("""COMPUTED_VALUE"""),45330.6666666666)</f>
        <v>45330.666666666599</v>
      </c>
      <c r="B762" s="1">
        <f ca="1">IFERROR(__xludf.DUMMYFUNCTION("""COMPUTED_VALUE"""),498.32)</f>
        <v>498.32</v>
      </c>
      <c r="C762" s="1">
        <f ca="1">IFERROR(__xludf.DUMMYFUNCTION("""COMPUTED_VALUE"""),188.32)</f>
        <v>188.32</v>
      </c>
      <c r="D762" s="1">
        <f ca="1">IFERROR(__xludf.DUMMYFUNCTION("""COMPUTED_VALUE"""),414.11)</f>
        <v>414.11</v>
      </c>
      <c r="E762" s="1">
        <f ca="1">IFERROR(__xludf.DUMMYFUNCTION("""COMPUTED_VALUE"""),174.8)</f>
        <v>174.8</v>
      </c>
      <c r="F762">
        <f t="shared" ca="1" si="93"/>
        <v>4.4167837783571658E-4</v>
      </c>
      <c r="G762">
        <f t="shared" ca="1" si="94"/>
        <v>-5.7547120004223821E-3</v>
      </c>
      <c r="H762">
        <f t="shared" ca="1" si="95"/>
        <v>1.4491003501993061E-4</v>
      </c>
      <c r="I762">
        <f t="shared" ca="1" si="96"/>
        <v>-3.5911759676223874E-3</v>
      </c>
      <c r="O762">
        <f t="shared" ca="1" si="97"/>
        <v>1.3245089439970223</v>
      </c>
      <c r="P762">
        <f t="shared" ca="1" si="98"/>
        <v>1.4360225712978507</v>
      </c>
      <c r="Q762">
        <f t="shared" ca="1" si="99"/>
        <v>1.7279783016899646</v>
      </c>
      <c r="R762">
        <f t="shared" ca="1" si="100"/>
        <v>1.34855732140102</v>
      </c>
    </row>
    <row r="763" spans="1:18" x14ac:dyDescent="0.3">
      <c r="A763" s="2">
        <f ca="1">IFERROR(__xludf.DUMMYFUNCTION("""COMPUTED_VALUE"""),45331.6666666666)</f>
        <v>45331.666666666599</v>
      </c>
      <c r="B763" s="1">
        <f ca="1">IFERROR(__xludf.DUMMYFUNCTION("""COMPUTED_VALUE"""),501.2)</f>
        <v>501.2</v>
      </c>
      <c r="C763" s="1">
        <f ca="1">IFERROR(__xludf.DUMMYFUNCTION("""COMPUTED_VALUE"""),188.85)</f>
        <v>188.85</v>
      </c>
      <c r="D763" s="1">
        <f ca="1">IFERROR(__xludf.DUMMYFUNCTION("""COMPUTED_VALUE"""),420.55)</f>
        <v>420.55</v>
      </c>
      <c r="E763" s="1">
        <f ca="1">IFERROR(__xludf.DUMMYFUNCTION("""COMPUTED_VALUE"""),175.01)</f>
        <v>175.01</v>
      </c>
      <c r="F763">
        <f t="shared" ca="1" si="93"/>
        <v>5.7794188473270095E-3</v>
      </c>
      <c r="G763">
        <f t="shared" ca="1" si="94"/>
        <v>2.8143585386576101E-3</v>
      </c>
      <c r="H763">
        <f t="shared" ca="1" si="95"/>
        <v>1.5551423534809585E-2</v>
      </c>
      <c r="I763">
        <f t="shared" ca="1" si="96"/>
        <v>1.2013729977115534E-3</v>
      </c>
      <c r="O763">
        <f t="shared" ca="1" si="97"/>
        <v>1.3321638359514119</v>
      </c>
      <c r="P763">
        <f t="shared" ca="1" si="98"/>
        <v>1.4400640536830878</v>
      </c>
      <c r="Q763">
        <f t="shared" ca="1" si="99"/>
        <v>1.7548508241185061</v>
      </c>
      <c r="R763">
        <f t="shared" ca="1" si="100"/>
        <v>1.3501774417528176</v>
      </c>
    </row>
    <row r="764" spans="1:18" x14ac:dyDescent="0.3">
      <c r="A764" s="2">
        <f ca="1">IFERROR(__xludf.DUMMYFUNCTION("""COMPUTED_VALUE"""),45334.6666666666)</f>
        <v>45334.666666666599</v>
      </c>
      <c r="B764" s="1">
        <f ca="1">IFERROR(__xludf.DUMMYFUNCTION("""COMPUTED_VALUE"""),500.98)</f>
        <v>500.98</v>
      </c>
      <c r="C764" s="1">
        <f ca="1">IFERROR(__xludf.DUMMYFUNCTION("""COMPUTED_VALUE"""),187.15)</f>
        <v>187.15</v>
      </c>
      <c r="D764" s="1">
        <f ca="1">IFERROR(__xludf.DUMMYFUNCTION("""COMPUTED_VALUE"""),415.26)</f>
        <v>415.26</v>
      </c>
      <c r="E764" s="1">
        <f ca="1">IFERROR(__xludf.DUMMYFUNCTION("""COMPUTED_VALUE"""),175.79)</f>
        <v>175.79</v>
      </c>
      <c r="F764">
        <f t="shared" ca="1" si="93"/>
        <v>-4.3894652833194423E-4</v>
      </c>
      <c r="G764">
        <f t="shared" ca="1" si="94"/>
        <v>-9.0018533227428574E-3</v>
      </c>
      <c r="H764">
        <f t="shared" ca="1" si="95"/>
        <v>-1.2578765901795316E-2</v>
      </c>
      <c r="I764">
        <f t="shared" ca="1" si="96"/>
        <v>4.4568881778184171E-3</v>
      </c>
      <c r="O764">
        <f t="shared" ca="1" si="97"/>
        <v>1.3315790872604516</v>
      </c>
      <c r="P764">
        <f t="shared" ca="1" si="98"/>
        <v>1.4271008082964782</v>
      </c>
      <c r="Q764">
        <f t="shared" ca="1" si="99"/>
        <v>1.7327769664093469</v>
      </c>
      <c r="R764">
        <f t="shared" ca="1" si="100"/>
        <v>1.3561950316309228</v>
      </c>
    </row>
    <row r="765" spans="1:18" x14ac:dyDescent="0.3">
      <c r="A765" s="2">
        <f ca="1">IFERROR(__xludf.DUMMYFUNCTION("""COMPUTED_VALUE"""),45335.6666666666)</f>
        <v>45335.666666666599</v>
      </c>
      <c r="B765" s="1">
        <f ca="1">IFERROR(__xludf.DUMMYFUNCTION("""COMPUTED_VALUE"""),494.08)</f>
        <v>494.08</v>
      </c>
      <c r="C765" s="1">
        <f ca="1">IFERROR(__xludf.DUMMYFUNCTION("""COMPUTED_VALUE"""),185.04)</f>
        <v>185.04</v>
      </c>
      <c r="D765" s="1">
        <f ca="1">IFERROR(__xludf.DUMMYFUNCTION("""COMPUTED_VALUE"""),406.32)</f>
        <v>406.32</v>
      </c>
      <c r="E765" s="1">
        <f ca="1">IFERROR(__xludf.DUMMYFUNCTION("""COMPUTED_VALUE"""),174.26)</f>
        <v>174.26</v>
      </c>
      <c r="F765">
        <f t="shared" ca="1" si="93"/>
        <v>-1.3773004910375732E-2</v>
      </c>
      <c r="G765">
        <f t="shared" ca="1" si="94"/>
        <v>-1.1274378840502343E-2</v>
      </c>
      <c r="H765">
        <f t="shared" ca="1" si="95"/>
        <v>-2.1528680826470158E-2</v>
      </c>
      <c r="I765">
        <f t="shared" ca="1" si="96"/>
        <v>-8.7035667557881623E-3</v>
      </c>
      <c r="O765">
        <f t="shared" ca="1" si="97"/>
        <v>1.3132392419530599</v>
      </c>
      <c r="P765">
        <f t="shared" ca="1" si="98"/>
        <v>1.4110111331401567</v>
      </c>
      <c r="Q765">
        <f t="shared" ca="1" si="99"/>
        <v>1.6954725641560608</v>
      </c>
      <c r="R765">
        <f t="shared" ca="1" si="100"/>
        <v>1.3443912976392547</v>
      </c>
    </row>
    <row r="766" spans="1:18" x14ac:dyDescent="0.3">
      <c r="A766" s="2">
        <f ca="1">IFERROR(__xludf.DUMMYFUNCTION("""COMPUTED_VALUE"""),45336.6666666666)</f>
        <v>45336.666666666599</v>
      </c>
      <c r="B766" s="1">
        <f ca="1">IFERROR(__xludf.DUMMYFUNCTION("""COMPUTED_VALUE"""),498.57)</f>
        <v>498.57</v>
      </c>
      <c r="C766" s="1">
        <f ca="1">IFERROR(__xludf.DUMMYFUNCTION("""COMPUTED_VALUE"""),184.15)</f>
        <v>184.15</v>
      </c>
      <c r="D766" s="1">
        <f ca="1">IFERROR(__xludf.DUMMYFUNCTION("""COMPUTED_VALUE"""),409.49)</f>
        <v>409.49</v>
      </c>
      <c r="E766" s="1">
        <f ca="1">IFERROR(__xludf.DUMMYFUNCTION("""COMPUTED_VALUE"""),176.03)</f>
        <v>176.03</v>
      </c>
      <c r="F766">
        <f t="shared" ca="1" si="93"/>
        <v>9.0875971502590858E-3</v>
      </c>
      <c r="G766">
        <f t="shared" ca="1" si="94"/>
        <v>-4.8097708603544445E-3</v>
      </c>
      <c r="H766">
        <f t="shared" ca="1" si="95"/>
        <v>7.801732624532428E-3</v>
      </c>
      <c r="I766">
        <f t="shared" ca="1" si="96"/>
        <v>1.0157236313554517E-2</v>
      </c>
      <c r="O766">
        <f t="shared" ca="1" si="97"/>
        <v>1.325173431145841</v>
      </c>
      <c r="P766">
        <f t="shared" ca="1" si="98"/>
        <v>1.4042244929083436</v>
      </c>
      <c r="Q766">
        <f t="shared" ca="1" si="99"/>
        <v>1.7087001877738366</v>
      </c>
      <c r="R766">
        <f t="shared" ca="1" si="100"/>
        <v>1.3580465977472627</v>
      </c>
    </row>
    <row r="767" spans="1:18" x14ac:dyDescent="0.3">
      <c r="A767" s="2">
        <f ca="1">IFERROR(__xludf.DUMMYFUNCTION("""COMPUTED_VALUE"""),45337.6666666666)</f>
        <v>45337.666666666599</v>
      </c>
      <c r="B767" s="1">
        <f ca="1">IFERROR(__xludf.DUMMYFUNCTION("""COMPUTED_VALUE"""),502.01)</f>
        <v>502.01</v>
      </c>
      <c r="C767" s="1">
        <f ca="1">IFERROR(__xludf.DUMMYFUNCTION("""COMPUTED_VALUE"""),183.86)</f>
        <v>183.86</v>
      </c>
      <c r="D767" s="1">
        <f ca="1">IFERROR(__xludf.DUMMYFUNCTION("""COMPUTED_VALUE"""),406.56)</f>
        <v>406.56</v>
      </c>
      <c r="E767" s="1">
        <f ca="1">IFERROR(__xludf.DUMMYFUNCTION("""COMPUTED_VALUE"""),179.87)</f>
        <v>179.87</v>
      </c>
      <c r="F767">
        <f t="shared" ca="1" si="93"/>
        <v>6.8997332370579817E-3</v>
      </c>
      <c r="G767">
        <f t="shared" ca="1" si="94"/>
        <v>-1.574803149606256E-3</v>
      </c>
      <c r="H767">
        <f t="shared" ca="1" si="95"/>
        <v>-7.155241886248765E-3</v>
      </c>
      <c r="I767">
        <f t="shared" ca="1" si="96"/>
        <v>2.18144634437312E-2</v>
      </c>
      <c r="O767">
        <f t="shared" ca="1" si="97"/>
        <v>1.334316774313584</v>
      </c>
      <c r="P767">
        <f t="shared" ca="1" si="98"/>
        <v>1.4020131157541573</v>
      </c>
      <c r="Q767">
        <f t="shared" ca="1" si="99"/>
        <v>1.6964740246192362</v>
      </c>
      <c r="R767">
        <f t="shared" ca="1" si="100"/>
        <v>1.3876716556087039</v>
      </c>
    </row>
    <row r="768" spans="1:18" x14ac:dyDescent="0.3">
      <c r="A768" s="2">
        <f ca="1">IFERROR(__xludf.DUMMYFUNCTION("""COMPUTED_VALUE"""),45338.6666666666)</f>
        <v>45338.666666666599</v>
      </c>
      <c r="B768" s="1">
        <f ca="1">IFERROR(__xludf.DUMMYFUNCTION("""COMPUTED_VALUE"""),499.51)</f>
        <v>499.51</v>
      </c>
      <c r="C768" s="1">
        <f ca="1">IFERROR(__xludf.DUMMYFUNCTION("""COMPUTED_VALUE"""),182.31)</f>
        <v>182.31</v>
      </c>
      <c r="D768" s="1">
        <f ca="1">IFERROR(__xludf.DUMMYFUNCTION("""COMPUTED_VALUE"""),404.06)</f>
        <v>404.06</v>
      </c>
      <c r="E768" s="1">
        <f ca="1">IFERROR(__xludf.DUMMYFUNCTION("""COMPUTED_VALUE"""),179.03)</f>
        <v>179.03</v>
      </c>
      <c r="F768">
        <f t="shared" ca="1" si="93"/>
        <v>-4.9799804784765242E-3</v>
      </c>
      <c r="G768">
        <f t="shared" ca="1" si="94"/>
        <v>-8.4303274230393306E-3</v>
      </c>
      <c r="H768">
        <f t="shared" ca="1" si="95"/>
        <v>-6.1491538764266033E-3</v>
      </c>
      <c r="I768">
        <f t="shared" ca="1" si="96"/>
        <v>-4.6700394729527065E-3</v>
      </c>
      <c r="O768">
        <f t="shared" ca="1" si="97"/>
        <v>1.3276719028253987</v>
      </c>
      <c r="P768">
        <f t="shared" ca="1" si="98"/>
        <v>1.3901936861369544</v>
      </c>
      <c r="Q768">
        <f t="shared" ca="1" si="99"/>
        <v>1.686042144794492</v>
      </c>
      <c r="R768">
        <f t="shared" ca="1" si="100"/>
        <v>1.3811911742015135</v>
      </c>
    </row>
    <row r="769" spans="1:18" x14ac:dyDescent="0.3">
      <c r="A769" s="2">
        <f ca="1">IFERROR(__xludf.DUMMYFUNCTION("""COMPUTED_VALUE"""),45342.6666666666)</f>
        <v>45342.666666666599</v>
      </c>
      <c r="B769" s="1">
        <f ca="1">IFERROR(__xludf.DUMMYFUNCTION("""COMPUTED_VALUE"""),496.76)</f>
        <v>496.76</v>
      </c>
      <c r="C769" s="1">
        <f ca="1">IFERROR(__xludf.DUMMYFUNCTION("""COMPUTED_VALUE"""),181.56)</f>
        <v>181.56</v>
      </c>
      <c r="D769" s="1">
        <f ca="1">IFERROR(__xludf.DUMMYFUNCTION("""COMPUTED_VALUE"""),402.79)</f>
        <v>402.79</v>
      </c>
      <c r="E769" s="1">
        <f ca="1">IFERROR(__xludf.DUMMYFUNCTION("""COMPUTED_VALUE"""),179.73)</f>
        <v>179.73</v>
      </c>
      <c r="F769">
        <f t="shared" ca="1" si="93"/>
        <v>-5.5053952873816338E-3</v>
      </c>
      <c r="G769">
        <f t="shared" ca="1" si="94"/>
        <v>-4.1138719763040973E-3</v>
      </c>
      <c r="H769">
        <f t="shared" ca="1" si="95"/>
        <v>-3.143097559768306E-3</v>
      </c>
      <c r="I769">
        <f t="shared" ca="1" si="96"/>
        <v>3.9099592247108786E-3</v>
      </c>
      <c r="O769">
        <f t="shared" ca="1" si="97"/>
        <v>1.3203625441883948</v>
      </c>
      <c r="P769">
        <f t="shared" ca="1" si="98"/>
        <v>1.3844746072899208</v>
      </c>
      <c r="Q769">
        <f t="shared" ca="1" si="99"/>
        <v>1.6807427498435219</v>
      </c>
      <c r="R769">
        <f t="shared" ca="1" si="100"/>
        <v>1.386591575374172</v>
      </c>
    </row>
    <row r="770" spans="1:18" x14ac:dyDescent="0.3">
      <c r="A770" s="2">
        <f ca="1">IFERROR(__xludf.DUMMYFUNCTION("""COMPUTED_VALUE"""),45343.6666666666)</f>
        <v>45343.666666666599</v>
      </c>
      <c r="B770" s="1">
        <f ca="1">IFERROR(__xludf.DUMMYFUNCTION("""COMPUTED_VALUE"""),497.21)</f>
        <v>497.21</v>
      </c>
      <c r="C770" s="1">
        <f ca="1">IFERROR(__xludf.DUMMYFUNCTION("""COMPUTED_VALUE"""),182.32)</f>
        <v>182.32</v>
      </c>
      <c r="D770" s="1">
        <f ca="1">IFERROR(__xludf.DUMMYFUNCTION("""COMPUTED_VALUE"""),402.18)</f>
        <v>402.18</v>
      </c>
      <c r="E770" s="1">
        <f ca="1">IFERROR(__xludf.DUMMYFUNCTION("""COMPUTED_VALUE"""),180.9)</f>
        <v>180.9</v>
      </c>
      <c r="F770">
        <f t="shared" ca="1" si="93"/>
        <v>9.0587003784521429E-4</v>
      </c>
      <c r="G770">
        <f t="shared" ca="1" si="94"/>
        <v>4.1859440405375131E-3</v>
      </c>
      <c r="H770">
        <f t="shared" ca="1" si="95"/>
        <v>-1.5144368032970373E-3</v>
      </c>
      <c r="I770">
        <f t="shared" ca="1" si="96"/>
        <v>6.5097646469705443E-3</v>
      </c>
      <c r="O770">
        <f t="shared" ca="1" si="97"/>
        <v>1.3215586210562682</v>
      </c>
      <c r="P770">
        <f t="shared" ca="1" si="98"/>
        <v>1.3902699405215815</v>
      </c>
      <c r="Q770">
        <f t="shared" ca="1" si="99"/>
        <v>1.6781973711662843</v>
      </c>
      <c r="R770">
        <f t="shared" ca="1" si="100"/>
        <v>1.3956179601913299</v>
      </c>
    </row>
    <row r="771" spans="1:18" x14ac:dyDescent="0.3">
      <c r="A771" s="2">
        <f ca="1">IFERROR(__xludf.DUMMYFUNCTION("""COMPUTED_VALUE"""),45344.6666666666)</f>
        <v>45344.666666666599</v>
      </c>
      <c r="B771" s="1">
        <f ca="1">IFERROR(__xludf.DUMMYFUNCTION("""COMPUTED_VALUE"""),507.5)</f>
        <v>507.5</v>
      </c>
      <c r="C771" s="1">
        <f ca="1">IFERROR(__xludf.DUMMYFUNCTION("""COMPUTED_VALUE"""),184.37)</f>
        <v>184.37</v>
      </c>
      <c r="D771" s="1">
        <f ca="1">IFERROR(__xludf.DUMMYFUNCTION("""COMPUTED_VALUE"""),411.65)</f>
        <v>411.65</v>
      </c>
      <c r="E771" s="1">
        <f ca="1">IFERROR(__xludf.DUMMYFUNCTION("""COMPUTED_VALUE"""),183.07)</f>
        <v>183.07</v>
      </c>
      <c r="F771">
        <f t="shared" ca="1" si="93"/>
        <v>2.0695480782767887E-2</v>
      </c>
      <c r="G771">
        <f t="shared" ca="1" si="94"/>
        <v>1.1243966652040431E-2</v>
      </c>
      <c r="H771">
        <f t="shared" ca="1" si="95"/>
        <v>2.3546670644984759E-2</v>
      </c>
      <c r="I771">
        <f t="shared" ca="1" si="96"/>
        <v>1.1995577667219389E-2</v>
      </c>
      <c r="O771">
        <f t="shared" ca="1" si="97"/>
        <v>1.3489089121016395</v>
      </c>
      <c r="P771">
        <f t="shared" ca="1" si="98"/>
        <v>1.4059020893701406</v>
      </c>
      <c r="Q771">
        <f t="shared" ca="1" si="99"/>
        <v>1.717713331942416</v>
      </c>
      <c r="R771">
        <f t="shared" ca="1" si="100"/>
        <v>1.4123592038265713</v>
      </c>
    </row>
    <row r="772" spans="1:18" x14ac:dyDescent="0.3">
      <c r="A772" s="2">
        <f ca="1">IFERROR(__xludf.DUMMYFUNCTION("""COMPUTED_VALUE"""),45345.6666666666)</f>
        <v>45345.666666666599</v>
      </c>
      <c r="B772" s="1">
        <f ca="1">IFERROR(__xludf.DUMMYFUNCTION("""COMPUTED_VALUE"""),507.85)</f>
        <v>507.85</v>
      </c>
      <c r="C772" s="1">
        <f ca="1">IFERROR(__xludf.DUMMYFUNCTION("""COMPUTED_VALUE"""),182.52)</f>
        <v>182.52</v>
      </c>
      <c r="D772" s="1">
        <f ca="1">IFERROR(__xludf.DUMMYFUNCTION("""COMPUTED_VALUE"""),410.34)</f>
        <v>410.34</v>
      </c>
      <c r="E772" s="1">
        <f ca="1">IFERROR(__xludf.DUMMYFUNCTION("""COMPUTED_VALUE"""),183.99)</f>
        <v>183.99</v>
      </c>
      <c r="F772">
        <f t="shared" ref="F772:F835" ca="1" si="101">(B772-B771)/B771</f>
        <v>6.8965517241383794E-4</v>
      </c>
      <c r="G772">
        <f t="shared" ref="G772:G835" ca="1" si="102">(C772-C771)/C771</f>
        <v>-1.0034170418180801E-2</v>
      </c>
      <c r="H772">
        <f t="shared" ref="H772:H835" ca="1" si="103">(D772-D771)/D771</f>
        <v>-3.1823150734847623E-3</v>
      </c>
      <c r="I772">
        <f t="shared" ref="I772:I835" ca="1" si="104">(E772-E771)/E771</f>
        <v>5.0254001201726984E-3</v>
      </c>
      <c r="O772">
        <f t="shared" ref="O772:O835" ca="1" si="105">O771*(1+F772)</f>
        <v>1.3498391941099854</v>
      </c>
      <c r="P772">
        <f t="shared" ref="P772:P835" ca="1" si="106">P771*(1+G772)</f>
        <v>1.3917950282141243</v>
      </c>
      <c r="Q772">
        <f t="shared" ref="Q772:Q835" ca="1" si="107">Q771*(1+H772)</f>
        <v>1.71224702691425</v>
      </c>
      <c r="R772">
        <f t="shared" ref="R772:R835" ca="1" si="108">R771*(1+I772)</f>
        <v>1.4194568739392082</v>
      </c>
    </row>
    <row r="773" spans="1:18" x14ac:dyDescent="0.3">
      <c r="A773" s="2">
        <f ca="1">IFERROR(__xludf.DUMMYFUNCTION("""COMPUTED_VALUE"""),45348.6666666666)</f>
        <v>45348.666666666599</v>
      </c>
      <c r="B773" s="1">
        <f ca="1">IFERROR(__xludf.DUMMYFUNCTION("""COMPUTED_VALUE"""),505.99)</f>
        <v>505.99</v>
      </c>
      <c r="C773" s="1">
        <f ca="1">IFERROR(__xludf.DUMMYFUNCTION("""COMPUTED_VALUE"""),181.16)</f>
        <v>181.16</v>
      </c>
      <c r="D773" s="1">
        <f ca="1">IFERROR(__xludf.DUMMYFUNCTION("""COMPUTED_VALUE"""),407.54)</f>
        <v>407.54</v>
      </c>
      <c r="E773" s="1">
        <f ca="1">IFERROR(__xludf.DUMMYFUNCTION("""COMPUTED_VALUE"""),183.36)</f>
        <v>183.36</v>
      </c>
      <c r="F773">
        <f t="shared" ca="1" si="101"/>
        <v>-3.6624987693216768E-3</v>
      </c>
      <c r="G773">
        <f t="shared" ca="1" si="102"/>
        <v>-7.4512382204690638E-3</v>
      </c>
      <c r="H773">
        <f t="shared" ca="1" si="103"/>
        <v>-6.8236096895256488E-3</v>
      </c>
      <c r="I773">
        <f t="shared" ca="1" si="104"/>
        <v>-3.424099135822574E-3</v>
      </c>
      <c r="O773">
        <f t="shared" ca="1" si="105"/>
        <v>1.3448954097227754</v>
      </c>
      <c r="P773">
        <f t="shared" ca="1" si="106"/>
        <v>1.3814244319048363</v>
      </c>
      <c r="Q773">
        <f t="shared" ca="1" si="107"/>
        <v>1.7005633215105365</v>
      </c>
      <c r="R773">
        <f t="shared" ca="1" si="108"/>
        <v>1.4145965128838156</v>
      </c>
    </row>
    <row r="774" spans="1:18" x14ac:dyDescent="0.3">
      <c r="A774" s="2">
        <f ca="1">IFERROR(__xludf.DUMMYFUNCTION("""COMPUTED_VALUE"""),45349.6666666666)</f>
        <v>45349.666666666599</v>
      </c>
      <c r="B774" s="1">
        <f ca="1">IFERROR(__xludf.DUMMYFUNCTION("""COMPUTED_VALUE"""),506.93)</f>
        <v>506.93</v>
      </c>
      <c r="C774" s="1">
        <f ca="1">IFERROR(__xludf.DUMMYFUNCTION("""COMPUTED_VALUE"""),182.63)</f>
        <v>182.63</v>
      </c>
      <c r="D774" s="1">
        <f ca="1">IFERROR(__xludf.DUMMYFUNCTION("""COMPUTED_VALUE"""),407.48)</f>
        <v>407.48</v>
      </c>
      <c r="E774" s="1">
        <f ca="1">IFERROR(__xludf.DUMMYFUNCTION("""COMPUTED_VALUE"""),183.45)</f>
        <v>183.45</v>
      </c>
      <c r="F774">
        <f t="shared" ca="1" si="101"/>
        <v>1.8577442241941495E-3</v>
      </c>
      <c r="G774">
        <f t="shared" ca="1" si="102"/>
        <v>8.1143740340030857E-3</v>
      </c>
      <c r="H774">
        <f t="shared" ca="1" si="103"/>
        <v>-1.4722481228836989E-4</v>
      </c>
      <c r="I774">
        <f t="shared" ca="1" si="104"/>
        <v>4.9083769633494212E-4</v>
      </c>
      <c r="O774">
        <f t="shared" ca="1" si="105"/>
        <v>1.347393881402333</v>
      </c>
      <c r="P774">
        <f t="shared" ca="1" si="106"/>
        <v>1.3926338264450224</v>
      </c>
      <c r="Q774">
        <f t="shared" ca="1" si="107"/>
        <v>1.7003129563947426</v>
      </c>
      <c r="R774">
        <f t="shared" ca="1" si="108"/>
        <v>1.4152908501774428</v>
      </c>
    </row>
    <row r="775" spans="1:18" x14ac:dyDescent="0.3">
      <c r="A775" s="2">
        <f ca="1">IFERROR(__xludf.DUMMYFUNCTION("""COMPUTED_VALUE"""),45350.6666666666)</f>
        <v>45350.666666666599</v>
      </c>
      <c r="B775" s="1">
        <f ca="1">IFERROR(__xludf.DUMMYFUNCTION("""COMPUTED_VALUE"""),506.26)</f>
        <v>506.26</v>
      </c>
      <c r="C775" s="1">
        <f ca="1">IFERROR(__xludf.DUMMYFUNCTION("""COMPUTED_VALUE"""),181.42)</f>
        <v>181.42</v>
      </c>
      <c r="D775" s="1">
        <f ca="1">IFERROR(__xludf.DUMMYFUNCTION("""COMPUTED_VALUE"""),407.72)</f>
        <v>407.72</v>
      </c>
      <c r="E775" s="1">
        <f ca="1">IFERROR(__xludf.DUMMYFUNCTION("""COMPUTED_VALUE"""),184.38)</f>
        <v>184.38</v>
      </c>
      <c r="F775">
        <f t="shared" ca="1" si="101"/>
        <v>-1.3216814944864495E-3</v>
      </c>
      <c r="G775">
        <f t="shared" ca="1" si="102"/>
        <v>-6.6254175108142578E-3</v>
      </c>
      <c r="H775">
        <f t="shared" ca="1" si="103"/>
        <v>5.8898596250124937E-4</v>
      </c>
      <c r="I775">
        <f t="shared" ca="1" si="104"/>
        <v>5.0695012264922699E-3</v>
      </c>
      <c r="O775">
        <f t="shared" ca="1" si="105"/>
        <v>1.3456130558434993</v>
      </c>
      <c r="P775">
        <f t="shared" ca="1" si="106"/>
        <v>1.3834070459051413</v>
      </c>
      <c r="Q775">
        <f t="shared" ca="1" si="107"/>
        <v>1.701314416857918</v>
      </c>
      <c r="R775">
        <f t="shared" ca="1" si="108"/>
        <v>1.4224656688782606</v>
      </c>
    </row>
    <row r="776" spans="1:18" x14ac:dyDescent="0.3">
      <c r="A776" s="2">
        <f ca="1">IFERROR(__xludf.DUMMYFUNCTION("""COMPUTED_VALUE"""),45351.6666666666)</f>
        <v>45351.666666666599</v>
      </c>
      <c r="B776" s="1">
        <f ca="1">IFERROR(__xludf.DUMMYFUNCTION("""COMPUTED_VALUE"""),508.08)</f>
        <v>508.08</v>
      </c>
      <c r="C776" s="1">
        <f ca="1">IFERROR(__xludf.DUMMYFUNCTION("""COMPUTED_VALUE"""),180.75)</f>
        <v>180.75</v>
      </c>
      <c r="D776" s="1">
        <f ca="1">IFERROR(__xludf.DUMMYFUNCTION("""COMPUTED_VALUE"""),413.64)</f>
        <v>413.64</v>
      </c>
      <c r="E776" s="1">
        <f ca="1">IFERROR(__xludf.DUMMYFUNCTION("""COMPUTED_VALUE"""),186.06)</f>
        <v>186.06</v>
      </c>
      <c r="F776">
        <f t="shared" ca="1" si="101"/>
        <v>3.5949907162327525E-3</v>
      </c>
      <c r="G776">
        <f t="shared" ca="1" si="102"/>
        <v>-3.6930878624186281E-3</v>
      </c>
      <c r="H776">
        <f t="shared" ca="1" si="103"/>
        <v>1.4519768468556751E-2</v>
      </c>
      <c r="I776">
        <f t="shared" ca="1" si="104"/>
        <v>9.1116173120729307E-3</v>
      </c>
      <c r="O776">
        <f t="shared" ca="1" si="105"/>
        <v>1.3504505222868983</v>
      </c>
      <c r="P776">
        <f t="shared" ca="1" si="106"/>
        <v>1.3782980021351245</v>
      </c>
      <c r="Q776">
        <f t="shared" ca="1" si="107"/>
        <v>1.7260171082829125</v>
      </c>
      <c r="R776">
        <f t="shared" ca="1" si="108"/>
        <v>1.4354266316926412</v>
      </c>
    </row>
    <row r="777" spans="1:18" x14ac:dyDescent="0.3">
      <c r="A777" s="2">
        <f ca="1">IFERROR(__xludf.DUMMYFUNCTION("""COMPUTED_VALUE"""),45352.6666666666)</f>
        <v>45352.666666666599</v>
      </c>
      <c r="B777" s="1">
        <f ca="1">IFERROR(__xludf.DUMMYFUNCTION("""COMPUTED_VALUE"""),512.85)</f>
        <v>512.85</v>
      </c>
      <c r="C777" s="1">
        <f ca="1">IFERROR(__xludf.DUMMYFUNCTION("""COMPUTED_VALUE"""),179.66)</f>
        <v>179.66</v>
      </c>
      <c r="D777" s="1">
        <f ca="1">IFERROR(__xludf.DUMMYFUNCTION("""COMPUTED_VALUE"""),415.5)</f>
        <v>415.5</v>
      </c>
      <c r="E777" s="1">
        <f ca="1">IFERROR(__xludf.DUMMYFUNCTION("""COMPUTED_VALUE"""),185.29)</f>
        <v>185.29</v>
      </c>
      <c r="F777">
        <f t="shared" ca="1" si="101"/>
        <v>9.3882853094001701E-3</v>
      </c>
      <c r="G777">
        <f t="shared" ca="1" si="102"/>
        <v>-6.0304287690179995E-3</v>
      </c>
      <c r="H777">
        <f t="shared" ca="1" si="103"/>
        <v>4.4966637655933029E-3</v>
      </c>
      <c r="I777">
        <f t="shared" ca="1" si="104"/>
        <v>-4.1384499623777823E-3</v>
      </c>
      <c r="O777">
        <f t="shared" ca="1" si="105"/>
        <v>1.3631289370863564</v>
      </c>
      <c r="P777">
        <f t="shared" ca="1" si="106"/>
        <v>1.3699862742107687</v>
      </c>
      <c r="Q777">
        <f t="shared" ca="1" si="107"/>
        <v>1.7337784268725223</v>
      </c>
      <c r="R777">
        <f t="shared" ca="1" si="108"/>
        <v>1.4294861904027167</v>
      </c>
    </row>
    <row r="778" spans="1:18" x14ac:dyDescent="0.3">
      <c r="A778" s="2">
        <f ca="1">IFERROR(__xludf.DUMMYFUNCTION("""COMPUTED_VALUE"""),45355.6666666666)</f>
        <v>45355.666666666599</v>
      </c>
      <c r="B778" s="1">
        <f ca="1">IFERROR(__xludf.DUMMYFUNCTION("""COMPUTED_VALUE"""),512.3)</f>
        <v>512.29999999999995</v>
      </c>
      <c r="C778" s="1">
        <f ca="1">IFERROR(__xludf.DUMMYFUNCTION("""COMPUTED_VALUE"""),175.1)</f>
        <v>175.1</v>
      </c>
      <c r="D778" s="1">
        <f ca="1">IFERROR(__xludf.DUMMYFUNCTION("""COMPUTED_VALUE"""),414.92)</f>
        <v>414.92</v>
      </c>
      <c r="E778" s="1">
        <f ca="1">IFERROR(__xludf.DUMMYFUNCTION("""COMPUTED_VALUE"""),186.68)</f>
        <v>186.68</v>
      </c>
      <c r="F778">
        <f t="shared" ca="1" si="101"/>
        <v>-1.0724383347958822E-3</v>
      </c>
      <c r="G778">
        <f t="shared" ca="1" si="102"/>
        <v>-2.5381275743070256E-2</v>
      </c>
      <c r="H778">
        <f t="shared" ca="1" si="103"/>
        <v>-1.3959085439229461E-3</v>
      </c>
      <c r="I778">
        <f t="shared" ca="1" si="104"/>
        <v>7.5017540072319869E-3</v>
      </c>
      <c r="O778">
        <f t="shared" ca="1" si="105"/>
        <v>1.3616670653589555</v>
      </c>
      <c r="P778">
        <f t="shared" ca="1" si="106"/>
        <v>1.3352142748208038</v>
      </c>
      <c r="Q778">
        <f t="shared" ca="1" si="107"/>
        <v>1.7313582307531816</v>
      </c>
      <c r="R778">
        <f t="shared" ca="1" si="108"/>
        <v>1.440209844159853</v>
      </c>
    </row>
    <row r="779" spans="1:18" x14ac:dyDescent="0.3">
      <c r="A779" s="2">
        <f ca="1">IFERROR(__xludf.DUMMYFUNCTION("""COMPUTED_VALUE"""),45356.6666666666)</f>
        <v>45356.666666666599</v>
      </c>
      <c r="B779" s="1">
        <f ca="1">IFERROR(__xludf.DUMMYFUNCTION("""COMPUTED_VALUE"""),507.18)</f>
        <v>507.18</v>
      </c>
      <c r="C779" s="1">
        <f ca="1">IFERROR(__xludf.DUMMYFUNCTION("""COMPUTED_VALUE"""),170.12)</f>
        <v>170.12</v>
      </c>
      <c r="D779" s="1">
        <f ca="1">IFERROR(__xludf.DUMMYFUNCTION("""COMPUTED_VALUE"""),402.65)</f>
        <v>402.65</v>
      </c>
      <c r="E779" s="1">
        <f ca="1">IFERROR(__xludf.DUMMYFUNCTION("""COMPUTED_VALUE"""),188.55)</f>
        <v>188.55</v>
      </c>
      <c r="F779">
        <f t="shared" ca="1" si="101"/>
        <v>-9.9941440562169599E-3</v>
      </c>
      <c r="G779">
        <f t="shared" ca="1" si="102"/>
        <v>-2.8440890919474528E-2</v>
      </c>
      <c r="H779">
        <f t="shared" ca="1" si="103"/>
        <v>-2.95719656801312E-2</v>
      </c>
      <c r="I779">
        <f t="shared" ca="1" si="104"/>
        <v>1.0017141632740542E-2</v>
      </c>
      <c r="O779">
        <f t="shared" ca="1" si="105"/>
        <v>1.3480583685511518</v>
      </c>
      <c r="P779">
        <f t="shared" ca="1" si="106"/>
        <v>1.2972395912765</v>
      </c>
      <c r="Q779">
        <f t="shared" ca="1" si="107"/>
        <v>1.6801585645733359</v>
      </c>
      <c r="R779">
        <f t="shared" ca="1" si="108"/>
        <v>1.4546366301496694</v>
      </c>
    </row>
    <row r="780" spans="1:18" x14ac:dyDescent="0.3">
      <c r="A780" s="2">
        <f ca="1">IFERROR(__xludf.DUMMYFUNCTION("""COMPUTED_VALUE"""),45357.6666666666)</f>
        <v>45357.666666666599</v>
      </c>
      <c r="B780" s="1">
        <f ca="1">IFERROR(__xludf.DUMMYFUNCTION("""COMPUTED_VALUE"""),509.75)</f>
        <v>509.75</v>
      </c>
      <c r="C780" s="1">
        <f ca="1">IFERROR(__xludf.DUMMYFUNCTION("""COMPUTED_VALUE"""),169.12)</f>
        <v>169.12</v>
      </c>
      <c r="D780" s="1">
        <f ca="1">IFERROR(__xludf.DUMMYFUNCTION("""COMPUTED_VALUE"""),402.09)</f>
        <v>402.09</v>
      </c>
      <c r="E780" s="1">
        <f ca="1">IFERROR(__xludf.DUMMYFUNCTION("""COMPUTED_VALUE"""),189.53)</f>
        <v>189.53</v>
      </c>
      <c r="F780">
        <f t="shared" ca="1" si="101"/>
        <v>5.0672345124018947E-3</v>
      </c>
      <c r="G780">
        <f t="shared" ca="1" si="102"/>
        <v>-5.87820362097343E-3</v>
      </c>
      <c r="H780">
        <f t="shared" ca="1" si="103"/>
        <v>-1.390786042468651E-3</v>
      </c>
      <c r="I780">
        <f t="shared" ca="1" si="104"/>
        <v>5.1975603288251905E-3</v>
      </c>
      <c r="O780">
        <f t="shared" ca="1" si="105"/>
        <v>1.3548892964410064</v>
      </c>
      <c r="P780">
        <f t="shared" ca="1" si="106"/>
        <v>1.2896141528137883</v>
      </c>
      <c r="Q780">
        <f t="shared" ca="1" si="107"/>
        <v>1.677821823492593</v>
      </c>
      <c r="R780">
        <f t="shared" ca="1" si="108"/>
        <v>1.4621971917913914</v>
      </c>
    </row>
    <row r="781" spans="1:18" x14ac:dyDescent="0.3">
      <c r="A781" s="2">
        <f ca="1">IFERROR(__xludf.DUMMYFUNCTION("""COMPUTED_VALUE"""),45358.6666666666)</f>
        <v>45358.666666666599</v>
      </c>
      <c r="B781" s="1">
        <f ca="1">IFERROR(__xludf.DUMMYFUNCTION("""COMPUTED_VALUE"""),514.81)</f>
        <v>514.80999999999995</v>
      </c>
      <c r="C781" s="1">
        <f ca="1">IFERROR(__xludf.DUMMYFUNCTION("""COMPUTED_VALUE"""),169)</f>
        <v>169</v>
      </c>
      <c r="D781" s="1">
        <f ca="1">IFERROR(__xludf.DUMMYFUNCTION("""COMPUTED_VALUE"""),409.14)</f>
        <v>409.14</v>
      </c>
      <c r="E781" s="1">
        <f ca="1">IFERROR(__xludf.DUMMYFUNCTION("""COMPUTED_VALUE"""),187.87)</f>
        <v>187.87</v>
      </c>
      <c r="F781">
        <f t="shared" ca="1" si="101"/>
        <v>9.9264345267286811E-3</v>
      </c>
      <c r="G781">
        <f t="shared" ca="1" si="102"/>
        <v>-7.0955534531696161E-4</v>
      </c>
      <c r="H781">
        <f t="shared" ca="1" si="103"/>
        <v>1.7533388047452091E-2</v>
      </c>
      <c r="I781">
        <f t="shared" ca="1" si="104"/>
        <v>-8.7585078879332898E-3</v>
      </c>
      <c r="O781">
        <f t="shared" ca="1" si="105"/>
        <v>1.3683385163330937</v>
      </c>
      <c r="P781">
        <f t="shared" ca="1" si="106"/>
        <v>1.2886991001982631</v>
      </c>
      <c r="Q781">
        <f t="shared" ca="1" si="107"/>
        <v>1.7072397245983726</v>
      </c>
      <c r="R781">
        <f t="shared" ca="1" si="108"/>
        <v>1.4493905261533726</v>
      </c>
    </row>
    <row r="782" spans="1:18" x14ac:dyDescent="0.3">
      <c r="A782" s="2">
        <f ca="1">IFERROR(__xludf.DUMMYFUNCTION("""COMPUTED_VALUE"""),45359.6666666666)</f>
        <v>45359.666666666599</v>
      </c>
      <c r="B782" s="1">
        <f ca="1">IFERROR(__xludf.DUMMYFUNCTION("""COMPUTED_VALUE"""),511.72)</f>
        <v>511.72</v>
      </c>
      <c r="C782" s="1">
        <f ca="1">IFERROR(__xludf.DUMMYFUNCTION("""COMPUTED_VALUE"""),170.73)</f>
        <v>170.73</v>
      </c>
      <c r="D782" s="1">
        <f ca="1">IFERROR(__xludf.DUMMYFUNCTION("""COMPUTED_VALUE"""),406.22)</f>
        <v>406.22</v>
      </c>
      <c r="E782" s="1">
        <f ca="1">IFERROR(__xludf.DUMMYFUNCTION("""COMPUTED_VALUE"""),188.22)</f>
        <v>188.22</v>
      </c>
      <c r="F782">
        <f t="shared" ca="1" si="101"/>
        <v>-6.002214409199352E-3</v>
      </c>
      <c r="G782">
        <f t="shared" ca="1" si="102"/>
        <v>1.0236686390532483E-2</v>
      </c>
      <c r="H782">
        <f t="shared" ca="1" si="103"/>
        <v>-7.1369213472160121E-3</v>
      </c>
      <c r="I782">
        <f t="shared" ca="1" si="104"/>
        <v>1.8629903656783642E-3</v>
      </c>
      <c r="O782">
        <f t="shared" ca="1" si="105"/>
        <v>1.3601254551736968</v>
      </c>
      <c r="P782">
        <f t="shared" ca="1" si="106"/>
        <v>1.3018911087387541</v>
      </c>
      <c r="Q782">
        <f t="shared" ca="1" si="107"/>
        <v>1.6950552889630712</v>
      </c>
      <c r="R782">
        <f t="shared" ca="1" si="108"/>
        <v>1.4520907267397019</v>
      </c>
    </row>
    <row r="783" spans="1:18" x14ac:dyDescent="0.3">
      <c r="A783" s="2">
        <f ca="1">IFERROR(__xludf.DUMMYFUNCTION("""COMPUTED_VALUE"""),45362.6666666666)</f>
        <v>45362.666666666599</v>
      </c>
      <c r="B783" s="1">
        <f ca="1">IFERROR(__xludf.DUMMYFUNCTION("""COMPUTED_VALUE"""),511.28)</f>
        <v>511.28</v>
      </c>
      <c r="C783" s="1">
        <f ca="1">IFERROR(__xludf.DUMMYFUNCTION("""COMPUTED_VALUE"""),172.75)</f>
        <v>172.75</v>
      </c>
      <c r="D783" s="1">
        <f ca="1">IFERROR(__xludf.DUMMYFUNCTION("""COMPUTED_VALUE"""),404.52)</f>
        <v>404.52</v>
      </c>
      <c r="E783" s="1">
        <f ca="1">IFERROR(__xludf.DUMMYFUNCTION("""COMPUTED_VALUE"""),188.29)</f>
        <v>188.29</v>
      </c>
      <c r="F783">
        <f t="shared" ca="1" si="101"/>
        <v>-8.5984522785909198E-4</v>
      </c>
      <c r="G783">
        <f t="shared" ca="1" si="102"/>
        <v>1.1831546886897502E-2</v>
      </c>
      <c r="H783">
        <f t="shared" ca="1" si="103"/>
        <v>-4.1849244251884335E-3</v>
      </c>
      <c r="I783">
        <f t="shared" ca="1" si="104"/>
        <v>3.7190521729886928E-4</v>
      </c>
      <c r="O783">
        <f t="shared" ca="1" si="105"/>
        <v>1.358955957791776</v>
      </c>
      <c r="P783">
        <f t="shared" ca="1" si="106"/>
        <v>1.3172944944334317</v>
      </c>
      <c r="Q783">
        <f t="shared" ca="1" si="107"/>
        <v>1.6879616106822448</v>
      </c>
      <c r="R783">
        <f t="shared" ca="1" si="108"/>
        <v>1.4526307668569676</v>
      </c>
    </row>
    <row r="784" spans="1:18" x14ac:dyDescent="0.3">
      <c r="A784" s="2">
        <f ca="1">IFERROR(__xludf.DUMMYFUNCTION("""COMPUTED_VALUE"""),45363.6666666666)</f>
        <v>45363.666666666599</v>
      </c>
      <c r="B784" s="1">
        <f ca="1">IFERROR(__xludf.DUMMYFUNCTION("""COMPUTED_VALUE"""),516.78)</f>
        <v>516.78</v>
      </c>
      <c r="C784" s="1">
        <f ca="1">IFERROR(__xludf.DUMMYFUNCTION("""COMPUTED_VALUE"""),173.23)</f>
        <v>173.23</v>
      </c>
      <c r="D784" s="1">
        <f ca="1">IFERROR(__xludf.DUMMYFUNCTION("""COMPUTED_VALUE"""),415.28)</f>
        <v>415.28</v>
      </c>
      <c r="E784" s="1">
        <f ca="1">IFERROR(__xludf.DUMMYFUNCTION("""COMPUTED_VALUE"""),189.84)</f>
        <v>189.84</v>
      </c>
      <c r="F784">
        <f t="shared" ca="1" si="101"/>
        <v>1.0757314974182445E-2</v>
      </c>
      <c r="G784">
        <f t="shared" ca="1" si="102"/>
        <v>2.7785817655571043E-3</v>
      </c>
      <c r="H784">
        <f t="shared" ca="1" si="103"/>
        <v>2.6599426480767307E-2</v>
      </c>
      <c r="I784">
        <f t="shared" ca="1" si="104"/>
        <v>8.2319825800627293E-3</v>
      </c>
      <c r="O784">
        <f t="shared" ca="1" si="105"/>
        <v>1.373574675065784</v>
      </c>
      <c r="P784">
        <f t="shared" ca="1" si="106"/>
        <v>1.320954704895533</v>
      </c>
      <c r="Q784">
        <f t="shared" ca="1" si="107"/>
        <v>1.7328604214479448</v>
      </c>
      <c r="R784">
        <f t="shared" ca="1" si="108"/>
        <v>1.4645887980249974</v>
      </c>
    </row>
    <row r="785" spans="1:18" x14ac:dyDescent="0.3">
      <c r="A785" s="2">
        <f ca="1">IFERROR(__xludf.DUMMYFUNCTION("""COMPUTED_VALUE"""),45364.6666666666)</f>
        <v>45364.666666666599</v>
      </c>
      <c r="B785" s="1">
        <f ca="1">IFERROR(__xludf.DUMMYFUNCTION("""COMPUTED_VALUE"""),515.97)</f>
        <v>515.97</v>
      </c>
      <c r="C785" s="1">
        <f ca="1">IFERROR(__xludf.DUMMYFUNCTION("""COMPUTED_VALUE"""),171.13)</f>
        <v>171.13</v>
      </c>
      <c r="D785" s="1">
        <f ca="1">IFERROR(__xludf.DUMMYFUNCTION("""COMPUTED_VALUE"""),415.1)</f>
        <v>415.1</v>
      </c>
      <c r="E785" s="1">
        <f ca="1">IFERROR(__xludf.DUMMYFUNCTION("""COMPUTED_VALUE"""),191.38)</f>
        <v>191.38</v>
      </c>
      <c r="F785">
        <f t="shared" ca="1" si="101"/>
        <v>-1.5673981191221516E-3</v>
      </c>
      <c r="G785">
        <f t="shared" ca="1" si="102"/>
        <v>-1.2122611556889653E-2</v>
      </c>
      <c r="H785">
        <f t="shared" ca="1" si="103"/>
        <v>-4.3344249662866015E-4</v>
      </c>
      <c r="I785">
        <f t="shared" ca="1" si="104"/>
        <v>8.1120943952801942E-3</v>
      </c>
      <c r="O785">
        <f t="shared" ca="1" si="105"/>
        <v>1.3714217367036121</v>
      </c>
      <c r="P785">
        <f t="shared" ca="1" si="106"/>
        <v>1.3049412841238386</v>
      </c>
      <c r="Q785">
        <f t="shared" ca="1" si="107"/>
        <v>1.7321093261005633</v>
      </c>
      <c r="R785">
        <f t="shared" ca="1" si="108"/>
        <v>1.4764696806048461</v>
      </c>
    </row>
    <row r="786" spans="1:18" x14ac:dyDescent="0.3">
      <c r="A786" s="2">
        <f ca="1">IFERROR(__xludf.DUMMYFUNCTION("""COMPUTED_VALUE"""),45365.6666666666)</f>
        <v>45365.666666666599</v>
      </c>
      <c r="B786" s="1">
        <f ca="1">IFERROR(__xludf.DUMMYFUNCTION("""COMPUTED_VALUE"""),514.95)</f>
        <v>514.95000000000005</v>
      </c>
      <c r="C786" s="1">
        <f ca="1">IFERROR(__xludf.DUMMYFUNCTION("""COMPUTED_VALUE"""),173)</f>
        <v>173</v>
      </c>
      <c r="D786" s="1">
        <f ca="1">IFERROR(__xludf.DUMMYFUNCTION("""COMPUTED_VALUE"""),425.22)</f>
        <v>425.22</v>
      </c>
      <c r="E786" s="1">
        <f ca="1">IFERROR(__xludf.DUMMYFUNCTION("""COMPUTED_VALUE"""),187.97)</f>
        <v>187.97</v>
      </c>
      <c r="F786">
        <f t="shared" ca="1" si="101"/>
        <v>-1.976859119716227E-3</v>
      </c>
      <c r="G786">
        <f t="shared" ca="1" si="102"/>
        <v>1.0927365160988748E-2</v>
      </c>
      <c r="H786">
        <f t="shared" ca="1" si="103"/>
        <v>2.4379667549987966E-2</v>
      </c>
      <c r="I786">
        <f t="shared" ca="1" si="104"/>
        <v>-1.7817953809175446E-2</v>
      </c>
      <c r="O786">
        <f t="shared" ca="1" si="105"/>
        <v>1.3687106291364326</v>
      </c>
      <c r="P786">
        <f t="shared" ca="1" si="106"/>
        <v>1.3192008540491094</v>
      </c>
      <c r="Q786">
        <f t="shared" ca="1" si="107"/>
        <v>1.7743375756311286</v>
      </c>
      <c r="R786">
        <f t="shared" ca="1" si="108"/>
        <v>1.450162012035181</v>
      </c>
    </row>
    <row r="787" spans="1:18" x14ac:dyDescent="0.3">
      <c r="A787" s="2">
        <f ca="1">IFERROR(__xludf.DUMMYFUNCTION("""COMPUTED_VALUE"""),45366.6666666666)</f>
        <v>45366.666666666599</v>
      </c>
      <c r="B787" s="1">
        <f ca="1">IFERROR(__xludf.DUMMYFUNCTION("""COMPUTED_VALUE"""),509.83)</f>
        <v>509.83</v>
      </c>
      <c r="C787" s="1">
        <f ca="1">IFERROR(__xludf.DUMMYFUNCTION("""COMPUTED_VALUE"""),172.62)</f>
        <v>172.62</v>
      </c>
      <c r="D787" s="1">
        <f ca="1">IFERROR(__xludf.DUMMYFUNCTION("""COMPUTED_VALUE"""),416.42)</f>
        <v>416.42</v>
      </c>
      <c r="E787" s="1">
        <f ca="1">IFERROR(__xludf.DUMMYFUNCTION("""COMPUTED_VALUE"""),190.3)</f>
        <v>190.3</v>
      </c>
      <c r="F787">
        <f t="shared" ca="1" si="101"/>
        <v>-9.9427128847462097E-3</v>
      </c>
      <c r="G787">
        <f t="shared" ca="1" si="102"/>
        <v>-2.1965317919074882E-3</v>
      </c>
      <c r="H787">
        <f t="shared" ca="1" si="103"/>
        <v>-2.0695169559286984E-2</v>
      </c>
      <c r="I787">
        <f t="shared" ca="1" si="104"/>
        <v>1.2395595041762049E-2</v>
      </c>
      <c r="O787">
        <f t="shared" ca="1" si="105"/>
        <v>1.3551019323286286</v>
      </c>
      <c r="P787">
        <f t="shared" ca="1" si="106"/>
        <v>1.3163031874332789</v>
      </c>
      <c r="Q787">
        <f t="shared" ca="1" si="107"/>
        <v>1.7376173586480281</v>
      </c>
      <c r="R787">
        <f t="shared" ca="1" si="108"/>
        <v>1.4681376330813158</v>
      </c>
    </row>
    <row r="788" spans="1:18" x14ac:dyDescent="0.3">
      <c r="A788" s="2">
        <f ca="1">IFERROR(__xludf.DUMMYFUNCTION("""COMPUTED_VALUE"""),45369.6666666666)</f>
        <v>45369.666666666599</v>
      </c>
      <c r="B788" s="1">
        <f ca="1">IFERROR(__xludf.DUMMYFUNCTION("""COMPUTED_VALUE"""),512.86)</f>
        <v>512.86</v>
      </c>
      <c r="C788" s="1">
        <f ca="1">IFERROR(__xludf.DUMMYFUNCTION("""COMPUTED_VALUE"""),173.72)</f>
        <v>173.72</v>
      </c>
      <c r="D788" s="1">
        <f ca="1">IFERROR(__xludf.DUMMYFUNCTION("""COMPUTED_VALUE"""),417.32)</f>
        <v>417.32</v>
      </c>
      <c r="E788" s="1">
        <f ca="1">IFERROR(__xludf.DUMMYFUNCTION("""COMPUTED_VALUE"""),192.66)</f>
        <v>192.66</v>
      </c>
      <c r="F788">
        <f t="shared" ca="1" si="101"/>
        <v>5.943157523095992E-3</v>
      </c>
      <c r="G788">
        <f t="shared" ca="1" si="102"/>
        <v>6.3723786351523246E-3</v>
      </c>
      <c r="H788">
        <f t="shared" ca="1" si="103"/>
        <v>2.1612794774505963E-3</v>
      </c>
      <c r="I788">
        <f t="shared" ca="1" si="104"/>
        <v>1.2401471361008855E-2</v>
      </c>
      <c r="O788">
        <f t="shared" ca="1" si="105"/>
        <v>1.3631555165723093</v>
      </c>
      <c r="P788">
        <f t="shared" ca="1" si="106"/>
        <v>1.3246911697422616</v>
      </c>
      <c r="Q788">
        <f t="shared" ca="1" si="107"/>
        <v>1.741372835384936</v>
      </c>
      <c r="R788">
        <f t="shared" ca="1" si="108"/>
        <v>1.4863446998919929</v>
      </c>
    </row>
    <row r="789" spans="1:18" x14ac:dyDescent="0.3">
      <c r="A789" s="2">
        <f ca="1">IFERROR(__xludf.DUMMYFUNCTION("""COMPUTED_VALUE"""),45370.6666666666)</f>
        <v>45370.666666666599</v>
      </c>
      <c r="B789" s="1">
        <f ca="1">IFERROR(__xludf.DUMMYFUNCTION("""COMPUTED_VALUE"""),515.71)</f>
        <v>515.71</v>
      </c>
      <c r="C789" s="1">
        <f ca="1">IFERROR(__xludf.DUMMYFUNCTION("""COMPUTED_VALUE"""),176.08)</f>
        <v>176.08</v>
      </c>
      <c r="D789" s="1">
        <f ca="1">IFERROR(__xludf.DUMMYFUNCTION("""COMPUTED_VALUE"""),421.41)</f>
        <v>421.41</v>
      </c>
      <c r="E789" s="1">
        <f ca="1">IFERROR(__xludf.DUMMYFUNCTION("""COMPUTED_VALUE"""),193.79)</f>
        <v>193.79</v>
      </c>
      <c r="F789">
        <f t="shared" ca="1" si="101"/>
        <v>5.5570721054479244E-3</v>
      </c>
      <c r="G789">
        <f t="shared" ca="1" si="102"/>
        <v>1.3585079438176455E-2</v>
      </c>
      <c r="H789">
        <f t="shared" ca="1" si="103"/>
        <v>9.8006326080706217E-3</v>
      </c>
      <c r="I789">
        <f t="shared" ca="1" si="104"/>
        <v>5.8652548531090802E-3</v>
      </c>
      <c r="O789">
        <f t="shared" ca="1" si="105"/>
        <v>1.3707306700688406</v>
      </c>
      <c r="P789">
        <f t="shared" ca="1" si="106"/>
        <v>1.342687204514261</v>
      </c>
      <c r="Q789">
        <f t="shared" ca="1" si="107"/>
        <v>1.7584393907782181</v>
      </c>
      <c r="R789">
        <f t="shared" ca="1" si="108"/>
        <v>1.4950624903564274</v>
      </c>
    </row>
    <row r="790" spans="1:18" x14ac:dyDescent="0.3">
      <c r="A790" s="2">
        <f ca="1">IFERROR(__xludf.DUMMYFUNCTION("""COMPUTED_VALUE"""),45371.6666666666)</f>
        <v>45371.666666666599</v>
      </c>
      <c r="B790" s="1">
        <f ca="1">IFERROR(__xludf.DUMMYFUNCTION("""COMPUTED_VALUE"""),520.48)</f>
        <v>520.48</v>
      </c>
      <c r="C790" s="1">
        <f ca="1">IFERROR(__xludf.DUMMYFUNCTION("""COMPUTED_VALUE"""),178.67)</f>
        <v>178.67</v>
      </c>
      <c r="D790" s="1">
        <f ca="1">IFERROR(__xludf.DUMMYFUNCTION("""COMPUTED_VALUE"""),425.23)</f>
        <v>425.23</v>
      </c>
      <c r="E790" s="1">
        <f ca="1">IFERROR(__xludf.DUMMYFUNCTION("""COMPUTED_VALUE"""),196.33)</f>
        <v>196.33</v>
      </c>
      <c r="F790">
        <f t="shared" ca="1" si="101"/>
        <v>9.2493843439141795E-3</v>
      </c>
      <c r="G790">
        <f t="shared" ca="1" si="102"/>
        <v>1.4709223080417848E-2</v>
      </c>
      <c r="H790">
        <f t="shared" ca="1" si="103"/>
        <v>9.0648062456989455E-3</v>
      </c>
      <c r="I790">
        <f t="shared" ca="1" si="104"/>
        <v>1.3106971463955935E-2</v>
      </c>
      <c r="O790">
        <f t="shared" ca="1" si="105"/>
        <v>1.3834090848682983</v>
      </c>
      <c r="P790">
        <f t="shared" ca="1" si="106"/>
        <v>1.3624370901326839</v>
      </c>
      <c r="Q790">
        <f t="shared" ca="1" si="107"/>
        <v>1.7743793031504278</v>
      </c>
      <c r="R790">
        <f t="shared" ca="1" si="108"/>
        <v>1.51465823175436</v>
      </c>
    </row>
    <row r="791" spans="1:18" x14ac:dyDescent="0.3">
      <c r="A791" s="2">
        <f ca="1">IFERROR(__xludf.DUMMYFUNCTION("""COMPUTED_VALUE"""),45372.6666666666)</f>
        <v>45372.666666666599</v>
      </c>
      <c r="B791" s="1">
        <f ca="1">IFERROR(__xludf.DUMMYFUNCTION("""COMPUTED_VALUE"""),522.2)</f>
        <v>522.20000000000005</v>
      </c>
      <c r="C791" s="1">
        <f ca="1">IFERROR(__xludf.DUMMYFUNCTION("""COMPUTED_VALUE"""),171.37)</f>
        <v>171.37</v>
      </c>
      <c r="D791" s="1">
        <f ca="1">IFERROR(__xludf.DUMMYFUNCTION("""COMPUTED_VALUE"""),429.37)</f>
        <v>429.37</v>
      </c>
      <c r="E791" s="1">
        <f ca="1">IFERROR(__xludf.DUMMYFUNCTION("""COMPUTED_VALUE"""),199.06)</f>
        <v>199.06</v>
      </c>
      <c r="F791">
        <f t="shared" ca="1" si="101"/>
        <v>3.3046418690440118E-3</v>
      </c>
      <c r="G791">
        <f t="shared" ca="1" si="102"/>
        <v>-4.085744668942734E-2</v>
      </c>
      <c r="H791">
        <f t="shared" ca="1" si="103"/>
        <v>9.7359076264609424E-3</v>
      </c>
      <c r="I791">
        <f t="shared" ca="1" si="104"/>
        <v>1.3905159680130339E-2</v>
      </c>
      <c r="O791">
        <f t="shared" ca="1" si="105"/>
        <v>1.38798075645217</v>
      </c>
      <c r="P791">
        <f t="shared" ca="1" si="106"/>
        <v>1.3067713893548891</v>
      </c>
      <c r="Q791">
        <f t="shared" ca="1" si="107"/>
        <v>1.7916544961402046</v>
      </c>
      <c r="R791">
        <f t="shared" ca="1" si="108"/>
        <v>1.535719796327728</v>
      </c>
    </row>
    <row r="792" spans="1:18" x14ac:dyDescent="0.3">
      <c r="A792" s="2">
        <f ca="1">IFERROR(__xludf.DUMMYFUNCTION("""COMPUTED_VALUE"""),45373.6666666666)</f>
        <v>45373.666666666599</v>
      </c>
      <c r="B792" s="1">
        <f ca="1">IFERROR(__xludf.DUMMYFUNCTION("""COMPUTED_VALUE"""),521.21)</f>
        <v>521.21</v>
      </c>
      <c r="C792" s="1">
        <f ca="1">IFERROR(__xludf.DUMMYFUNCTION("""COMPUTED_VALUE"""),172.28)</f>
        <v>172.28</v>
      </c>
      <c r="D792" s="1">
        <f ca="1">IFERROR(__xludf.DUMMYFUNCTION("""COMPUTED_VALUE"""),428.74)</f>
        <v>428.74</v>
      </c>
      <c r="E792" s="1">
        <f ca="1">IFERROR(__xludf.DUMMYFUNCTION("""COMPUTED_VALUE"""),196.62)</f>
        <v>196.62</v>
      </c>
      <c r="F792">
        <f t="shared" ca="1" si="101"/>
        <v>-1.8958253542704117E-3</v>
      </c>
      <c r="G792">
        <f t="shared" ca="1" si="102"/>
        <v>5.3101476337748532E-3</v>
      </c>
      <c r="H792">
        <f t="shared" ca="1" si="103"/>
        <v>-1.4672659943638247E-3</v>
      </c>
      <c r="I792">
        <f t="shared" ca="1" si="104"/>
        <v>-1.2257610770621912E-2</v>
      </c>
      <c r="O792">
        <f t="shared" ca="1" si="105"/>
        <v>1.3853493873428484</v>
      </c>
      <c r="P792">
        <f t="shared" ca="1" si="106"/>
        <v>1.3137105383559566</v>
      </c>
      <c r="Q792">
        <f t="shared" ca="1" si="107"/>
        <v>1.789025662424369</v>
      </c>
      <c r="R792">
        <f t="shared" ca="1" si="108"/>
        <v>1.516895540811604</v>
      </c>
    </row>
    <row r="793" spans="1:18" x14ac:dyDescent="0.3">
      <c r="A793" s="2">
        <f ca="1">IFERROR(__xludf.DUMMYFUNCTION("""COMPUTED_VALUE"""),45376.6666666666)</f>
        <v>45376.666666666599</v>
      </c>
      <c r="B793" s="1">
        <f ca="1">IFERROR(__xludf.DUMMYFUNCTION("""COMPUTED_VALUE"""),519.77)</f>
        <v>519.77</v>
      </c>
      <c r="C793" s="1">
        <f ca="1">IFERROR(__xludf.DUMMYFUNCTION("""COMPUTED_VALUE"""),170.85)</f>
        <v>170.85</v>
      </c>
      <c r="D793" s="1">
        <f ca="1">IFERROR(__xludf.DUMMYFUNCTION("""COMPUTED_VALUE"""),422.86)</f>
        <v>422.86</v>
      </c>
      <c r="E793" s="1">
        <f ca="1">IFERROR(__xludf.DUMMYFUNCTION("""COMPUTED_VALUE"""),194.82)</f>
        <v>194.82</v>
      </c>
      <c r="F793">
        <f t="shared" ca="1" si="101"/>
        <v>-2.7628019416359134E-3</v>
      </c>
      <c r="G793">
        <f t="shared" ca="1" si="102"/>
        <v>-8.3004411423264843E-3</v>
      </c>
      <c r="H793">
        <f t="shared" ca="1" si="103"/>
        <v>-1.3714605588468525E-2</v>
      </c>
      <c r="I793">
        <f t="shared" ca="1" si="104"/>
        <v>-9.1547146780592576E-3</v>
      </c>
      <c r="O793">
        <f t="shared" ca="1" si="105"/>
        <v>1.3815219413656534</v>
      </c>
      <c r="P793">
        <f t="shared" ca="1" si="106"/>
        <v>1.302806161354279</v>
      </c>
      <c r="Q793">
        <f t="shared" ca="1" si="107"/>
        <v>1.7644898810765701</v>
      </c>
      <c r="R793">
        <f t="shared" ca="1" si="108"/>
        <v>1.5030087949390534</v>
      </c>
    </row>
    <row r="794" spans="1:18" x14ac:dyDescent="0.3">
      <c r="A794" s="2">
        <f ca="1">IFERROR(__xludf.DUMMYFUNCTION("""COMPUTED_VALUE"""),45377.6666666666)</f>
        <v>45377.666666666599</v>
      </c>
      <c r="B794" s="1">
        <f ca="1">IFERROR(__xludf.DUMMYFUNCTION("""COMPUTED_VALUE"""),518.81)</f>
        <v>518.80999999999995</v>
      </c>
      <c r="C794" s="1">
        <f ca="1">IFERROR(__xludf.DUMMYFUNCTION("""COMPUTED_VALUE"""),169.71)</f>
        <v>169.71</v>
      </c>
      <c r="D794" s="1">
        <f ca="1">IFERROR(__xludf.DUMMYFUNCTION("""COMPUTED_VALUE"""),421.65)</f>
        <v>421.65</v>
      </c>
      <c r="E794" s="1">
        <f ca="1">IFERROR(__xludf.DUMMYFUNCTION("""COMPUTED_VALUE"""),195.73)</f>
        <v>195.73</v>
      </c>
      <c r="F794">
        <f t="shared" ca="1" si="101"/>
        <v>-1.8469707755354029E-3</v>
      </c>
      <c r="G794">
        <f t="shared" ca="1" si="102"/>
        <v>-6.6725197541702454E-3</v>
      </c>
      <c r="H794">
        <f t="shared" ca="1" si="103"/>
        <v>-2.861467152249057E-3</v>
      </c>
      <c r="I794">
        <f t="shared" ca="1" si="104"/>
        <v>4.6709783389795537E-3</v>
      </c>
      <c r="O794">
        <f t="shared" ca="1" si="105"/>
        <v>1.3789703107141902</v>
      </c>
      <c r="P794">
        <f t="shared" ca="1" si="106"/>
        <v>1.2941131615067878</v>
      </c>
      <c r="Q794">
        <f t="shared" ca="1" si="107"/>
        <v>1.7594408512413935</v>
      </c>
      <c r="R794">
        <f t="shared" ca="1" si="108"/>
        <v>1.5100293164635095</v>
      </c>
    </row>
    <row r="795" spans="1:18" x14ac:dyDescent="0.3">
      <c r="A795" s="2">
        <f ca="1">IFERROR(__xludf.DUMMYFUNCTION("""COMPUTED_VALUE"""),45378.6666666666)</f>
        <v>45378.666666666599</v>
      </c>
      <c r="B795" s="1">
        <f ca="1">IFERROR(__xludf.DUMMYFUNCTION("""COMPUTED_VALUE"""),523.17)</f>
        <v>523.16999999999996</v>
      </c>
      <c r="C795" s="1">
        <f ca="1">IFERROR(__xludf.DUMMYFUNCTION("""COMPUTED_VALUE"""),173.31)</f>
        <v>173.31</v>
      </c>
      <c r="D795" s="1">
        <f ca="1">IFERROR(__xludf.DUMMYFUNCTION("""COMPUTED_VALUE"""),421.43)</f>
        <v>421.43</v>
      </c>
      <c r="E795" s="1">
        <f ca="1">IFERROR(__xludf.DUMMYFUNCTION("""COMPUTED_VALUE"""),199.52)</f>
        <v>199.52</v>
      </c>
      <c r="F795">
        <f t="shared" ca="1" si="101"/>
        <v>8.4038472658584332E-3</v>
      </c>
      <c r="G795">
        <f t="shared" ca="1" si="102"/>
        <v>2.1212656885274846E-2</v>
      </c>
      <c r="H795">
        <f t="shared" ca="1" si="103"/>
        <v>-5.217597533498647E-4</v>
      </c>
      <c r="I795">
        <f t="shared" ca="1" si="104"/>
        <v>1.9363408777397541E-2</v>
      </c>
      <c r="O795">
        <f t="shared" ca="1" si="105"/>
        <v>1.3905589665895857</v>
      </c>
      <c r="P795">
        <f t="shared" ca="1" si="106"/>
        <v>1.3215647399725496</v>
      </c>
      <c r="Q795">
        <f t="shared" ca="1" si="107"/>
        <v>1.7585228458168161</v>
      </c>
      <c r="R795">
        <f t="shared" ca="1" si="108"/>
        <v>1.5392686313840465</v>
      </c>
    </row>
    <row r="796" spans="1:18" x14ac:dyDescent="0.3">
      <c r="A796" s="2">
        <f ca="1">IFERROR(__xludf.DUMMYFUNCTION("""COMPUTED_VALUE"""),45379.6666666666)</f>
        <v>45379.666666666599</v>
      </c>
      <c r="B796" s="1">
        <f ca="1">IFERROR(__xludf.DUMMYFUNCTION("""COMPUTED_VALUE"""),523.07)</f>
        <v>523.07000000000005</v>
      </c>
      <c r="C796" s="1">
        <f ca="1">IFERROR(__xludf.DUMMYFUNCTION("""COMPUTED_VALUE"""),171.48)</f>
        <v>171.48</v>
      </c>
      <c r="D796" s="1">
        <f ca="1">IFERROR(__xludf.DUMMYFUNCTION("""COMPUTED_VALUE"""),420.72)</f>
        <v>420.72</v>
      </c>
      <c r="E796" s="1">
        <f ca="1">IFERROR(__xludf.DUMMYFUNCTION("""COMPUTED_VALUE"""),200.3)</f>
        <v>200.3</v>
      </c>
      <c r="F796">
        <f t="shared" ca="1" si="101"/>
        <v>-1.9114245847412706E-4</v>
      </c>
      <c r="G796">
        <f t="shared" ca="1" si="102"/>
        <v>-1.0559113726847917E-2</v>
      </c>
      <c r="H796">
        <f t="shared" ca="1" si="103"/>
        <v>-1.6847400517285896E-3</v>
      </c>
      <c r="I796">
        <f t="shared" ca="1" si="104"/>
        <v>3.9093825180433091E-3</v>
      </c>
      <c r="O796">
        <f t="shared" ca="1" si="105"/>
        <v>1.3902931717300584</v>
      </c>
      <c r="P796">
        <f t="shared" ca="1" si="106"/>
        <v>1.3076101875857873</v>
      </c>
      <c r="Q796">
        <f t="shared" ca="1" si="107"/>
        <v>1.7555601919465886</v>
      </c>
      <c r="R796">
        <f t="shared" ca="1" si="108"/>
        <v>1.5452862212621519</v>
      </c>
    </row>
    <row r="797" spans="1:18" x14ac:dyDescent="0.3">
      <c r="A797" s="2">
        <f ca="1">IFERROR(__xludf.DUMMYFUNCTION("""COMPUTED_VALUE"""),45383.6666666666)</f>
        <v>45383.666666666599</v>
      </c>
      <c r="B797" s="1">
        <f ca="1">IFERROR(__xludf.DUMMYFUNCTION("""COMPUTED_VALUE"""),522.16)</f>
        <v>522.16</v>
      </c>
      <c r="C797" s="1">
        <f ca="1">IFERROR(__xludf.DUMMYFUNCTION("""COMPUTED_VALUE"""),170.03)</f>
        <v>170.03</v>
      </c>
      <c r="D797" s="1">
        <f ca="1">IFERROR(__xludf.DUMMYFUNCTION("""COMPUTED_VALUE"""),424.57)</f>
        <v>424.57</v>
      </c>
      <c r="E797" s="1">
        <f ca="1">IFERROR(__xludf.DUMMYFUNCTION("""COMPUTED_VALUE"""),198.94)</f>
        <v>198.94</v>
      </c>
      <c r="F797">
        <f t="shared" ca="1" si="101"/>
        <v>-1.7397289081768823E-3</v>
      </c>
      <c r="G797">
        <f t="shared" ca="1" si="102"/>
        <v>-8.4557965943549609E-3</v>
      </c>
      <c r="H797">
        <f t="shared" ca="1" si="103"/>
        <v>9.1509792736260837E-3</v>
      </c>
      <c r="I797">
        <f t="shared" ca="1" si="104"/>
        <v>-6.7898152770844416E-3</v>
      </c>
      <c r="O797">
        <f t="shared" ca="1" si="105"/>
        <v>1.3878744385083588</v>
      </c>
      <c r="P797">
        <f t="shared" ca="1" si="106"/>
        <v>1.2965533018148556</v>
      </c>
      <c r="Q797">
        <f t="shared" ca="1" si="107"/>
        <v>1.7716252868766951</v>
      </c>
      <c r="R797">
        <f t="shared" ca="1" si="108"/>
        <v>1.5347940132695581</v>
      </c>
    </row>
    <row r="798" spans="1:18" x14ac:dyDescent="0.3">
      <c r="A798" s="2">
        <f ca="1">IFERROR(__xludf.DUMMYFUNCTION("""COMPUTED_VALUE"""),45384.6666666666)</f>
        <v>45384.666666666599</v>
      </c>
      <c r="B798" s="1">
        <f ca="1">IFERROR(__xludf.DUMMYFUNCTION("""COMPUTED_VALUE"""),518.84)</f>
        <v>518.84</v>
      </c>
      <c r="C798" s="1">
        <f ca="1">IFERROR(__xludf.DUMMYFUNCTION("""COMPUTED_VALUE"""),168.84)</f>
        <v>168.84</v>
      </c>
      <c r="D798" s="1">
        <f ca="1">IFERROR(__xludf.DUMMYFUNCTION("""COMPUTED_VALUE"""),421.44)</f>
        <v>421.44</v>
      </c>
      <c r="E798" s="1">
        <f ca="1">IFERROR(__xludf.DUMMYFUNCTION("""COMPUTED_VALUE"""),198.86)</f>
        <v>198.86</v>
      </c>
      <c r="F798">
        <f t="shared" ca="1" si="101"/>
        <v>-6.3582043817985608E-3</v>
      </c>
      <c r="G798">
        <f t="shared" ca="1" si="102"/>
        <v>-6.9987649238369568E-3</v>
      </c>
      <c r="H798">
        <f t="shared" ca="1" si="103"/>
        <v>-7.3721647784817474E-3</v>
      </c>
      <c r="I798">
        <f t="shared" ca="1" si="104"/>
        <v>-4.0213129586802091E-4</v>
      </c>
      <c r="O798">
        <f t="shared" ca="1" si="105"/>
        <v>1.3790500491720488</v>
      </c>
      <c r="P798">
        <f t="shared" ca="1" si="106"/>
        <v>1.2874790300442287</v>
      </c>
      <c r="Q798">
        <f t="shared" ca="1" si="107"/>
        <v>1.758564573336115</v>
      </c>
      <c r="R798">
        <f t="shared" ca="1" si="108"/>
        <v>1.5341768245641116</v>
      </c>
    </row>
    <row r="799" spans="1:18" x14ac:dyDescent="0.3">
      <c r="A799" s="2">
        <f ca="1">IFERROR(__xludf.DUMMYFUNCTION("""COMPUTED_VALUE"""),45385.6666666666)</f>
        <v>45385.666666666599</v>
      </c>
      <c r="B799" s="1">
        <f ca="1">IFERROR(__xludf.DUMMYFUNCTION("""COMPUTED_VALUE"""),519.41)</f>
        <v>519.41</v>
      </c>
      <c r="C799" s="1">
        <f ca="1">IFERROR(__xludf.DUMMYFUNCTION("""COMPUTED_VALUE"""),169.65)</f>
        <v>169.65</v>
      </c>
      <c r="D799" s="1">
        <f ca="1">IFERROR(__xludf.DUMMYFUNCTION("""COMPUTED_VALUE"""),420.45)</f>
        <v>420.45</v>
      </c>
      <c r="E799" s="1">
        <f ca="1">IFERROR(__xludf.DUMMYFUNCTION("""COMPUTED_VALUE"""),198.3)</f>
        <v>198.3</v>
      </c>
      <c r="F799">
        <f t="shared" ca="1" si="101"/>
        <v>1.0986045794463347E-3</v>
      </c>
      <c r="G799">
        <f t="shared" ca="1" si="102"/>
        <v>4.7974413646055571E-3</v>
      </c>
      <c r="H799">
        <f t="shared" ca="1" si="103"/>
        <v>-2.3490888382688142E-3</v>
      </c>
      <c r="I799">
        <f t="shared" ca="1" si="104"/>
        <v>-2.8160514935130355E-3</v>
      </c>
      <c r="O799">
        <f t="shared" ca="1" si="105"/>
        <v>1.3805650798713549</v>
      </c>
      <c r="P799">
        <f t="shared" ca="1" si="106"/>
        <v>1.2936556351990249</v>
      </c>
      <c r="Q799">
        <f t="shared" ca="1" si="107"/>
        <v>1.7544335489255163</v>
      </c>
      <c r="R799">
        <f t="shared" ca="1" si="108"/>
        <v>1.5298565036259848</v>
      </c>
    </row>
    <row r="800" spans="1:18" x14ac:dyDescent="0.3">
      <c r="A800" s="2">
        <f ca="1">IFERROR(__xludf.DUMMYFUNCTION("""COMPUTED_VALUE"""),45386.6666666666)</f>
        <v>45386.666666666599</v>
      </c>
      <c r="B800" s="1">
        <f ca="1">IFERROR(__xludf.DUMMYFUNCTION("""COMPUTED_VALUE"""),513.07)</f>
        <v>513.07000000000005</v>
      </c>
      <c r="C800" s="1">
        <f ca="1">IFERROR(__xludf.DUMMYFUNCTION("""COMPUTED_VALUE"""),168.82)</f>
        <v>168.82</v>
      </c>
      <c r="D800" s="1">
        <f ca="1">IFERROR(__xludf.DUMMYFUNCTION("""COMPUTED_VALUE"""),417.88)</f>
        <v>417.88</v>
      </c>
      <c r="E800" s="1">
        <f ca="1">IFERROR(__xludf.DUMMYFUNCTION("""COMPUTED_VALUE"""),195.65)</f>
        <v>195.65</v>
      </c>
      <c r="F800">
        <f t="shared" ca="1" si="101"/>
        <v>-1.2206156985810667E-2</v>
      </c>
      <c r="G800">
        <f t="shared" ca="1" si="102"/>
        <v>-4.8924255820808277E-3</v>
      </c>
      <c r="H800">
        <f t="shared" ca="1" si="103"/>
        <v>-6.1124985134974269E-3</v>
      </c>
      <c r="I800">
        <f t="shared" ca="1" si="104"/>
        <v>-1.3363590519415056E-2</v>
      </c>
      <c r="O800">
        <f t="shared" ca="1" si="105"/>
        <v>1.3637136857773169</v>
      </c>
      <c r="P800">
        <f t="shared" ca="1" si="106"/>
        <v>1.2873265212749743</v>
      </c>
      <c r="Q800">
        <f t="shared" ca="1" si="107"/>
        <v>1.7437095764656791</v>
      </c>
      <c r="R800">
        <f t="shared" ca="1" si="108"/>
        <v>1.5094121277580632</v>
      </c>
    </row>
    <row r="801" spans="1:18" x14ac:dyDescent="0.3">
      <c r="A801" s="2">
        <f ca="1">IFERROR(__xludf.DUMMYFUNCTION("""COMPUTED_VALUE"""),45387.6666666666)</f>
        <v>45387.666666666599</v>
      </c>
      <c r="B801" s="1">
        <f ca="1">IFERROR(__xludf.DUMMYFUNCTION("""COMPUTED_VALUE"""),518.43)</f>
        <v>518.42999999999995</v>
      </c>
      <c r="C801" s="1">
        <f ca="1">IFERROR(__xludf.DUMMYFUNCTION("""COMPUTED_VALUE"""),169.58)</f>
        <v>169.58</v>
      </c>
      <c r="D801" s="1">
        <f ca="1">IFERROR(__xludf.DUMMYFUNCTION("""COMPUTED_VALUE"""),425.52)</f>
        <v>425.52</v>
      </c>
      <c r="E801" s="1">
        <f ca="1">IFERROR(__xludf.DUMMYFUNCTION("""COMPUTED_VALUE"""),197.45)</f>
        <v>197.45</v>
      </c>
      <c r="F801">
        <f t="shared" ca="1" si="101"/>
        <v>1.0446917574599762E-2</v>
      </c>
      <c r="G801">
        <f t="shared" ca="1" si="102"/>
        <v>4.5018362753229436E-3</v>
      </c>
      <c r="H801">
        <f t="shared" ca="1" si="103"/>
        <v>1.8282760601129478E-2</v>
      </c>
      <c r="I801">
        <f t="shared" ca="1" si="104"/>
        <v>9.2001022233579501E-3</v>
      </c>
      <c r="O801">
        <f t="shared" ca="1" si="105"/>
        <v>1.3779602902479862</v>
      </c>
      <c r="P801">
        <f t="shared" ca="1" si="106"/>
        <v>1.2931218545066352</v>
      </c>
      <c r="Q801">
        <f t="shared" ca="1" si="107"/>
        <v>1.7755894012100981</v>
      </c>
      <c r="R801">
        <f t="shared" ca="1" si="108"/>
        <v>1.5232988736306134</v>
      </c>
    </row>
    <row r="802" spans="1:18" x14ac:dyDescent="0.3">
      <c r="A802" s="2">
        <f ca="1">IFERROR(__xludf.DUMMYFUNCTION("""COMPUTED_VALUE"""),45390.6666666666)</f>
        <v>45390.666666666599</v>
      </c>
      <c r="B802" s="1">
        <f ca="1">IFERROR(__xludf.DUMMYFUNCTION("""COMPUTED_VALUE"""),518.72)</f>
        <v>518.72</v>
      </c>
      <c r="C802" s="1">
        <f ca="1">IFERROR(__xludf.DUMMYFUNCTION("""COMPUTED_VALUE"""),168.45)</f>
        <v>168.45</v>
      </c>
      <c r="D802" s="1">
        <f ca="1">IFERROR(__xludf.DUMMYFUNCTION("""COMPUTED_VALUE"""),424.59)</f>
        <v>424.59</v>
      </c>
      <c r="E802" s="1">
        <f ca="1">IFERROR(__xludf.DUMMYFUNCTION("""COMPUTED_VALUE"""),198.48)</f>
        <v>198.48</v>
      </c>
      <c r="F802">
        <f t="shared" ca="1" si="101"/>
        <v>5.5938120864933996E-4</v>
      </c>
      <c r="G802">
        <f t="shared" ca="1" si="102"/>
        <v>-6.663521641703171E-3</v>
      </c>
      <c r="H802">
        <f t="shared" ca="1" si="103"/>
        <v>-2.1855611957134961E-3</v>
      </c>
      <c r="I802">
        <f t="shared" ca="1" si="104"/>
        <v>5.2165105089896236E-3</v>
      </c>
      <c r="O802">
        <f t="shared" ca="1" si="105"/>
        <v>1.3787310953406158</v>
      </c>
      <c r="P802">
        <f t="shared" ca="1" si="106"/>
        <v>1.2845051090437709</v>
      </c>
      <c r="Q802">
        <f t="shared" ca="1" si="107"/>
        <v>1.7717087419152933</v>
      </c>
      <c r="R802">
        <f t="shared" ca="1" si="108"/>
        <v>1.5312451782132397</v>
      </c>
    </row>
    <row r="803" spans="1:18" x14ac:dyDescent="0.3">
      <c r="A803" s="2">
        <f ca="1">IFERROR(__xludf.DUMMYFUNCTION("""COMPUTED_VALUE"""),45391.6666666666)</f>
        <v>45391.666666666599</v>
      </c>
      <c r="B803" s="1">
        <f ca="1">IFERROR(__xludf.DUMMYFUNCTION("""COMPUTED_VALUE"""),519.32)</f>
        <v>519.32000000000005</v>
      </c>
      <c r="C803" s="1">
        <f ca="1">IFERROR(__xludf.DUMMYFUNCTION("""COMPUTED_VALUE"""),169.67)</f>
        <v>169.67</v>
      </c>
      <c r="D803" s="1">
        <f ca="1">IFERROR(__xludf.DUMMYFUNCTION("""COMPUTED_VALUE"""),426.28)</f>
        <v>426.28</v>
      </c>
      <c r="E803" s="1">
        <f ca="1">IFERROR(__xludf.DUMMYFUNCTION("""COMPUTED_VALUE"""),197.15)</f>
        <v>197.15</v>
      </c>
      <c r="F803">
        <f t="shared" ca="1" si="101"/>
        <v>1.1566933991363794E-3</v>
      </c>
      <c r="G803">
        <f t="shared" ca="1" si="102"/>
        <v>7.2425051944197032E-3</v>
      </c>
      <c r="H803">
        <f t="shared" ca="1" si="103"/>
        <v>3.9803104171082637E-3</v>
      </c>
      <c r="I803">
        <f t="shared" ca="1" si="104"/>
        <v>-6.700927045546071E-3</v>
      </c>
      <c r="O803">
        <f t="shared" ca="1" si="105"/>
        <v>1.3803258644977805</v>
      </c>
      <c r="P803">
        <f t="shared" ca="1" si="106"/>
        <v>1.2938081439682789</v>
      </c>
      <c r="Q803">
        <f t="shared" ca="1" si="107"/>
        <v>1.7787606926768207</v>
      </c>
      <c r="R803">
        <f t="shared" ca="1" si="108"/>
        <v>1.5209844159851886</v>
      </c>
    </row>
    <row r="804" spans="1:18" x14ac:dyDescent="0.3">
      <c r="A804" s="2">
        <f ca="1">IFERROR(__xludf.DUMMYFUNCTION("""COMPUTED_VALUE"""),45392.6666666666)</f>
        <v>45392.666666666599</v>
      </c>
      <c r="B804" s="1">
        <f ca="1">IFERROR(__xludf.DUMMYFUNCTION("""COMPUTED_VALUE"""),514.12)</f>
        <v>514.12</v>
      </c>
      <c r="C804" s="1">
        <f ca="1">IFERROR(__xludf.DUMMYFUNCTION("""COMPUTED_VALUE"""),167.78)</f>
        <v>167.78</v>
      </c>
      <c r="D804" s="1">
        <f ca="1">IFERROR(__xludf.DUMMYFUNCTION("""COMPUTED_VALUE"""),423.26)</f>
        <v>423.26</v>
      </c>
      <c r="E804" s="1">
        <f ca="1">IFERROR(__xludf.DUMMYFUNCTION("""COMPUTED_VALUE"""),195.47)</f>
        <v>195.47</v>
      </c>
      <c r="F804">
        <f t="shared" ca="1" si="101"/>
        <v>-1.0013094046060319E-2</v>
      </c>
      <c r="G804">
        <f t="shared" ca="1" si="102"/>
        <v>-1.1139270348323136E-2</v>
      </c>
      <c r="H804">
        <f t="shared" ca="1" si="103"/>
        <v>-7.0845453692408326E-3</v>
      </c>
      <c r="I804">
        <f t="shared" ca="1" si="104"/>
        <v>-8.5214303829571729E-3</v>
      </c>
      <c r="O804">
        <f t="shared" ca="1" si="105"/>
        <v>1.3665045318023548</v>
      </c>
      <c r="P804">
        <f t="shared" ca="1" si="106"/>
        <v>1.2793960652737539</v>
      </c>
      <c r="Q804">
        <f t="shared" ca="1" si="107"/>
        <v>1.7661589818485295</v>
      </c>
      <c r="R804">
        <f t="shared" ca="1" si="108"/>
        <v>1.5080234531708081</v>
      </c>
    </row>
    <row r="805" spans="1:18" x14ac:dyDescent="0.3">
      <c r="A805" s="2">
        <f ca="1">IFERROR(__xludf.DUMMYFUNCTION("""COMPUTED_VALUE"""),45393.6666666666)</f>
        <v>45393.666666666599</v>
      </c>
      <c r="B805" s="1">
        <f ca="1">IFERROR(__xludf.DUMMYFUNCTION("""COMPUTED_VALUE"""),518)</f>
        <v>518</v>
      </c>
      <c r="C805" s="1">
        <f ca="1">IFERROR(__xludf.DUMMYFUNCTION("""COMPUTED_VALUE"""),175.04)</f>
        <v>175.04</v>
      </c>
      <c r="D805" s="1">
        <f ca="1">IFERROR(__xludf.DUMMYFUNCTION("""COMPUTED_VALUE"""),427.93)</f>
        <v>427.93</v>
      </c>
      <c r="E805" s="1">
        <f ca="1">IFERROR(__xludf.DUMMYFUNCTION("""COMPUTED_VALUE"""),195.43)</f>
        <v>195.43</v>
      </c>
      <c r="F805">
        <f t="shared" ca="1" si="101"/>
        <v>7.546876215669485E-3</v>
      </c>
      <c r="G805">
        <f t="shared" ca="1" si="102"/>
        <v>4.3270950053641621E-2</v>
      </c>
      <c r="H805">
        <f t="shared" ca="1" si="103"/>
        <v>1.1033407361905249E-2</v>
      </c>
      <c r="I805">
        <f t="shared" ca="1" si="104"/>
        <v>-2.0463498235019206E-4</v>
      </c>
      <c r="O805">
        <f t="shared" ca="1" si="105"/>
        <v>1.3768173723520185</v>
      </c>
      <c r="P805">
        <f t="shared" ca="1" si="106"/>
        <v>1.3347567485130403</v>
      </c>
      <c r="Q805">
        <f t="shared" ca="1" si="107"/>
        <v>1.785645733361152</v>
      </c>
      <c r="R805">
        <f t="shared" ca="1" si="108"/>
        <v>1.5077148588180846</v>
      </c>
    </row>
    <row r="806" spans="1:18" x14ac:dyDescent="0.3">
      <c r="A806" s="2">
        <f ca="1">IFERROR(__xludf.DUMMYFUNCTION("""COMPUTED_VALUE"""),45394.6666666666)</f>
        <v>45394.666666666599</v>
      </c>
      <c r="B806" s="1">
        <f ca="1">IFERROR(__xludf.DUMMYFUNCTION("""COMPUTED_VALUE"""),510.85)</f>
        <v>510.85</v>
      </c>
      <c r="C806" s="1">
        <f ca="1">IFERROR(__xludf.DUMMYFUNCTION("""COMPUTED_VALUE"""),176.55)</f>
        <v>176.55</v>
      </c>
      <c r="D806" s="1">
        <f ca="1">IFERROR(__xludf.DUMMYFUNCTION("""COMPUTED_VALUE"""),421.9)</f>
        <v>421.9</v>
      </c>
      <c r="E806" s="1">
        <f ca="1">IFERROR(__xludf.DUMMYFUNCTION("""COMPUTED_VALUE"""),182.79)</f>
        <v>182.79</v>
      </c>
      <c r="F806">
        <f t="shared" ca="1" si="101"/>
        <v>-1.3803088803088759E-2</v>
      </c>
      <c r="G806">
        <f t="shared" ca="1" si="102"/>
        <v>8.6265996343693977E-3</v>
      </c>
      <c r="H806">
        <f t="shared" ca="1" si="103"/>
        <v>-1.4091089664197485E-2</v>
      </c>
      <c r="I806">
        <f t="shared" ca="1" si="104"/>
        <v>-6.4677889781507514E-2</v>
      </c>
      <c r="O806">
        <f t="shared" ca="1" si="105"/>
        <v>1.3578130398958081</v>
      </c>
      <c r="P806">
        <f t="shared" ca="1" si="106"/>
        <v>1.3462711605917348</v>
      </c>
      <c r="Q806">
        <f t="shared" ca="1" si="107"/>
        <v>1.7604840392238683</v>
      </c>
      <c r="R806">
        <f t="shared" ca="1" si="108"/>
        <v>1.4101990433575076</v>
      </c>
    </row>
    <row r="807" spans="1:18" x14ac:dyDescent="0.3">
      <c r="A807" s="2">
        <f ca="1">IFERROR(__xludf.DUMMYFUNCTION("""COMPUTED_VALUE"""),45397.6666666666)</f>
        <v>45397.666666666599</v>
      </c>
      <c r="B807" s="1">
        <f ca="1">IFERROR(__xludf.DUMMYFUNCTION("""COMPUTED_VALUE"""),504.45)</f>
        <v>504.45</v>
      </c>
      <c r="C807" s="1">
        <f ca="1">IFERROR(__xludf.DUMMYFUNCTION("""COMPUTED_VALUE"""),172.69)</f>
        <v>172.69</v>
      </c>
      <c r="D807" s="1">
        <f ca="1">IFERROR(__xludf.DUMMYFUNCTION("""COMPUTED_VALUE"""),413.64)</f>
        <v>413.64</v>
      </c>
      <c r="E807" s="1">
        <f ca="1">IFERROR(__xludf.DUMMYFUNCTION("""COMPUTED_VALUE"""),182.89)</f>
        <v>182.89</v>
      </c>
      <c r="F807">
        <f t="shared" ca="1" si="101"/>
        <v>-1.2528139375550619E-2</v>
      </c>
      <c r="G807">
        <f t="shared" ca="1" si="102"/>
        <v>-2.1863494760691098E-2</v>
      </c>
      <c r="H807">
        <f t="shared" ca="1" si="103"/>
        <v>-1.9578099075610315E-2</v>
      </c>
      <c r="I807">
        <f t="shared" ca="1" si="104"/>
        <v>5.4707587942444511E-4</v>
      </c>
      <c r="O807">
        <f t="shared" ca="1" si="105"/>
        <v>1.3408021688860534</v>
      </c>
      <c r="P807">
        <f t="shared" ca="1" si="106"/>
        <v>1.316836968125668</v>
      </c>
      <c r="Q807">
        <f t="shared" ca="1" si="107"/>
        <v>1.7260171082829128</v>
      </c>
      <c r="R807">
        <f t="shared" ca="1" si="108"/>
        <v>1.4109705292393158</v>
      </c>
    </row>
    <row r="808" spans="1:18" x14ac:dyDescent="0.3">
      <c r="A808" s="2">
        <f ca="1">IFERROR(__xludf.DUMMYFUNCTION("""COMPUTED_VALUE"""),45398.6666666666)</f>
        <v>45398.666666666599</v>
      </c>
      <c r="B808" s="1">
        <f ca="1">IFERROR(__xludf.DUMMYFUNCTION("""COMPUTED_VALUE"""),503.53)</f>
        <v>503.53</v>
      </c>
      <c r="C808" s="1">
        <f ca="1">IFERROR(__xludf.DUMMYFUNCTION("""COMPUTED_VALUE"""),169.38)</f>
        <v>169.38</v>
      </c>
      <c r="D808" s="1">
        <f ca="1">IFERROR(__xludf.DUMMYFUNCTION("""COMPUTED_VALUE"""),414.58)</f>
        <v>414.58</v>
      </c>
      <c r="E808" s="1">
        <f ca="1">IFERROR(__xludf.DUMMYFUNCTION("""COMPUTED_VALUE"""),180.8)</f>
        <v>180.8</v>
      </c>
      <c r="F808">
        <f t="shared" ca="1" si="101"/>
        <v>-1.8237684606998035E-3</v>
      </c>
      <c r="G808">
        <f t="shared" ca="1" si="102"/>
        <v>-1.9167293995019992E-2</v>
      </c>
      <c r="H808">
        <f t="shared" ca="1" si="103"/>
        <v>2.2725074944396038E-3</v>
      </c>
      <c r="I808">
        <f t="shared" ca="1" si="104"/>
        <v>-1.142763409699806E-2</v>
      </c>
      <c r="O808">
        <f t="shared" ca="1" si="105"/>
        <v>1.3383568561784012</v>
      </c>
      <c r="P808">
        <f t="shared" ca="1" si="106"/>
        <v>1.2915967668140924</v>
      </c>
      <c r="Q808">
        <f t="shared" ca="1" si="107"/>
        <v>1.7299394950970166</v>
      </c>
      <c r="R808">
        <f t="shared" ca="1" si="108"/>
        <v>1.394846474309521</v>
      </c>
    </row>
    <row r="809" spans="1:18" x14ac:dyDescent="0.3">
      <c r="A809" s="2">
        <f ca="1">IFERROR(__xludf.DUMMYFUNCTION("""COMPUTED_VALUE"""),45399.6666666666)</f>
        <v>45399.666666666599</v>
      </c>
      <c r="B809" s="1">
        <f ca="1">IFERROR(__xludf.DUMMYFUNCTION("""COMPUTED_VALUE"""),500.55)</f>
        <v>500.55</v>
      </c>
      <c r="C809" s="1">
        <f ca="1">IFERROR(__xludf.DUMMYFUNCTION("""COMPUTED_VALUE"""),168)</f>
        <v>168</v>
      </c>
      <c r="D809" s="1">
        <f ca="1">IFERROR(__xludf.DUMMYFUNCTION("""COMPUTED_VALUE"""),411.84)</f>
        <v>411.84</v>
      </c>
      <c r="E809" s="1">
        <f ca="1">IFERROR(__xludf.DUMMYFUNCTION("""COMPUTED_VALUE"""),180.08)</f>
        <v>180.08</v>
      </c>
      <c r="F809">
        <f t="shared" ca="1" si="101"/>
        <v>-5.9182173852599879E-3</v>
      </c>
      <c r="G809">
        <f t="shared" ca="1" si="102"/>
        <v>-8.1473609635139659E-3</v>
      </c>
      <c r="H809">
        <f t="shared" ca="1" si="103"/>
        <v>-6.6090983646099888E-3</v>
      </c>
      <c r="I809">
        <f t="shared" ca="1" si="104"/>
        <v>-3.9823008849557461E-3</v>
      </c>
      <c r="O809">
        <f t="shared" ca="1" si="105"/>
        <v>1.3304361693644842</v>
      </c>
      <c r="P809">
        <f t="shared" ca="1" si="106"/>
        <v>1.2810736617355505</v>
      </c>
      <c r="Q809">
        <f t="shared" ca="1" si="107"/>
        <v>1.7185061548090967</v>
      </c>
      <c r="R809">
        <f t="shared" ca="1" si="108"/>
        <v>1.3892917759605008</v>
      </c>
    </row>
    <row r="810" spans="1:18" x14ac:dyDescent="0.3">
      <c r="A810" s="2">
        <f ca="1">IFERROR(__xludf.DUMMYFUNCTION("""COMPUTED_VALUE"""),45400.6666666666)</f>
        <v>45400.666666666599</v>
      </c>
      <c r="B810" s="1">
        <f ca="1">IFERROR(__xludf.DUMMYFUNCTION("""COMPUTED_VALUE"""),499.52)</f>
        <v>499.52</v>
      </c>
      <c r="C810" s="1">
        <f ca="1">IFERROR(__xludf.DUMMYFUNCTION("""COMPUTED_VALUE"""),167.04)</f>
        <v>167.04</v>
      </c>
      <c r="D810" s="1">
        <f ca="1">IFERROR(__xludf.DUMMYFUNCTION("""COMPUTED_VALUE"""),404.27)</f>
        <v>404.27</v>
      </c>
      <c r="E810" s="1">
        <f ca="1">IFERROR(__xludf.DUMMYFUNCTION("""COMPUTED_VALUE"""),181.25)</f>
        <v>181.25</v>
      </c>
      <c r="F810">
        <f t="shared" ca="1" si="101"/>
        <v>-2.0577364898612116E-3</v>
      </c>
      <c r="G810">
        <f t="shared" ca="1" si="102"/>
        <v>-5.714285714285762E-3</v>
      </c>
      <c r="H810">
        <f t="shared" ca="1" si="103"/>
        <v>-1.8380924630924615E-2</v>
      </c>
      <c r="I810">
        <f t="shared" ca="1" si="104"/>
        <v>6.4971123944912671E-3</v>
      </c>
      <c r="O810">
        <f t="shared" ca="1" si="105"/>
        <v>1.3276984823113518</v>
      </c>
      <c r="P810">
        <f t="shared" ca="1" si="106"/>
        <v>1.2737532408113472</v>
      </c>
      <c r="Q810">
        <f t="shared" ca="1" si="107"/>
        <v>1.6869184226997707</v>
      </c>
      <c r="R810">
        <f t="shared" ca="1" si="108"/>
        <v>1.3983181607776585</v>
      </c>
    </row>
    <row r="811" spans="1:18" x14ac:dyDescent="0.3">
      <c r="A811" s="2">
        <f ca="1">IFERROR(__xludf.DUMMYFUNCTION("""COMPUTED_VALUE"""),45401.6666666666)</f>
        <v>45401.666666666599</v>
      </c>
      <c r="B811" s="1">
        <f ca="1">IFERROR(__xludf.DUMMYFUNCTION("""COMPUTED_VALUE"""),495.16)</f>
        <v>495.16</v>
      </c>
      <c r="C811" s="1">
        <f ca="1">IFERROR(__xludf.DUMMYFUNCTION("""COMPUTED_VALUE"""),165)</f>
        <v>165</v>
      </c>
      <c r="D811" s="1">
        <f ca="1">IFERROR(__xludf.DUMMYFUNCTION("""COMPUTED_VALUE"""),399.12)</f>
        <v>399.12</v>
      </c>
      <c r="E811" s="1">
        <f ca="1">IFERROR(__xludf.DUMMYFUNCTION("""COMPUTED_VALUE"""),185.8)</f>
        <v>185.8</v>
      </c>
      <c r="F811">
        <f t="shared" ca="1" si="101"/>
        <v>-8.7283792440742258E-3</v>
      </c>
      <c r="G811">
        <f t="shared" ca="1" si="102"/>
        <v>-1.2212643678160872E-2</v>
      </c>
      <c r="H811">
        <f t="shared" ca="1" si="103"/>
        <v>-1.2739011056966823E-2</v>
      </c>
      <c r="I811">
        <f t="shared" ca="1" si="104"/>
        <v>2.5103448275862132E-2</v>
      </c>
      <c r="O811">
        <f t="shared" ca="1" si="105"/>
        <v>1.3161098264359565</v>
      </c>
      <c r="P811">
        <f t="shared" ca="1" si="106"/>
        <v>1.2581973463474156</v>
      </c>
      <c r="Q811">
        <f t="shared" ca="1" si="107"/>
        <v>1.6654287502607972</v>
      </c>
      <c r="R811">
        <f t="shared" ca="1" si="108"/>
        <v>1.4334207683999389</v>
      </c>
    </row>
    <row r="812" spans="1:18" x14ac:dyDescent="0.3">
      <c r="A812" s="2">
        <f ca="1">IFERROR(__xludf.DUMMYFUNCTION("""COMPUTED_VALUE"""),45404.6666666666)</f>
        <v>45404.666666666599</v>
      </c>
      <c r="B812" s="1">
        <f ca="1">IFERROR(__xludf.DUMMYFUNCTION("""COMPUTED_VALUE"""),499.72)</f>
        <v>499.72</v>
      </c>
      <c r="C812" s="1">
        <f ca="1">IFERROR(__xludf.DUMMYFUNCTION("""COMPUTED_VALUE"""),165.84)</f>
        <v>165.84</v>
      </c>
      <c r="D812" s="1">
        <f ca="1">IFERROR(__xludf.DUMMYFUNCTION("""COMPUTED_VALUE"""),400.96)</f>
        <v>400.96</v>
      </c>
      <c r="E812" s="1">
        <f ca="1">IFERROR(__xludf.DUMMYFUNCTION("""COMPUTED_VALUE"""),189.41)</f>
        <v>189.41</v>
      </c>
      <c r="F812">
        <f t="shared" ca="1" si="101"/>
        <v>9.2091445189433768E-3</v>
      </c>
      <c r="G812">
        <f t="shared" ca="1" si="102"/>
        <v>5.0909090909091112E-3</v>
      </c>
      <c r="H812">
        <f t="shared" ca="1" si="103"/>
        <v>4.6101423130887323E-3</v>
      </c>
      <c r="I812">
        <f t="shared" ca="1" si="104"/>
        <v>1.9429494079655461E-2</v>
      </c>
      <c r="O812">
        <f t="shared" ca="1" si="105"/>
        <v>1.3282300720304065</v>
      </c>
      <c r="P812">
        <f t="shared" ca="1" si="106"/>
        <v>1.2646027146560934</v>
      </c>
      <c r="Q812">
        <f t="shared" ca="1" si="107"/>
        <v>1.6731066138118089</v>
      </c>
      <c r="R812">
        <f t="shared" ca="1" si="108"/>
        <v>1.4612714087332208</v>
      </c>
    </row>
    <row r="813" spans="1:18" x14ac:dyDescent="0.3">
      <c r="A813" s="2">
        <f ca="1">IFERROR(__xludf.DUMMYFUNCTION("""COMPUTED_VALUE"""),45405.6666666666)</f>
        <v>45405.666666666599</v>
      </c>
      <c r="B813" s="1">
        <f ca="1">IFERROR(__xludf.DUMMYFUNCTION("""COMPUTED_VALUE"""),505.65)</f>
        <v>505.65</v>
      </c>
      <c r="C813" s="1">
        <f ca="1">IFERROR(__xludf.DUMMYFUNCTION("""COMPUTED_VALUE"""),166.9)</f>
        <v>166.9</v>
      </c>
      <c r="D813" s="1">
        <f ca="1">IFERROR(__xludf.DUMMYFUNCTION("""COMPUTED_VALUE"""),407.57)</f>
        <v>407.57</v>
      </c>
      <c r="E813" s="1">
        <f ca="1">IFERROR(__xludf.DUMMYFUNCTION("""COMPUTED_VALUE"""),192.14)</f>
        <v>192.14</v>
      </c>
      <c r="F813">
        <f t="shared" ca="1" si="101"/>
        <v>1.1866645321379873E-2</v>
      </c>
      <c r="G813">
        <f t="shared" ca="1" si="102"/>
        <v>6.391702846116753E-3</v>
      </c>
      <c r="H813">
        <f t="shared" ca="1" si="103"/>
        <v>1.6485434956105383E-2</v>
      </c>
      <c r="I813">
        <f t="shared" ca="1" si="104"/>
        <v>1.4413177762525684E-2</v>
      </c>
      <c r="O813">
        <f t="shared" ca="1" si="105"/>
        <v>1.3439917072003822</v>
      </c>
      <c r="P813">
        <f t="shared" ca="1" si="106"/>
        <v>1.2726856794265677</v>
      </c>
      <c r="Q813">
        <f t="shared" ca="1" si="107"/>
        <v>1.7006885040684334</v>
      </c>
      <c r="R813">
        <f t="shared" ca="1" si="108"/>
        <v>1.4823329733065889</v>
      </c>
    </row>
    <row r="814" spans="1:18" x14ac:dyDescent="0.3">
      <c r="A814" s="2">
        <f ca="1">IFERROR(__xludf.DUMMYFUNCTION("""COMPUTED_VALUE"""),45406.6666666666)</f>
        <v>45406.666666666599</v>
      </c>
      <c r="B814" s="1">
        <f ca="1">IFERROR(__xludf.DUMMYFUNCTION("""COMPUTED_VALUE"""),505.41)</f>
        <v>505.41</v>
      </c>
      <c r="C814" s="1">
        <f ca="1">IFERROR(__xludf.DUMMYFUNCTION("""COMPUTED_VALUE"""),169.02)</f>
        <v>169.02</v>
      </c>
      <c r="D814" s="1">
        <f ca="1">IFERROR(__xludf.DUMMYFUNCTION("""COMPUTED_VALUE"""),409.06)</f>
        <v>409.06</v>
      </c>
      <c r="E814" s="1">
        <f ca="1">IFERROR(__xludf.DUMMYFUNCTION("""COMPUTED_VALUE"""),193.08)</f>
        <v>193.08</v>
      </c>
      <c r="F814">
        <f t="shared" ca="1" si="101"/>
        <v>-4.746366063481702E-4</v>
      </c>
      <c r="G814">
        <f t="shared" ca="1" si="102"/>
        <v>1.2702216896345144E-2</v>
      </c>
      <c r="H814">
        <f t="shared" ca="1" si="103"/>
        <v>3.6558137252496728E-3</v>
      </c>
      <c r="I814">
        <f t="shared" ca="1" si="104"/>
        <v>4.8922660560009688E-3</v>
      </c>
      <c r="O814">
        <f t="shared" ca="1" si="105"/>
        <v>1.3433537995375164</v>
      </c>
      <c r="P814">
        <f t="shared" ca="1" si="106"/>
        <v>1.2888516089675164</v>
      </c>
      <c r="Q814">
        <f t="shared" ca="1" si="107"/>
        <v>1.7069059044439809</v>
      </c>
      <c r="R814">
        <f t="shared" ca="1" si="108"/>
        <v>1.4895849405955877</v>
      </c>
    </row>
    <row r="815" spans="1:18" x14ac:dyDescent="0.3">
      <c r="A815" s="2">
        <f ca="1">IFERROR(__xludf.DUMMYFUNCTION("""COMPUTED_VALUE"""),45407.6666666666)</f>
        <v>45407.666666666599</v>
      </c>
      <c r="B815" s="1">
        <f ca="1">IFERROR(__xludf.DUMMYFUNCTION("""COMPUTED_VALUE"""),503.49)</f>
        <v>503.49</v>
      </c>
      <c r="C815" s="1">
        <f ca="1">IFERROR(__xludf.DUMMYFUNCTION("""COMPUTED_VALUE"""),169.89)</f>
        <v>169.89</v>
      </c>
      <c r="D815" s="1">
        <f ca="1">IFERROR(__xludf.DUMMYFUNCTION("""COMPUTED_VALUE"""),399.04)</f>
        <v>399.04</v>
      </c>
      <c r="E815" s="1">
        <f ca="1">IFERROR(__xludf.DUMMYFUNCTION("""COMPUTED_VALUE"""),193.37)</f>
        <v>193.37</v>
      </c>
      <c r="F815">
        <f t="shared" ca="1" si="101"/>
        <v>-3.7988959458657642E-3</v>
      </c>
      <c r="G815">
        <f t="shared" ca="1" si="102"/>
        <v>5.1473198438053251E-3</v>
      </c>
      <c r="H815">
        <f t="shared" ca="1" si="103"/>
        <v>-2.4495184080574932E-2</v>
      </c>
      <c r="I815">
        <f t="shared" ca="1" si="104"/>
        <v>1.5019680961259169E-3</v>
      </c>
      <c r="O815">
        <f t="shared" ca="1" si="105"/>
        <v>1.3382505382345899</v>
      </c>
      <c r="P815">
        <f t="shared" ca="1" si="106"/>
        <v>1.2954857404300752</v>
      </c>
      <c r="Q815">
        <f t="shared" ca="1" si="107"/>
        <v>1.6650949301064053</v>
      </c>
      <c r="R815">
        <f t="shared" ca="1" si="108"/>
        <v>1.4918222496528317</v>
      </c>
    </row>
    <row r="816" spans="1:18" x14ac:dyDescent="0.3">
      <c r="A816" s="2">
        <f ca="1">IFERROR(__xludf.DUMMYFUNCTION("""COMPUTED_VALUE"""),45408.6666666666)</f>
        <v>45408.666666666599</v>
      </c>
      <c r="B816" s="1">
        <f ca="1">IFERROR(__xludf.DUMMYFUNCTION("""COMPUTED_VALUE"""),508.26)</f>
        <v>508.26</v>
      </c>
      <c r="C816" s="1">
        <f ca="1">IFERROR(__xludf.DUMMYFUNCTION("""COMPUTED_VALUE"""),169.3)</f>
        <v>169.3</v>
      </c>
      <c r="D816" s="1">
        <f ca="1">IFERROR(__xludf.DUMMYFUNCTION("""COMPUTED_VALUE"""),406.32)</f>
        <v>406.32</v>
      </c>
      <c r="E816" s="1">
        <f ca="1">IFERROR(__xludf.DUMMYFUNCTION("""COMPUTED_VALUE"""),193.49)</f>
        <v>193.49</v>
      </c>
      <c r="F816">
        <f t="shared" ca="1" si="101"/>
        <v>9.4738723708514203E-3</v>
      </c>
      <c r="G816">
        <f t="shared" ca="1" si="102"/>
        <v>-3.4728353640589502E-3</v>
      </c>
      <c r="H816">
        <f t="shared" ca="1" si="103"/>
        <v>1.8243785084202015E-2</v>
      </c>
      <c r="I816">
        <f t="shared" ca="1" si="104"/>
        <v>6.2057196049027531E-4</v>
      </c>
      <c r="O816">
        <f t="shared" ca="1" si="105"/>
        <v>1.3509289530340476</v>
      </c>
      <c r="P816">
        <f t="shared" ca="1" si="106"/>
        <v>1.2909867317370756</v>
      </c>
      <c r="Q816">
        <f t="shared" ca="1" si="107"/>
        <v>1.6954725641560611</v>
      </c>
      <c r="R816">
        <f t="shared" ca="1" si="108"/>
        <v>1.4927480327110019</v>
      </c>
    </row>
    <row r="817" spans="1:18" x14ac:dyDescent="0.3">
      <c r="A817" s="2">
        <f ca="1">IFERROR(__xludf.DUMMYFUNCTION("""COMPUTED_VALUE"""),45411.6666666666)</f>
        <v>45411.666666666599</v>
      </c>
      <c r="B817" s="1">
        <f ca="1">IFERROR(__xludf.DUMMYFUNCTION("""COMPUTED_VALUE"""),510.06)</f>
        <v>510.06</v>
      </c>
      <c r="C817" s="1">
        <f ca="1">IFERROR(__xludf.DUMMYFUNCTION("""COMPUTED_VALUE"""),173.5)</f>
        <v>173.5</v>
      </c>
      <c r="D817" s="1">
        <f ca="1">IFERROR(__xludf.DUMMYFUNCTION("""COMPUTED_VALUE"""),402.25)</f>
        <v>402.25</v>
      </c>
      <c r="E817" s="1">
        <f ca="1">IFERROR(__xludf.DUMMYFUNCTION("""COMPUTED_VALUE"""),193.28)</f>
        <v>193.28</v>
      </c>
      <c r="F817">
        <f t="shared" ca="1" si="101"/>
        <v>3.5414945106835307E-3</v>
      </c>
      <c r="G817">
        <f t="shared" ca="1" si="102"/>
        <v>2.4808033077377369E-2</v>
      </c>
      <c r="H817">
        <f t="shared" ca="1" si="103"/>
        <v>-1.0016735577869643E-2</v>
      </c>
      <c r="I817">
        <f t="shared" ca="1" si="104"/>
        <v>-1.0853274071011834E-3</v>
      </c>
      <c r="O817">
        <f t="shared" ca="1" si="105"/>
        <v>1.3557132605055411</v>
      </c>
      <c r="P817">
        <f t="shared" ca="1" si="106"/>
        <v>1.3230135732804644</v>
      </c>
      <c r="Q817">
        <f t="shared" ca="1" si="107"/>
        <v>1.6784894638013772</v>
      </c>
      <c r="R817">
        <f t="shared" ca="1" si="108"/>
        <v>1.4911279123592043</v>
      </c>
    </row>
    <row r="818" spans="1:18" x14ac:dyDescent="0.3">
      <c r="A818" s="2">
        <f ca="1">IFERROR(__xludf.DUMMYFUNCTION("""COMPUTED_VALUE"""),45412.6666666666)</f>
        <v>45412.666666666599</v>
      </c>
      <c r="B818" s="1">
        <f ca="1">IFERROR(__xludf.DUMMYFUNCTION("""COMPUTED_VALUE"""),501.98)</f>
        <v>501.98</v>
      </c>
      <c r="C818" s="1">
        <f ca="1">IFERROR(__xludf.DUMMYFUNCTION("""COMPUTED_VALUE"""),170.33)</f>
        <v>170.33</v>
      </c>
      <c r="D818" s="1">
        <f ca="1">IFERROR(__xludf.DUMMYFUNCTION("""COMPUTED_VALUE"""),389.33)</f>
        <v>389.33</v>
      </c>
      <c r="E818" s="1">
        <f ca="1">IFERROR(__xludf.DUMMYFUNCTION("""COMPUTED_VALUE"""),191.74)</f>
        <v>191.74</v>
      </c>
      <c r="F818">
        <f t="shared" ca="1" si="101"/>
        <v>-1.5841273575657733E-2</v>
      </c>
      <c r="G818">
        <f t="shared" ca="1" si="102"/>
        <v>-1.8270893371757854E-2</v>
      </c>
      <c r="H818">
        <f t="shared" ca="1" si="103"/>
        <v>-3.2119328775637078E-2</v>
      </c>
      <c r="I818">
        <f t="shared" ca="1" si="104"/>
        <v>-7.9677152317880386E-3</v>
      </c>
      <c r="O818">
        <f t="shared" ca="1" si="105"/>
        <v>1.3342370358557258</v>
      </c>
      <c r="P818">
        <f t="shared" ca="1" si="106"/>
        <v>1.2988409333536688</v>
      </c>
      <c r="Q818">
        <f t="shared" ca="1" si="107"/>
        <v>1.624577508867098</v>
      </c>
      <c r="R818">
        <f t="shared" ca="1" si="108"/>
        <v>1.4792470297793554</v>
      </c>
    </row>
    <row r="819" spans="1:18" x14ac:dyDescent="0.3">
      <c r="A819" s="2">
        <f ca="1">IFERROR(__xludf.DUMMYFUNCTION("""COMPUTED_VALUE"""),45413.6666666666)</f>
        <v>45413.666666666599</v>
      </c>
      <c r="B819" s="1">
        <f ca="1">IFERROR(__xludf.DUMMYFUNCTION("""COMPUTED_VALUE"""),500.35)</f>
        <v>500.35</v>
      </c>
      <c r="C819" s="1">
        <f ca="1">IFERROR(__xludf.DUMMYFUNCTION("""COMPUTED_VALUE"""),169.3)</f>
        <v>169.3</v>
      </c>
      <c r="D819" s="1">
        <f ca="1">IFERROR(__xludf.DUMMYFUNCTION("""COMPUTED_VALUE"""),394.94)</f>
        <v>394.94</v>
      </c>
      <c r="E819" s="1">
        <f ca="1">IFERROR(__xludf.DUMMYFUNCTION("""COMPUTED_VALUE"""),191.86)</f>
        <v>191.86</v>
      </c>
      <c r="F819">
        <f t="shared" ca="1" si="101"/>
        <v>-3.2471413203713204E-3</v>
      </c>
      <c r="G819">
        <f t="shared" ca="1" si="102"/>
        <v>-6.0470850701579348E-3</v>
      </c>
      <c r="H819">
        <f t="shared" ca="1" si="103"/>
        <v>1.4409369943235851E-2</v>
      </c>
      <c r="I819">
        <f t="shared" ca="1" si="104"/>
        <v>6.2584750182541218E-4</v>
      </c>
      <c r="O819">
        <f t="shared" ca="1" si="105"/>
        <v>1.329904579645429</v>
      </c>
      <c r="P819">
        <f t="shared" ca="1" si="106"/>
        <v>1.2909867317370758</v>
      </c>
      <c r="Q819">
        <f t="shared" ca="1" si="107"/>
        <v>1.6479866471938247</v>
      </c>
      <c r="R819">
        <f t="shared" ca="1" si="108"/>
        <v>1.4801728128375256</v>
      </c>
    </row>
    <row r="820" spans="1:18" x14ac:dyDescent="0.3">
      <c r="A820" s="2">
        <f ca="1">IFERROR(__xludf.DUMMYFUNCTION("""COMPUTED_VALUE"""),45414.6666666666)</f>
        <v>45414.666666666599</v>
      </c>
      <c r="B820" s="1">
        <f ca="1">IFERROR(__xludf.DUMMYFUNCTION("""COMPUTED_VALUE"""),505.03)</f>
        <v>505.03</v>
      </c>
      <c r="C820" s="1">
        <f ca="1">IFERROR(__xludf.DUMMYFUNCTION("""COMPUTED_VALUE"""),173.03)</f>
        <v>173.03</v>
      </c>
      <c r="D820" s="1">
        <f ca="1">IFERROR(__xludf.DUMMYFUNCTION("""COMPUTED_VALUE"""),397.84)</f>
        <v>397.84</v>
      </c>
      <c r="E820" s="1">
        <f ca="1">IFERROR(__xludf.DUMMYFUNCTION("""COMPUTED_VALUE"""),191.66)</f>
        <v>191.66</v>
      </c>
      <c r="F820">
        <f t="shared" ca="1" si="101"/>
        <v>9.353452583191665E-3</v>
      </c>
      <c r="G820">
        <f t="shared" ca="1" si="102"/>
        <v>2.2031896042527994E-2</v>
      </c>
      <c r="H820">
        <f t="shared" ca="1" si="103"/>
        <v>7.3428875272192667E-3</v>
      </c>
      <c r="I820">
        <f t="shared" ca="1" si="104"/>
        <v>-1.0424267695195301E-3</v>
      </c>
      <c r="O820">
        <f t="shared" ca="1" si="105"/>
        <v>1.342343779071312</v>
      </c>
      <c r="P820">
        <f t="shared" ca="1" si="106"/>
        <v>1.3194296172029902</v>
      </c>
      <c r="Q820">
        <f t="shared" ca="1" si="107"/>
        <v>1.6600876277905281</v>
      </c>
      <c r="R820">
        <f t="shared" ca="1" si="108"/>
        <v>1.4786298410739087</v>
      </c>
    </row>
    <row r="821" spans="1:18" x14ac:dyDescent="0.3">
      <c r="A821" s="2">
        <f ca="1">IFERROR(__xludf.DUMMYFUNCTION("""COMPUTED_VALUE"""),45415.6666666666)</f>
        <v>45415.666666666599</v>
      </c>
      <c r="B821" s="1">
        <f ca="1">IFERROR(__xludf.DUMMYFUNCTION("""COMPUTED_VALUE"""),511.29)</f>
        <v>511.29</v>
      </c>
      <c r="C821" s="1">
        <f ca="1">IFERROR(__xludf.DUMMYFUNCTION("""COMPUTED_VALUE"""),183.38)</f>
        <v>183.38</v>
      </c>
      <c r="D821" s="1">
        <f ca="1">IFERROR(__xludf.DUMMYFUNCTION("""COMPUTED_VALUE"""),406.66)</f>
        <v>406.66</v>
      </c>
      <c r="E821" s="1">
        <f ca="1">IFERROR(__xludf.DUMMYFUNCTION("""COMPUTED_VALUE"""),190.51)</f>
        <v>190.51</v>
      </c>
      <c r="F821">
        <f t="shared" ca="1" si="101"/>
        <v>1.2395303249312017E-2</v>
      </c>
      <c r="G821">
        <f t="shared" ca="1" si="102"/>
        <v>5.9816216841010197E-2</v>
      </c>
      <c r="H821">
        <f t="shared" ca="1" si="103"/>
        <v>2.2169716468932361E-2</v>
      </c>
      <c r="I821">
        <f t="shared" ca="1" si="104"/>
        <v>-6.0002087029114356E-3</v>
      </c>
      <c r="O821">
        <f t="shared" ca="1" si="105"/>
        <v>1.3589825372777284</v>
      </c>
      <c r="P821">
        <f t="shared" ca="1" si="106"/>
        <v>1.3983529052920554</v>
      </c>
      <c r="Q821">
        <f t="shared" ca="1" si="107"/>
        <v>1.6968912998122265</v>
      </c>
      <c r="R821">
        <f t="shared" ca="1" si="108"/>
        <v>1.4697577534331125</v>
      </c>
    </row>
    <row r="822" spans="1:18" x14ac:dyDescent="0.3">
      <c r="A822" s="2">
        <f ca="1">IFERROR(__xludf.DUMMYFUNCTION("""COMPUTED_VALUE"""),45418.6666666666)</f>
        <v>45418.666666666599</v>
      </c>
      <c r="B822" s="1">
        <f ca="1">IFERROR(__xludf.DUMMYFUNCTION("""COMPUTED_VALUE"""),516.57)</f>
        <v>516.57000000000005</v>
      </c>
      <c r="C822" s="1">
        <f ca="1">IFERROR(__xludf.DUMMYFUNCTION("""COMPUTED_VALUE"""),181.71)</f>
        <v>181.71</v>
      </c>
      <c r="D822" s="1">
        <f ca="1">IFERROR(__xludf.DUMMYFUNCTION("""COMPUTED_VALUE"""),413.54)</f>
        <v>413.54</v>
      </c>
      <c r="E822" s="1">
        <f ca="1">IFERROR(__xludf.DUMMYFUNCTION("""COMPUTED_VALUE"""),192)</f>
        <v>192</v>
      </c>
      <c r="F822">
        <f t="shared" ca="1" si="101"/>
        <v>1.0326820395470339E-2</v>
      </c>
      <c r="G822">
        <f t="shared" ca="1" si="102"/>
        <v>-9.1067728214635595E-3</v>
      </c>
      <c r="H822">
        <f t="shared" ca="1" si="103"/>
        <v>1.691831013623173E-2</v>
      </c>
      <c r="I822">
        <f t="shared" ca="1" si="104"/>
        <v>7.8211117526639506E-3</v>
      </c>
      <c r="O822">
        <f t="shared" ca="1" si="105"/>
        <v>1.3730165058607759</v>
      </c>
      <c r="P822">
        <f t="shared" ca="1" si="106"/>
        <v>1.3856184230593271</v>
      </c>
      <c r="Q822">
        <f t="shared" ca="1" si="107"/>
        <v>1.7255998330899234</v>
      </c>
      <c r="R822">
        <f t="shared" ca="1" si="108"/>
        <v>1.4812528930720572</v>
      </c>
    </row>
    <row r="823" spans="1:18" x14ac:dyDescent="0.3">
      <c r="A823" s="2">
        <f ca="1">IFERROR(__xludf.DUMMYFUNCTION("""COMPUTED_VALUE"""),45419.6666666666)</f>
        <v>45419.666666666599</v>
      </c>
      <c r="B823" s="1">
        <f ca="1">IFERROR(__xludf.DUMMYFUNCTION("""COMPUTED_VALUE"""),517.14)</f>
        <v>517.14</v>
      </c>
      <c r="C823" s="1">
        <f ca="1">IFERROR(__xludf.DUMMYFUNCTION("""COMPUTED_VALUE"""),182.4)</f>
        <v>182.4</v>
      </c>
      <c r="D823" s="1">
        <f ca="1">IFERROR(__xludf.DUMMYFUNCTION("""COMPUTED_VALUE"""),409.34)</f>
        <v>409.34</v>
      </c>
      <c r="E823" s="1">
        <f ca="1">IFERROR(__xludf.DUMMYFUNCTION("""COMPUTED_VALUE"""),191.75)</f>
        <v>191.75</v>
      </c>
      <c r="F823">
        <f t="shared" ca="1" si="101"/>
        <v>1.1034322550669538E-3</v>
      </c>
      <c r="G823">
        <f t="shared" ca="1" si="102"/>
        <v>3.7972593693247356E-3</v>
      </c>
      <c r="H823">
        <f t="shared" ca="1" si="103"/>
        <v>-1.0156212216472518E-2</v>
      </c>
      <c r="I823">
        <f t="shared" ca="1" si="104"/>
        <v>-1.3020833333333333E-3</v>
      </c>
      <c r="O823">
        <f t="shared" ca="1" si="105"/>
        <v>1.3745315365600821</v>
      </c>
      <c r="P823">
        <f t="shared" ca="1" si="106"/>
        <v>1.3908799755985981</v>
      </c>
      <c r="Q823">
        <f t="shared" ca="1" si="107"/>
        <v>1.7080742749843525</v>
      </c>
      <c r="R823">
        <f t="shared" ca="1" si="108"/>
        <v>1.4793241783675362</v>
      </c>
    </row>
    <row r="824" spans="1:18" x14ac:dyDescent="0.3">
      <c r="A824" s="2">
        <f ca="1">IFERROR(__xludf.DUMMYFUNCTION("""COMPUTED_VALUE"""),45420.6666666666)</f>
        <v>45420.666666666599</v>
      </c>
      <c r="B824" s="1">
        <f ca="1">IFERROR(__xludf.DUMMYFUNCTION("""COMPUTED_VALUE"""),517.19)</f>
        <v>517.19000000000005</v>
      </c>
      <c r="C824" s="1">
        <f ca="1">IFERROR(__xludf.DUMMYFUNCTION("""COMPUTED_VALUE"""),182.74)</f>
        <v>182.74</v>
      </c>
      <c r="D824" s="1">
        <f ca="1">IFERROR(__xludf.DUMMYFUNCTION("""COMPUTED_VALUE"""),410.54)</f>
        <v>410.54</v>
      </c>
      <c r="E824" s="1">
        <f ca="1">IFERROR(__xludf.DUMMYFUNCTION("""COMPUTED_VALUE"""),195.65)</f>
        <v>195.65</v>
      </c>
      <c r="F824">
        <f t="shared" ca="1" si="101"/>
        <v>9.6685617047739903E-5</v>
      </c>
      <c r="G824">
        <f t="shared" ca="1" si="102"/>
        <v>1.8640350877193168E-3</v>
      </c>
      <c r="H824">
        <f t="shared" ca="1" si="103"/>
        <v>2.9315483461182525E-3</v>
      </c>
      <c r="I824">
        <f t="shared" ca="1" si="104"/>
        <v>2.0338983050847487E-2</v>
      </c>
      <c r="O824">
        <f t="shared" ca="1" si="105"/>
        <v>1.3746644339898459</v>
      </c>
      <c r="P824">
        <f t="shared" ca="1" si="106"/>
        <v>1.3934726246759199</v>
      </c>
      <c r="Q824">
        <f t="shared" ca="1" si="107"/>
        <v>1.7130815773002301</v>
      </c>
      <c r="R824">
        <f t="shared" ca="1" si="108"/>
        <v>1.5094121277580625</v>
      </c>
    </row>
    <row r="825" spans="1:18" x14ac:dyDescent="0.3">
      <c r="A825" s="2">
        <f ca="1">IFERROR(__xludf.DUMMYFUNCTION("""COMPUTED_VALUE"""),45421.6666666666)</f>
        <v>45421.666666666599</v>
      </c>
      <c r="B825" s="1">
        <f ca="1">IFERROR(__xludf.DUMMYFUNCTION("""COMPUTED_VALUE"""),520.17)</f>
        <v>520.16999999999996</v>
      </c>
      <c r="C825" s="1">
        <f ca="1">IFERROR(__xludf.DUMMYFUNCTION("""COMPUTED_VALUE"""),184.57)</f>
        <v>184.57</v>
      </c>
      <c r="D825" s="1">
        <f ca="1">IFERROR(__xludf.DUMMYFUNCTION("""COMPUTED_VALUE"""),412.32)</f>
        <v>412.32</v>
      </c>
      <c r="E825" s="1">
        <f ca="1">IFERROR(__xludf.DUMMYFUNCTION("""COMPUTED_VALUE"""),197.5)</f>
        <v>197.5</v>
      </c>
      <c r="F825">
        <f t="shared" ca="1" si="101"/>
        <v>5.7619056826309564E-3</v>
      </c>
      <c r="G825">
        <f t="shared" ca="1" si="102"/>
        <v>1.0014227864725752E-2</v>
      </c>
      <c r="H825">
        <f t="shared" ca="1" si="103"/>
        <v>4.3357529108003423E-3</v>
      </c>
      <c r="I825">
        <f t="shared" ca="1" si="104"/>
        <v>9.4556606184512861E-3</v>
      </c>
      <c r="O825">
        <f t="shared" ca="1" si="105"/>
        <v>1.3825851208037627</v>
      </c>
      <c r="P825">
        <f t="shared" ca="1" si="106"/>
        <v>1.4074271770626821</v>
      </c>
      <c r="Q825">
        <f t="shared" ca="1" si="107"/>
        <v>1.720509075735448</v>
      </c>
      <c r="R825">
        <f t="shared" ca="1" si="108"/>
        <v>1.5236846165715172</v>
      </c>
    </row>
    <row r="826" spans="1:18" x14ac:dyDescent="0.3">
      <c r="A826" s="2">
        <f ca="1">IFERROR(__xludf.DUMMYFUNCTION("""COMPUTED_VALUE"""),45422.6666666666)</f>
        <v>45422.666666666599</v>
      </c>
      <c r="B826" s="1">
        <f ca="1">IFERROR(__xludf.DUMMYFUNCTION("""COMPUTED_VALUE"""),520.84)</f>
        <v>520.84</v>
      </c>
      <c r="C826" s="1">
        <f ca="1">IFERROR(__xludf.DUMMYFUNCTION("""COMPUTED_VALUE"""),183.05)</f>
        <v>183.05</v>
      </c>
      <c r="D826" s="1">
        <f ca="1">IFERROR(__xludf.DUMMYFUNCTION("""COMPUTED_VALUE"""),414.74)</f>
        <v>414.74</v>
      </c>
      <c r="E826" s="1">
        <f ca="1">IFERROR(__xludf.DUMMYFUNCTION("""COMPUTED_VALUE"""),198.77)</f>
        <v>198.77</v>
      </c>
      <c r="F826">
        <f t="shared" ca="1" si="101"/>
        <v>1.2880404483151138E-3</v>
      </c>
      <c r="G826">
        <f t="shared" ca="1" si="102"/>
        <v>-8.2353578588068577E-3</v>
      </c>
      <c r="H826">
        <f t="shared" ca="1" si="103"/>
        <v>5.8692277842452853E-3</v>
      </c>
      <c r="I826">
        <f t="shared" ca="1" si="104"/>
        <v>6.4303797468354944E-3</v>
      </c>
      <c r="O826">
        <f t="shared" ca="1" si="105"/>
        <v>1.3843659463625966</v>
      </c>
      <c r="P826">
        <f t="shared" ca="1" si="106"/>
        <v>1.3958365105993606</v>
      </c>
      <c r="Q826">
        <f t="shared" ca="1" si="107"/>
        <v>1.7306071354058008</v>
      </c>
      <c r="R826">
        <f t="shared" ca="1" si="108"/>
        <v>1.5334824872704835</v>
      </c>
    </row>
    <row r="827" spans="1:18" x14ac:dyDescent="0.3">
      <c r="A827" s="2">
        <f ca="1">IFERROR(__xludf.DUMMYFUNCTION("""COMPUTED_VALUE"""),45425.6666666666)</f>
        <v>45425.666666666599</v>
      </c>
      <c r="B827" s="1">
        <f ca="1">IFERROR(__xludf.DUMMYFUNCTION("""COMPUTED_VALUE"""),520.91)</f>
        <v>520.91</v>
      </c>
      <c r="C827" s="1">
        <f ca="1">IFERROR(__xludf.DUMMYFUNCTION("""COMPUTED_VALUE"""),186.28)</f>
        <v>186.28</v>
      </c>
      <c r="D827" s="1">
        <f ca="1">IFERROR(__xludf.DUMMYFUNCTION("""COMPUTED_VALUE"""),413.72)</f>
        <v>413.72</v>
      </c>
      <c r="E827" s="1">
        <f ca="1">IFERROR(__xludf.DUMMYFUNCTION("""COMPUTED_VALUE"""),198.73)</f>
        <v>198.73</v>
      </c>
      <c r="F827">
        <f t="shared" ca="1" si="101"/>
        <v>1.3439827970189756E-4</v>
      </c>
      <c r="G827">
        <f t="shared" ca="1" si="102"/>
        <v>1.7645452062278008E-2</v>
      </c>
      <c r="H827">
        <f t="shared" ca="1" si="103"/>
        <v>-2.4593721367603362E-3</v>
      </c>
      <c r="I827">
        <f t="shared" ca="1" si="104"/>
        <v>-2.012376113096567E-4</v>
      </c>
      <c r="O827">
        <f t="shared" ca="1" si="105"/>
        <v>1.3845520027642657</v>
      </c>
      <c r="P827">
        <f t="shared" ca="1" si="106"/>
        <v>1.4204666768339189</v>
      </c>
      <c r="Q827">
        <f t="shared" ca="1" si="107"/>
        <v>1.7263509284373053</v>
      </c>
      <c r="R827">
        <f t="shared" ca="1" si="108"/>
        <v>1.5331738929177601</v>
      </c>
    </row>
    <row r="828" spans="1:18" x14ac:dyDescent="0.3">
      <c r="A828" s="2">
        <f ca="1">IFERROR(__xludf.DUMMYFUNCTION("""COMPUTED_VALUE"""),45426.6666666666)</f>
        <v>45426.666666666599</v>
      </c>
      <c r="B828" s="1">
        <f ca="1">IFERROR(__xludf.DUMMYFUNCTION("""COMPUTED_VALUE"""),523.3)</f>
        <v>523.29999999999995</v>
      </c>
      <c r="C828" s="1">
        <f ca="1">IFERROR(__xludf.DUMMYFUNCTION("""COMPUTED_VALUE"""),187.43)</f>
        <v>187.43</v>
      </c>
      <c r="D828" s="1">
        <f ca="1">IFERROR(__xludf.DUMMYFUNCTION("""COMPUTED_VALUE"""),416.56)</f>
        <v>416.56</v>
      </c>
      <c r="E828" s="1">
        <f ca="1">IFERROR(__xludf.DUMMYFUNCTION("""COMPUTED_VALUE"""),201.51)</f>
        <v>201.51</v>
      </c>
      <c r="F828">
        <f t="shared" ca="1" si="101"/>
        <v>4.5881246280547244E-3</v>
      </c>
      <c r="G828">
        <f t="shared" ca="1" si="102"/>
        <v>6.1735022546704193E-3</v>
      </c>
      <c r="H828">
        <f t="shared" ca="1" si="103"/>
        <v>6.8645460698056049E-3</v>
      </c>
      <c r="I828">
        <f t="shared" ca="1" si="104"/>
        <v>1.3988829064559963E-2</v>
      </c>
      <c r="O828">
        <f t="shared" ca="1" si="105"/>
        <v>1.3909044999069711</v>
      </c>
      <c r="P828">
        <f t="shared" ca="1" si="106"/>
        <v>1.4292359310660374</v>
      </c>
      <c r="Q828">
        <f t="shared" ca="1" si="107"/>
        <v>1.7382015439182148</v>
      </c>
      <c r="R828">
        <f t="shared" ca="1" si="108"/>
        <v>1.5546212004320326</v>
      </c>
    </row>
    <row r="829" spans="1:18" x14ac:dyDescent="0.3">
      <c r="A829" s="2">
        <f ca="1">IFERROR(__xludf.DUMMYFUNCTION("""COMPUTED_VALUE"""),45427.6666666666)</f>
        <v>45427.666666666599</v>
      </c>
      <c r="B829" s="1">
        <f ca="1">IFERROR(__xludf.DUMMYFUNCTION("""COMPUTED_VALUE"""),529.78)</f>
        <v>529.78</v>
      </c>
      <c r="C829" s="1">
        <f ca="1">IFERROR(__xludf.DUMMYFUNCTION("""COMPUTED_VALUE"""),189.72)</f>
        <v>189.72</v>
      </c>
      <c r="D829" s="1">
        <f ca="1">IFERROR(__xludf.DUMMYFUNCTION("""COMPUTED_VALUE"""),423.08)</f>
        <v>423.08</v>
      </c>
      <c r="E829" s="1">
        <f ca="1">IFERROR(__xludf.DUMMYFUNCTION("""COMPUTED_VALUE"""),202.11)</f>
        <v>202.11</v>
      </c>
      <c r="F829">
        <f t="shared" ca="1" si="101"/>
        <v>1.2382954328301202E-2</v>
      </c>
      <c r="G829">
        <f t="shared" ca="1" si="102"/>
        <v>1.2217894680680744E-2</v>
      </c>
      <c r="H829">
        <f t="shared" ca="1" si="103"/>
        <v>1.5652006913769882E-2</v>
      </c>
      <c r="I829">
        <f t="shared" ca="1" si="104"/>
        <v>2.977519726068298E-3</v>
      </c>
      <c r="O829">
        <f t="shared" ca="1" si="105"/>
        <v>1.4081280068043476</v>
      </c>
      <c r="P829">
        <f t="shared" ca="1" si="106"/>
        <v>1.4466981851456471</v>
      </c>
      <c r="Q829">
        <f t="shared" ca="1" si="107"/>
        <v>1.765407886501148</v>
      </c>
      <c r="R829">
        <f t="shared" ca="1" si="108"/>
        <v>1.5592501157228826</v>
      </c>
    </row>
    <row r="830" spans="1:18" x14ac:dyDescent="0.3">
      <c r="A830" s="2">
        <f ca="1">IFERROR(__xludf.DUMMYFUNCTION("""COMPUTED_VALUE"""),45428.6666666666)</f>
        <v>45428.666666666599</v>
      </c>
      <c r="B830" s="1">
        <f ca="1">IFERROR(__xludf.DUMMYFUNCTION("""COMPUTED_VALUE"""),528.69)</f>
        <v>528.69000000000005</v>
      </c>
      <c r="C830" s="1">
        <f ca="1">IFERROR(__xludf.DUMMYFUNCTION("""COMPUTED_VALUE"""),189.84)</f>
        <v>189.84</v>
      </c>
      <c r="D830" s="1">
        <f ca="1">IFERROR(__xludf.DUMMYFUNCTION("""COMPUTED_VALUE"""),420.99)</f>
        <v>420.99</v>
      </c>
      <c r="E830" s="1">
        <f ca="1">IFERROR(__xludf.DUMMYFUNCTION("""COMPUTED_VALUE"""),202.47)</f>
        <v>202.47</v>
      </c>
      <c r="F830">
        <f t="shared" ca="1" si="101"/>
        <v>-2.057457812676806E-3</v>
      </c>
      <c r="G830">
        <f t="shared" ca="1" si="102"/>
        <v>6.3251106894373049E-4</v>
      </c>
      <c r="H830">
        <f t="shared" ca="1" si="103"/>
        <v>-4.9399640729885013E-3</v>
      </c>
      <c r="I830">
        <f t="shared" ca="1" si="104"/>
        <v>1.7812082529314987E-3</v>
      </c>
      <c r="O830">
        <f t="shared" ca="1" si="105"/>
        <v>1.4052308428354989</v>
      </c>
      <c r="P830">
        <f t="shared" ca="1" si="106"/>
        <v>1.4476132377611726</v>
      </c>
      <c r="Q830">
        <f t="shared" ca="1" si="107"/>
        <v>1.7566868349676619</v>
      </c>
      <c r="R830">
        <f t="shared" ca="1" si="108"/>
        <v>1.5620274648973929</v>
      </c>
    </row>
    <row r="831" spans="1:18" x14ac:dyDescent="0.3">
      <c r="A831" s="2">
        <f ca="1">IFERROR(__xludf.DUMMYFUNCTION("""COMPUTED_VALUE"""),45429.6666666666)</f>
        <v>45429.666666666599</v>
      </c>
      <c r="B831" s="1">
        <f ca="1">IFERROR(__xludf.DUMMYFUNCTION("""COMPUTED_VALUE"""),529.45)</f>
        <v>529.45000000000005</v>
      </c>
      <c r="C831" s="1">
        <f ca="1">IFERROR(__xludf.DUMMYFUNCTION("""COMPUTED_VALUE"""),189.87)</f>
        <v>189.87</v>
      </c>
      <c r="D831" s="1">
        <f ca="1">IFERROR(__xludf.DUMMYFUNCTION("""COMPUTED_VALUE"""),420.21)</f>
        <v>420.21</v>
      </c>
      <c r="E831" s="1">
        <f ca="1">IFERROR(__xludf.DUMMYFUNCTION("""COMPUTED_VALUE"""),204.79)</f>
        <v>204.79</v>
      </c>
      <c r="F831">
        <f t="shared" ca="1" si="101"/>
        <v>1.437515368174149E-3</v>
      </c>
      <c r="G831">
        <f t="shared" ca="1" si="102"/>
        <v>1.5802781289507551E-4</v>
      </c>
      <c r="H831">
        <f t="shared" ca="1" si="103"/>
        <v>-1.8527756003706253E-3</v>
      </c>
      <c r="I831">
        <f t="shared" ca="1" si="104"/>
        <v>1.1458487677186709E-2</v>
      </c>
      <c r="O831">
        <f t="shared" ca="1" si="105"/>
        <v>1.4072508837679072</v>
      </c>
      <c r="P831">
        <f t="shared" ca="1" si="106"/>
        <v>1.4478420009150539</v>
      </c>
      <c r="Q831">
        <f t="shared" ca="1" si="107"/>
        <v>1.7534320884623413</v>
      </c>
      <c r="R831">
        <f t="shared" ca="1" si="108"/>
        <v>1.5799259373553467</v>
      </c>
    </row>
    <row r="832" spans="1:18" x14ac:dyDescent="0.3">
      <c r="A832" s="2">
        <f ca="1">IFERROR(__xludf.DUMMYFUNCTION("""COMPUTED_VALUE"""),45432.6666666666)</f>
        <v>45432.666666666599</v>
      </c>
      <c r="B832" s="1">
        <f ca="1">IFERROR(__xludf.DUMMYFUNCTION("""COMPUTED_VALUE"""),530.06)</f>
        <v>530.05999999999995</v>
      </c>
      <c r="C832" s="1">
        <f ca="1">IFERROR(__xludf.DUMMYFUNCTION("""COMPUTED_VALUE"""),191.04)</f>
        <v>191.04</v>
      </c>
      <c r="D832" s="1">
        <f ca="1">IFERROR(__xludf.DUMMYFUNCTION("""COMPUTED_VALUE"""),425.34)</f>
        <v>425.34</v>
      </c>
      <c r="E832" s="1">
        <f ca="1">IFERROR(__xludf.DUMMYFUNCTION("""COMPUTED_VALUE"""),195.58)</f>
        <v>195.58</v>
      </c>
      <c r="F832">
        <f t="shared" ca="1" si="101"/>
        <v>1.1521390121822645E-3</v>
      </c>
      <c r="G832">
        <f t="shared" ca="1" si="102"/>
        <v>6.1621109179964577E-3</v>
      </c>
      <c r="H832">
        <f t="shared" ca="1" si="103"/>
        <v>1.2208181623473967E-2</v>
      </c>
      <c r="I832">
        <f t="shared" ca="1" si="104"/>
        <v>-4.4972899067337174E-2</v>
      </c>
      <c r="O832">
        <f t="shared" ca="1" si="105"/>
        <v>1.4088722324110241</v>
      </c>
      <c r="P832">
        <f t="shared" ca="1" si="106"/>
        <v>1.4567637639164266</v>
      </c>
      <c r="Q832">
        <f t="shared" ca="1" si="107"/>
        <v>1.7748383058627171</v>
      </c>
      <c r="R832">
        <f t="shared" ca="1" si="108"/>
        <v>1.5088720876407966</v>
      </c>
    </row>
    <row r="833" spans="1:18" x14ac:dyDescent="0.3">
      <c r="A833" s="2">
        <f ca="1">IFERROR(__xludf.DUMMYFUNCTION("""COMPUTED_VALUE"""),45433.6666666666)</f>
        <v>45433.666666666599</v>
      </c>
      <c r="B833" s="1">
        <f ca="1">IFERROR(__xludf.DUMMYFUNCTION("""COMPUTED_VALUE"""),531.36)</f>
        <v>531.36</v>
      </c>
      <c r="C833" s="1">
        <f ca="1">IFERROR(__xludf.DUMMYFUNCTION("""COMPUTED_VALUE"""),192.35)</f>
        <v>192.35</v>
      </c>
      <c r="D833" s="1">
        <f ca="1">IFERROR(__xludf.DUMMYFUNCTION("""COMPUTED_VALUE"""),429.04)</f>
        <v>429.04</v>
      </c>
      <c r="E833" s="1">
        <f ca="1">IFERROR(__xludf.DUMMYFUNCTION("""COMPUTED_VALUE"""),199.52)</f>
        <v>199.52</v>
      </c>
      <c r="F833">
        <f t="shared" ca="1" si="101"/>
        <v>2.4525525412218774E-3</v>
      </c>
      <c r="G833">
        <f t="shared" ca="1" si="102"/>
        <v>6.8572026800670137E-3</v>
      </c>
      <c r="H833">
        <f t="shared" ca="1" si="103"/>
        <v>8.6989232143697883E-3</v>
      </c>
      <c r="I833">
        <f t="shared" ca="1" si="104"/>
        <v>2.0145209121587061E-2</v>
      </c>
      <c r="O833">
        <f t="shared" ca="1" si="105"/>
        <v>1.4123275655848806</v>
      </c>
      <c r="P833">
        <f t="shared" ca="1" si="106"/>
        <v>1.466753088302579</v>
      </c>
      <c r="Q833">
        <f t="shared" ca="1" si="107"/>
        <v>1.790277488003339</v>
      </c>
      <c r="R833">
        <f t="shared" ca="1" si="108"/>
        <v>1.539268631384046</v>
      </c>
    </row>
    <row r="834" spans="1:18" x14ac:dyDescent="0.3">
      <c r="A834" s="2">
        <f ca="1">IFERROR(__xludf.DUMMYFUNCTION("""COMPUTED_VALUE"""),45434.6666666666)</f>
        <v>45434.666666666599</v>
      </c>
      <c r="B834" s="1">
        <f ca="1">IFERROR(__xludf.DUMMYFUNCTION("""COMPUTED_VALUE"""),529.83)</f>
        <v>529.83000000000004</v>
      </c>
      <c r="C834" s="1">
        <f ca="1">IFERROR(__xludf.DUMMYFUNCTION("""COMPUTED_VALUE"""),190.9)</f>
        <v>190.9</v>
      </c>
      <c r="D834" s="1">
        <f ca="1">IFERROR(__xludf.DUMMYFUNCTION("""COMPUTED_VALUE"""),430.52)</f>
        <v>430.52</v>
      </c>
      <c r="E834" s="1">
        <f ca="1">IFERROR(__xludf.DUMMYFUNCTION("""COMPUTED_VALUE"""),198.31)</f>
        <v>198.31</v>
      </c>
      <c r="F834">
        <f t="shared" ca="1" si="101"/>
        <v>-2.8794037940378888E-3</v>
      </c>
      <c r="G834">
        <f t="shared" ca="1" si="102"/>
        <v>-7.5383415648556731E-3</v>
      </c>
      <c r="H834">
        <f t="shared" ca="1" si="103"/>
        <v>3.4495618124183321E-3</v>
      </c>
      <c r="I834">
        <f t="shared" ca="1" si="104"/>
        <v>-6.0645549318364472E-3</v>
      </c>
      <c r="O834">
        <f t="shared" ca="1" si="105"/>
        <v>1.4082609042341112</v>
      </c>
      <c r="P834">
        <f t="shared" ca="1" si="106"/>
        <v>1.4556962025316473</v>
      </c>
      <c r="Q834">
        <f t="shared" ca="1" si="107"/>
        <v>1.7964531608595877</v>
      </c>
      <c r="R834">
        <f t="shared" ca="1" si="108"/>
        <v>1.5299336522141647</v>
      </c>
    </row>
    <row r="835" spans="1:18" x14ac:dyDescent="0.3">
      <c r="A835" s="2">
        <f ca="1">IFERROR(__xludf.DUMMYFUNCTION("""COMPUTED_VALUE"""),45435.6666666666)</f>
        <v>45435.666666666599</v>
      </c>
      <c r="B835" s="1">
        <f ca="1">IFERROR(__xludf.DUMMYFUNCTION("""COMPUTED_VALUE"""),525.96)</f>
        <v>525.96</v>
      </c>
      <c r="C835" s="1">
        <f ca="1">IFERROR(__xludf.DUMMYFUNCTION("""COMPUTED_VALUE"""),186.88)</f>
        <v>186.88</v>
      </c>
      <c r="D835" s="1">
        <f ca="1">IFERROR(__xludf.DUMMYFUNCTION("""COMPUTED_VALUE"""),427)</f>
        <v>427</v>
      </c>
      <c r="E835" s="1">
        <f ca="1">IFERROR(__xludf.DUMMYFUNCTION("""COMPUTED_VALUE"""),196.92)</f>
        <v>196.92</v>
      </c>
      <c r="F835">
        <f t="shared" ca="1" si="101"/>
        <v>-7.3042296585697376E-3</v>
      </c>
      <c r="G835">
        <f t="shared" ca="1" si="102"/>
        <v>-2.1058145625982242E-2</v>
      </c>
      <c r="H835">
        <f t="shared" ca="1" si="103"/>
        <v>-8.1761590634581022E-3</v>
      </c>
      <c r="I835">
        <f t="shared" ca="1" si="104"/>
        <v>-7.0092279764006598E-3</v>
      </c>
      <c r="O835">
        <f t="shared" ca="1" si="105"/>
        <v>1.3979746431704003</v>
      </c>
      <c r="P835">
        <f t="shared" ca="1" si="106"/>
        <v>1.4250419399115466</v>
      </c>
      <c r="Q835">
        <f t="shared" ca="1" si="107"/>
        <v>1.7817650740663475</v>
      </c>
      <c r="R835">
        <f t="shared" ca="1" si="108"/>
        <v>1.5192099984570282</v>
      </c>
    </row>
    <row r="836" spans="1:18" x14ac:dyDescent="0.3">
      <c r="A836" s="2">
        <f ca="1">IFERROR(__xludf.DUMMYFUNCTION("""COMPUTED_VALUE"""),45436.6666666666)</f>
        <v>45436.666666666599</v>
      </c>
      <c r="B836" s="1">
        <f ca="1">IFERROR(__xludf.DUMMYFUNCTION("""COMPUTED_VALUE"""),529.44)</f>
        <v>529.44000000000005</v>
      </c>
      <c r="C836" s="1">
        <f ca="1">IFERROR(__xludf.DUMMYFUNCTION("""COMPUTED_VALUE"""),189.98)</f>
        <v>189.98</v>
      </c>
      <c r="D836" s="1">
        <f ca="1">IFERROR(__xludf.DUMMYFUNCTION("""COMPUTED_VALUE"""),430.16)</f>
        <v>430.16</v>
      </c>
      <c r="E836" s="1">
        <f ca="1">IFERROR(__xludf.DUMMYFUNCTION("""COMPUTED_VALUE"""),200.71)</f>
        <v>200.71</v>
      </c>
      <c r="F836">
        <f t="shared" ref="F836:F899" ca="1" si="109">(B836-B835)/B835</f>
        <v>6.6164727355692791E-3</v>
      </c>
      <c r="G836">
        <f t="shared" ref="G836:G899" ca="1" si="110">(C836-C835)/C835</f>
        <v>1.6588184931506818E-2</v>
      </c>
      <c r="H836">
        <f t="shared" ref="H836:H899" ca="1" si="111">(D836-D835)/D835</f>
        <v>7.4004683840750004E-3</v>
      </c>
      <c r="I836">
        <f t="shared" ref="I836:I899" ca="1" si="112">(E836-E835)/E835</f>
        <v>1.9246394474913775E-2</v>
      </c>
      <c r="O836">
        <f t="shared" ref="O836:O899" ca="1" si="113">O835*(1+F836)</f>
        <v>1.4072243042819546</v>
      </c>
      <c r="P836">
        <f t="shared" ref="P836:P899" ca="1" si="114">P835*(1+G836)</f>
        <v>1.4486807991459525</v>
      </c>
      <c r="Q836">
        <f t="shared" ref="Q836:Q899" ca="1" si="115">Q835*(1+H836)</f>
        <v>1.7949509701648245</v>
      </c>
      <c r="R836">
        <f t="shared" ref="R836:R899" ca="1" si="116">R835*(1+I836)</f>
        <v>1.5484493133775652</v>
      </c>
    </row>
    <row r="837" spans="1:18" x14ac:dyDescent="0.3">
      <c r="A837" s="2">
        <f ca="1">IFERROR(__xludf.DUMMYFUNCTION("""COMPUTED_VALUE"""),45440.6666666666)</f>
        <v>45440.666666666599</v>
      </c>
      <c r="B837" s="1">
        <f ca="1">IFERROR(__xludf.DUMMYFUNCTION("""COMPUTED_VALUE"""),529.81)</f>
        <v>529.80999999999995</v>
      </c>
      <c r="C837" s="1">
        <f ca="1">IFERROR(__xludf.DUMMYFUNCTION("""COMPUTED_VALUE"""),189.99)</f>
        <v>189.99</v>
      </c>
      <c r="D837" s="1">
        <f ca="1">IFERROR(__xludf.DUMMYFUNCTION("""COMPUTED_VALUE"""),430.32)</f>
        <v>430.32</v>
      </c>
      <c r="E837" s="1">
        <f ca="1">IFERROR(__xludf.DUMMYFUNCTION("""COMPUTED_VALUE"""),199.5)</f>
        <v>199.5</v>
      </c>
      <c r="F837">
        <f t="shared" ca="1" si="109"/>
        <v>6.988516168024532E-4</v>
      </c>
      <c r="G837">
        <f t="shared" ca="1" si="110"/>
        <v>5.2637119696911926E-5</v>
      </c>
      <c r="H837">
        <f t="shared" ca="1" si="111"/>
        <v>3.7195462153609855E-4</v>
      </c>
      <c r="I837">
        <f t="shared" ca="1" si="112"/>
        <v>-6.0285984754123254E-3</v>
      </c>
      <c r="O837">
        <f t="shared" ca="1" si="113"/>
        <v>1.4082077452622057</v>
      </c>
      <c r="P837">
        <f t="shared" ca="1" si="114"/>
        <v>1.4487570535305798</v>
      </c>
      <c r="Q837">
        <f t="shared" ca="1" si="115"/>
        <v>1.795618610473608</v>
      </c>
      <c r="R837">
        <f t="shared" ca="1" si="116"/>
        <v>1.5391143342076838</v>
      </c>
    </row>
    <row r="838" spans="1:18" x14ac:dyDescent="0.3">
      <c r="A838" s="2">
        <f ca="1">IFERROR(__xludf.DUMMYFUNCTION("""COMPUTED_VALUE"""),45441.6666666666)</f>
        <v>45441.666666666599</v>
      </c>
      <c r="B838" s="1">
        <f ca="1">IFERROR(__xludf.DUMMYFUNCTION("""COMPUTED_VALUE"""),526.1)</f>
        <v>526.1</v>
      </c>
      <c r="C838" s="1">
        <f ca="1">IFERROR(__xludf.DUMMYFUNCTION("""COMPUTED_VALUE"""),190.29)</f>
        <v>190.29</v>
      </c>
      <c r="D838" s="1">
        <f ca="1">IFERROR(__xludf.DUMMYFUNCTION("""COMPUTED_VALUE"""),429.17)</f>
        <v>429.17</v>
      </c>
      <c r="E838" s="1">
        <f ca="1">IFERROR(__xludf.DUMMYFUNCTION("""COMPUTED_VALUE"""),198.11)</f>
        <v>198.11</v>
      </c>
      <c r="F838">
        <f t="shared" ca="1" si="109"/>
        <v>-7.0025103338931371E-3</v>
      </c>
      <c r="G838">
        <f t="shared" ca="1" si="110"/>
        <v>1.5790304752880831E-3</v>
      </c>
      <c r="H838">
        <f t="shared" ca="1" si="111"/>
        <v>-2.6724298196690306E-3</v>
      </c>
      <c r="I838">
        <f t="shared" ca="1" si="112"/>
        <v>-6.9674185463658462E-3</v>
      </c>
      <c r="O838">
        <f t="shared" ca="1" si="113"/>
        <v>1.3983467559737388</v>
      </c>
      <c r="P838">
        <f t="shared" ca="1" si="114"/>
        <v>1.4510446850693932</v>
      </c>
      <c r="Q838">
        <f t="shared" ca="1" si="115"/>
        <v>1.7908199457542258</v>
      </c>
      <c r="R838">
        <f t="shared" ca="1" si="116"/>
        <v>1.5283906804505476</v>
      </c>
    </row>
    <row r="839" spans="1:18" x14ac:dyDescent="0.3">
      <c r="A839" s="2">
        <f ca="1">IFERROR(__xludf.DUMMYFUNCTION("""COMPUTED_VALUE"""),45442.6666666666)</f>
        <v>45442.666666666599</v>
      </c>
      <c r="B839" s="1">
        <f ca="1">IFERROR(__xludf.DUMMYFUNCTION("""COMPUTED_VALUE"""),522.61)</f>
        <v>522.61</v>
      </c>
      <c r="C839" s="1">
        <f ca="1">IFERROR(__xludf.DUMMYFUNCTION("""COMPUTED_VALUE"""),191.29)</f>
        <v>191.29</v>
      </c>
      <c r="D839" s="1">
        <f ca="1">IFERROR(__xludf.DUMMYFUNCTION("""COMPUTED_VALUE"""),414.67)</f>
        <v>414.67</v>
      </c>
      <c r="E839" s="1">
        <f ca="1">IFERROR(__xludf.DUMMYFUNCTION("""COMPUTED_VALUE"""),199.33)</f>
        <v>199.33</v>
      </c>
      <c r="F839">
        <f t="shared" ca="1" si="109"/>
        <v>-6.6337198251283196E-3</v>
      </c>
      <c r="G839">
        <f t="shared" ca="1" si="110"/>
        <v>5.2551368963161494E-3</v>
      </c>
      <c r="H839">
        <f t="shared" ca="1" si="111"/>
        <v>-3.3786145350327375E-2</v>
      </c>
      <c r="I839">
        <f t="shared" ca="1" si="112"/>
        <v>6.1581949422038198E-3</v>
      </c>
      <c r="O839">
        <f t="shared" ca="1" si="113"/>
        <v>1.3890705153762319</v>
      </c>
      <c r="P839">
        <f t="shared" ca="1" si="114"/>
        <v>1.4586701235321047</v>
      </c>
      <c r="Q839">
        <f t="shared" ca="1" si="115"/>
        <v>1.7303150427707079</v>
      </c>
      <c r="R839">
        <f t="shared" ca="1" si="116"/>
        <v>1.5378028082086097</v>
      </c>
    </row>
    <row r="840" spans="1:18" x14ac:dyDescent="0.3">
      <c r="A840" s="2">
        <f ca="1">IFERROR(__xludf.DUMMYFUNCTION("""COMPUTED_VALUE"""),45443.6666666666)</f>
        <v>45443.666666666599</v>
      </c>
      <c r="B840" s="1">
        <f ca="1">IFERROR(__xludf.DUMMYFUNCTION("""COMPUTED_VALUE"""),527.37)</f>
        <v>527.37</v>
      </c>
      <c r="C840" s="1">
        <f ca="1">IFERROR(__xludf.DUMMYFUNCTION("""COMPUTED_VALUE"""),192.25)</f>
        <v>192.25</v>
      </c>
      <c r="D840" s="1">
        <f ca="1">IFERROR(__xludf.DUMMYFUNCTION("""COMPUTED_VALUE"""),415.13)</f>
        <v>415.13</v>
      </c>
      <c r="E840" s="1">
        <f ca="1">IFERROR(__xludf.DUMMYFUNCTION("""COMPUTED_VALUE"""),202.63)</f>
        <v>202.63</v>
      </c>
      <c r="F840">
        <f t="shared" ca="1" si="109"/>
        <v>9.1081303457645098E-3</v>
      </c>
      <c r="G840">
        <f t="shared" ca="1" si="110"/>
        <v>5.0185582100476132E-3</v>
      </c>
      <c r="H840">
        <f t="shared" ca="1" si="111"/>
        <v>1.1093158415124787E-3</v>
      </c>
      <c r="I840">
        <f t="shared" ca="1" si="112"/>
        <v>1.6555460793658671E-2</v>
      </c>
      <c r="O840">
        <f t="shared" ca="1" si="113"/>
        <v>1.4017223506897369</v>
      </c>
      <c r="P840">
        <f t="shared" ca="1" si="114"/>
        <v>1.4659905444563079</v>
      </c>
      <c r="Q840">
        <f t="shared" ca="1" si="115"/>
        <v>1.732234508658461</v>
      </c>
      <c r="R840">
        <f t="shared" ca="1" si="116"/>
        <v>1.5632618423082856</v>
      </c>
    </row>
    <row r="841" spans="1:18" x14ac:dyDescent="0.3">
      <c r="A841" s="2">
        <f ca="1">IFERROR(__xludf.DUMMYFUNCTION("""COMPUTED_VALUE"""),45446.6666666666)</f>
        <v>45446.666666666599</v>
      </c>
      <c r="B841" s="1">
        <f ca="1">IFERROR(__xludf.DUMMYFUNCTION("""COMPUTED_VALUE"""),527.8)</f>
        <v>527.79999999999995</v>
      </c>
      <c r="C841" s="1">
        <f ca="1">IFERROR(__xludf.DUMMYFUNCTION("""COMPUTED_VALUE"""),194.03)</f>
        <v>194.03</v>
      </c>
      <c r="D841" s="1">
        <f ca="1">IFERROR(__xludf.DUMMYFUNCTION("""COMPUTED_VALUE"""),413.52)</f>
        <v>413.52</v>
      </c>
      <c r="E841" s="1">
        <f ca="1">IFERROR(__xludf.DUMMYFUNCTION("""COMPUTED_VALUE"""),201.82)</f>
        <v>201.82</v>
      </c>
      <c r="F841">
        <f t="shared" ca="1" si="109"/>
        <v>8.1536682025892631E-4</v>
      </c>
      <c r="G841">
        <f t="shared" ca="1" si="110"/>
        <v>9.2587776332899926E-3</v>
      </c>
      <c r="H841">
        <f t="shared" ca="1" si="111"/>
        <v>-3.8783031821357492E-3</v>
      </c>
      <c r="I841">
        <f t="shared" ca="1" si="112"/>
        <v>-3.9974337462369948E-3</v>
      </c>
      <c r="O841">
        <f t="shared" ca="1" si="113"/>
        <v>1.4028652685857046</v>
      </c>
      <c r="P841">
        <f t="shared" ca="1" si="114"/>
        <v>1.4795638249199345</v>
      </c>
      <c r="Q841">
        <f t="shared" ca="1" si="115"/>
        <v>1.7255163780513254</v>
      </c>
      <c r="R841">
        <f t="shared" ca="1" si="116"/>
        <v>1.5570128066656379</v>
      </c>
    </row>
    <row r="842" spans="1:18" x14ac:dyDescent="0.3">
      <c r="A842" s="2">
        <f ca="1">IFERROR(__xludf.DUMMYFUNCTION("""COMPUTED_VALUE"""),45447.6666666666)</f>
        <v>45447.666666666599</v>
      </c>
      <c r="B842" s="1">
        <f ca="1">IFERROR(__xludf.DUMMYFUNCTION("""COMPUTED_VALUE"""),528.39)</f>
        <v>528.39</v>
      </c>
      <c r="C842" s="1">
        <f ca="1">IFERROR(__xludf.DUMMYFUNCTION("""COMPUTED_VALUE"""),194.35)</f>
        <v>194.35</v>
      </c>
      <c r="D842" s="1">
        <f ca="1">IFERROR(__xludf.DUMMYFUNCTION("""COMPUTED_VALUE"""),416.07)</f>
        <v>416.07</v>
      </c>
      <c r="E842" s="1">
        <f ca="1">IFERROR(__xludf.DUMMYFUNCTION("""COMPUTED_VALUE"""),199.16)</f>
        <v>199.16</v>
      </c>
      <c r="F842">
        <f t="shared" ca="1" si="109"/>
        <v>1.1178476695718679E-3</v>
      </c>
      <c r="G842">
        <f t="shared" ca="1" si="110"/>
        <v>1.6492295005926566E-3</v>
      </c>
      <c r="H842">
        <f t="shared" ca="1" si="111"/>
        <v>6.1665699361578919E-3</v>
      </c>
      <c r="I842">
        <f t="shared" ca="1" si="112"/>
        <v>-1.3180061440887904E-2</v>
      </c>
      <c r="O842">
        <f t="shared" ca="1" si="113"/>
        <v>1.4044334582569165</v>
      </c>
      <c r="P842">
        <f t="shared" ca="1" si="114"/>
        <v>1.4820039652280024</v>
      </c>
      <c r="Q842">
        <f t="shared" ca="1" si="115"/>
        <v>1.7361568954725648</v>
      </c>
      <c r="R842">
        <f t="shared" ca="1" si="116"/>
        <v>1.5364912822095356</v>
      </c>
    </row>
    <row r="843" spans="1:18" x14ac:dyDescent="0.3">
      <c r="A843" s="2">
        <f ca="1">IFERROR(__xludf.DUMMYFUNCTION("""COMPUTED_VALUE"""),45448.6666666666)</f>
        <v>45448.666666666599</v>
      </c>
      <c r="B843" s="1">
        <f ca="1">IFERROR(__xludf.DUMMYFUNCTION("""COMPUTED_VALUE"""),534.67)</f>
        <v>534.66999999999996</v>
      </c>
      <c r="C843" s="1">
        <f ca="1">IFERROR(__xludf.DUMMYFUNCTION("""COMPUTED_VALUE"""),195.87)</f>
        <v>195.87</v>
      </c>
      <c r="D843" s="1">
        <f ca="1">IFERROR(__xludf.DUMMYFUNCTION("""COMPUTED_VALUE"""),424.01)</f>
        <v>424.01</v>
      </c>
      <c r="E843" s="1">
        <f ca="1">IFERROR(__xludf.DUMMYFUNCTION("""COMPUTED_VALUE"""),197.26)</f>
        <v>197.26</v>
      </c>
      <c r="F843">
        <f t="shared" ca="1" si="109"/>
        <v>1.1885160582145712E-2</v>
      </c>
      <c r="G843">
        <f t="shared" ca="1" si="110"/>
        <v>7.8209416002058673E-3</v>
      </c>
      <c r="H843">
        <f t="shared" ca="1" si="111"/>
        <v>1.9083327324729008E-2</v>
      </c>
      <c r="I843">
        <f t="shared" ca="1" si="112"/>
        <v>-9.5400682868046083E-3</v>
      </c>
      <c r="O843">
        <f t="shared" ca="1" si="113"/>
        <v>1.4211253754352382</v>
      </c>
      <c r="P843">
        <f t="shared" ca="1" si="114"/>
        <v>1.4935946316913242</v>
      </c>
      <c r="Q843">
        <f t="shared" ca="1" si="115"/>
        <v>1.7692885457959531</v>
      </c>
      <c r="R843">
        <f t="shared" ca="1" si="116"/>
        <v>1.5218330504551765</v>
      </c>
    </row>
    <row r="844" spans="1:18" x14ac:dyDescent="0.3">
      <c r="A844" s="2">
        <f ca="1">IFERROR(__xludf.DUMMYFUNCTION("""COMPUTED_VALUE"""),45449.6666666666)</f>
        <v>45449.666666666599</v>
      </c>
      <c r="B844" s="1">
        <f ca="1">IFERROR(__xludf.DUMMYFUNCTION("""COMPUTED_VALUE"""),534.66)</f>
        <v>534.66</v>
      </c>
      <c r="C844" s="1">
        <f ca="1">IFERROR(__xludf.DUMMYFUNCTION("""COMPUTED_VALUE"""),194.48)</f>
        <v>194.48</v>
      </c>
      <c r="D844" s="1">
        <f ca="1">IFERROR(__xludf.DUMMYFUNCTION("""COMPUTED_VALUE"""),424.52)</f>
        <v>424.52</v>
      </c>
      <c r="E844" s="1">
        <f ca="1">IFERROR(__xludf.DUMMYFUNCTION("""COMPUTED_VALUE"""),196.91)</f>
        <v>196.91</v>
      </c>
      <c r="F844">
        <f t="shared" ca="1" si="109"/>
        <v>-1.8703125292219325E-5</v>
      </c>
      <c r="G844">
        <f t="shared" ca="1" si="110"/>
        <v>-7.0965436258743795E-3</v>
      </c>
      <c r="H844">
        <f t="shared" ca="1" si="111"/>
        <v>1.2028018207117543E-3</v>
      </c>
      <c r="I844">
        <f t="shared" ca="1" si="112"/>
        <v>-1.7743080198722211E-3</v>
      </c>
      <c r="O844">
        <f t="shared" ca="1" si="113"/>
        <v>1.4210987959492856</v>
      </c>
      <c r="P844">
        <f t="shared" ca="1" si="114"/>
        <v>1.482995272228155</v>
      </c>
      <c r="Q844">
        <f t="shared" ca="1" si="115"/>
        <v>1.7714166492802008</v>
      </c>
      <c r="R844">
        <f t="shared" ca="1" si="116"/>
        <v>1.5191328498688472</v>
      </c>
    </row>
    <row r="845" spans="1:18" x14ac:dyDescent="0.3">
      <c r="A845" s="2">
        <f ca="1">IFERROR(__xludf.DUMMYFUNCTION("""COMPUTED_VALUE"""),45450.6666666666)</f>
        <v>45450.666666666599</v>
      </c>
      <c r="B845" s="1">
        <f ca="1">IFERROR(__xludf.DUMMYFUNCTION("""COMPUTED_VALUE"""),534.01)</f>
        <v>534.01</v>
      </c>
      <c r="C845" s="1">
        <f ca="1">IFERROR(__xludf.DUMMYFUNCTION("""COMPUTED_VALUE"""),196.89)</f>
        <v>196.89</v>
      </c>
      <c r="D845" s="1">
        <f ca="1">IFERROR(__xludf.DUMMYFUNCTION("""COMPUTED_VALUE"""),423.85)</f>
        <v>423.85</v>
      </c>
      <c r="E845" s="1">
        <f ca="1">IFERROR(__xludf.DUMMYFUNCTION("""COMPUTED_VALUE"""),199.95)</f>
        <v>199.95</v>
      </c>
      <c r="F845">
        <f t="shared" ca="1" si="109"/>
        <v>-1.2157258818688088E-3</v>
      </c>
      <c r="G845">
        <f t="shared" ca="1" si="110"/>
        <v>1.2392019744960904E-2</v>
      </c>
      <c r="H845">
        <f t="shared" ca="1" si="111"/>
        <v>-1.5782530858380267E-3</v>
      </c>
      <c r="I845">
        <f t="shared" ca="1" si="112"/>
        <v>1.5438525214564989E-2</v>
      </c>
      <c r="O845">
        <f t="shared" ca="1" si="113"/>
        <v>1.4193711293623574</v>
      </c>
      <c r="P845">
        <f t="shared" ca="1" si="114"/>
        <v>1.5013725789232901</v>
      </c>
      <c r="Q845">
        <f t="shared" ca="1" si="115"/>
        <v>1.7686209054871695</v>
      </c>
      <c r="R845">
        <f t="shared" ca="1" si="116"/>
        <v>1.5425860206758215</v>
      </c>
    </row>
    <row r="846" spans="1:18" x14ac:dyDescent="0.3">
      <c r="A846" s="2">
        <f ca="1">IFERROR(__xludf.DUMMYFUNCTION("""COMPUTED_VALUE"""),45453.6666666666)</f>
        <v>45453.666666666599</v>
      </c>
      <c r="B846" s="1">
        <f ca="1">IFERROR(__xludf.DUMMYFUNCTION("""COMPUTED_VALUE"""),535.66)</f>
        <v>535.66</v>
      </c>
      <c r="C846" s="1">
        <f ca="1">IFERROR(__xludf.DUMMYFUNCTION("""COMPUTED_VALUE"""),193.12)</f>
        <v>193.12</v>
      </c>
      <c r="D846" s="1">
        <f ca="1">IFERROR(__xludf.DUMMYFUNCTION("""COMPUTED_VALUE"""),427.87)</f>
        <v>427.87</v>
      </c>
      <c r="E846" s="1">
        <f ca="1">IFERROR(__xludf.DUMMYFUNCTION("""COMPUTED_VALUE"""),199.61)</f>
        <v>199.61</v>
      </c>
      <c r="F846">
        <f t="shared" ca="1" si="109"/>
        <v>3.0898297784685254E-3</v>
      </c>
      <c r="G846">
        <f t="shared" ca="1" si="110"/>
        <v>-1.9147747473208299E-2</v>
      </c>
      <c r="H846">
        <f t="shared" ca="1" si="111"/>
        <v>9.4844874365930913E-3</v>
      </c>
      <c r="I846">
        <f t="shared" ca="1" si="112"/>
        <v>-1.7004251062764442E-3</v>
      </c>
      <c r="O846">
        <f t="shared" ca="1" si="113"/>
        <v>1.4237567445445598</v>
      </c>
      <c r="P846">
        <f t="shared" ca="1" si="114"/>
        <v>1.4726246759188675</v>
      </c>
      <c r="Q846">
        <f t="shared" ca="1" si="115"/>
        <v>1.7853953682453585</v>
      </c>
      <c r="R846">
        <f t="shared" ca="1" si="116"/>
        <v>1.5399629686776732</v>
      </c>
    </row>
    <row r="847" spans="1:18" x14ac:dyDescent="0.3">
      <c r="A847" s="2">
        <f ca="1">IFERROR(__xludf.DUMMYFUNCTION("""COMPUTED_VALUE"""),45454.6666666666)</f>
        <v>45454.666666666599</v>
      </c>
      <c r="B847" s="1">
        <f ca="1">IFERROR(__xludf.DUMMYFUNCTION("""COMPUTED_VALUE"""),536.95)</f>
        <v>536.95000000000005</v>
      </c>
      <c r="C847" s="1">
        <f ca="1">IFERROR(__xludf.DUMMYFUNCTION("""COMPUTED_VALUE"""),207.15)</f>
        <v>207.15</v>
      </c>
      <c r="D847" s="1">
        <f ca="1">IFERROR(__xludf.DUMMYFUNCTION("""COMPUTED_VALUE"""),432.68)</f>
        <v>432.68</v>
      </c>
      <c r="E847" s="1">
        <f ca="1">IFERROR(__xludf.DUMMYFUNCTION("""COMPUTED_VALUE"""),194.36)</f>
        <v>194.36</v>
      </c>
      <c r="F847">
        <f t="shared" ca="1" si="109"/>
        <v>2.4082440353957314E-3</v>
      </c>
      <c r="G847">
        <f t="shared" ca="1" si="110"/>
        <v>7.2649130074565041E-2</v>
      </c>
      <c r="H847">
        <f t="shared" ca="1" si="111"/>
        <v>1.1241732301867395E-2</v>
      </c>
      <c r="I847">
        <f t="shared" ca="1" si="112"/>
        <v>-2.6301287510645758E-2</v>
      </c>
      <c r="O847">
        <f t="shared" ca="1" si="113"/>
        <v>1.4271854982324637</v>
      </c>
      <c r="P847">
        <f t="shared" ca="1" si="114"/>
        <v>1.5796095775507115</v>
      </c>
      <c r="Q847">
        <f t="shared" ca="1" si="115"/>
        <v>1.8054663050281667</v>
      </c>
      <c r="R847">
        <f t="shared" ca="1" si="116"/>
        <v>1.4994599598827343</v>
      </c>
    </row>
    <row r="848" spans="1:18" x14ac:dyDescent="0.3">
      <c r="A848" s="2">
        <f ca="1">IFERROR(__xludf.DUMMYFUNCTION("""COMPUTED_VALUE"""),45455.6666666666)</f>
        <v>45455.666666666599</v>
      </c>
      <c r="B848" s="1">
        <f ca="1">IFERROR(__xludf.DUMMYFUNCTION("""COMPUTED_VALUE"""),541.36)</f>
        <v>541.36</v>
      </c>
      <c r="C848" s="1">
        <f ca="1">IFERROR(__xludf.DUMMYFUNCTION("""COMPUTED_VALUE"""),213.07)</f>
        <v>213.07</v>
      </c>
      <c r="D848" s="1">
        <f ca="1">IFERROR(__xludf.DUMMYFUNCTION("""COMPUTED_VALUE"""),441.06)</f>
        <v>441.06</v>
      </c>
      <c r="E848" s="1">
        <f ca="1">IFERROR(__xludf.DUMMYFUNCTION("""COMPUTED_VALUE"""),191.53)</f>
        <v>191.53</v>
      </c>
      <c r="F848">
        <f t="shared" ca="1" si="109"/>
        <v>8.2130552192941023E-3</v>
      </c>
      <c r="G848">
        <f t="shared" ca="1" si="110"/>
        <v>2.857832488534872E-2</v>
      </c>
      <c r="H848">
        <f t="shared" ca="1" si="111"/>
        <v>1.9367662013497263E-2</v>
      </c>
      <c r="I848">
        <f t="shared" ca="1" si="112"/>
        <v>-1.4560609178843447E-2</v>
      </c>
      <c r="O848">
        <f t="shared" ca="1" si="113"/>
        <v>1.4389070515376226</v>
      </c>
      <c r="P848">
        <f t="shared" ca="1" si="114"/>
        <v>1.6247521732499641</v>
      </c>
      <c r="Q848">
        <f t="shared" ca="1" si="115"/>
        <v>1.8404339662007101</v>
      </c>
      <c r="R848">
        <f t="shared" ca="1" si="116"/>
        <v>1.4776269094275574</v>
      </c>
    </row>
    <row r="849" spans="1:18" x14ac:dyDescent="0.3">
      <c r="A849" s="2">
        <f ca="1">IFERROR(__xludf.DUMMYFUNCTION("""COMPUTED_VALUE"""),45456.6666666666)</f>
        <v>45456.666666666599</v>
      </c>
      <c r="B849" s="1">
        <f ca="1">IFERROR(__xludf.DUMMYFUNCTION("""COMPUTED_VALUE"""),542.45)</f>
        <v>542.45000000000005</v>
      </c>
      <c r="C849" s="1">
        <f ca="1">IFERROR(__xludf.DUMMYFUNCTION("""COMPUTED_VALUE"""),214.24)</f>
        <v>214.24</v>
      </c>
      <c r="D849" s="1">
        <f ca="1">IFERROR(__xludf.DUMMYFUNCTION("""COMPUTED_VALUE"""),441.58)</f>
        <v>441.58</v>
      </c>
      <c r="E849" s="1">
        <f ca="1">IFERROR(__xludf.DUMMYFUNCTION("""COMPUTED_VALUE"""),193.66)</f>
        <v>193.66</v>
      </c>
      <c r="F849">
        <f t="shared" ca="1" si="109"/>
        <v>2.0134476134181169E-3</v>
      </c>
      <c r="G849">
        <f t="shared" ca="1" si="110"/>
        <v>5.4911531421599283E-3</v>
      </c>
      <c r="H849">
        <f t="shared" ca="1" si="111"/>
        <v>1.1789779168366703E-3</v>
      </c>
      <c r="I849">
        <f t="shared" ca="1" si="112"/>
        <v>1.1120973215684202E-2</v>
      </c>
      <c r="O849">
        <f t="shared" ca="1" si="113"/>
        <v>1.4418042155064714</v>
      </c>
      <c r="P849">
        <f t="shared" ca="1" si="114"/>
        <v>1.6336739362513368</v>
      </c>
      <c r="Q849">
        <f t="shared" ca="1" si="115"/>
        <v>1.842603797204257</v>
      </c>
      <c r="R849">
        <f t="shared" ca="1" si="116"/>
        <v>1.4940595587100756</v>
      </c>
    </row>
    <row r="850" spans="1:18" x14ac:dyDescent="0.3">
      <c r="A850" s="2">
        <f ca="1">IFERROR(__xludf.DUMMYFUNCTION("""COMPUTED_VALUE"""),45457.6666666666)</f>
        <v>45457.666666666599</v>
      </c>
      <c r="B850" s="1">
        <f ca="1">IFERROR(__xludf.DUMMYFUNCTION("""COMPUTED_VALUE"""),542.78)</f>
        <v>542.78</v>
      </c>
      <c r="C850" s="1">
        <f ca="1">IFERROR(__xludf.DUMMYFUNCTION("""COMPUTED_VALUE"""),212.49)</f>
        <v>212.49</v>
      </c>
      <c r="D850" s="1">
        <f ca="1">IFERROR(__xludf.DUMMYFUNCTION("""COMPUTED_VALUE"""),442.57)</f>
        <v>442.57</v>
      </c>
      <c r="E850" s="1">
        <f ca="1">IFERROR(__xludf.DUMMYFUNCTION("""COMPUTED_VALUE"""),193.78)</f>
        <v>193.78</v>
      </c>
      <c r="F850">
        <f t="shared" ca="1" si="109"/>
        <v>6.0835100009204023E-4</v>
      </c>
      <c r="G850">
        <f t="shared" ca="1" si="110"/>
        <v>-8.1684092606422697E-3</v>
      </c>
      <c r="H850">
        <f t="shared" ca="1" si="111"/>
        <v>2.2419493636487366E-3</v>
      </c>
      <c r="I850">
        <f t="shared" ca="1" si="112"/>
        <v>6.1964267272541856E-4</v>
      </c>
      <c r="O850">
        <f t="shared" ca="1" si="113"/>
        <v>1.4426813385429118</v>
      </c>
      <c r="P850">
        <f t="shared" ca="1" si="114"/>
        <v>1.6203294189415915</v>
      </c>
      <c r="Q850">
        <f t="shared" ca="1" si="115"/>
        <v>1.8467348216148558</v>
      </c>
      <c r="R850">
        <f t="shared" ca="1" si="116"/>
        <v>1.4949853417682457</v>
      </c>
    </row>
    <row r="851" spans="1:18" x14ac:dyDescent="0.3">
      <c r="A851" s="2">
        <f ca="1">IFERROR(__xludf.DUMMYFUNCTION("""COMPUTED_VALUE"""),45460.6666666666)</f>
        <v>45460.666666666599</v>
      </c>
      <c r="B851" s="1">
        <f ca="1">IFERROR(__xludf.DUMMYFUNCTION("""COMPUTED_VALUE"""),547.1)</f>
        <v>547.1</v>
      </c>
      <c r="C851" s="1">
        <f ca="1">IFERROR(__xludf.DUMMYFUNCTION("""COMPUTED_VALUE"""),216.67)</f>
        <v>216.67</v>
      </c>
      <c r="D851" s="1">
        <f ca="1">IFERROR(__xludf.DUMMYFUNCTION("""COMPUTED_VALUE"""),448.37)</f>
        <v>448.37</v>
      </c>
      <c r="E851" s="1">
        <f ca="1">IFERROR(__xludf.DUMMYFUNCTION("""COMPUTED_VALUE"""),194.98)</f>
        <v>194.98</v>
      </c>
      <c r="F851">
        <f t="shared" ca="1" si="109"/>
        <v>7.9590257562917755E-3</v>
      </c>
      <c r="G851">
        <f t="shared" ca="1" si="110"/>
        <v>1.9671513953597713E-2</v>
      </c>
      <c r="H851">
        <f t="shared" ca="1" si="111"/>
        <v>1.3105271482477374E-2</v>
      </c>
      <c r="I851">
        <f t="shared" ca="1" si="112"/>
        <v>6.1925895345236277E-3</v>
      </c>
      <c r="O851">
        <f t="shared" ca="1" si="113"/>
        <v>1.4541636764744963</v>
      </c>
      <c r="P851">
        <f t="shared" ca="1" si="114"/>
        <v>1.652203751715726</v>
      </c>
      <c r="Q851">
        <f t="shared" ca="1" si="115"/>
        <v>1.8709367828082628</v>
      </c>
      <c r="R851">
        <f t="shared" ca="1" si="116"/>
        <v>1.5042431723499459</v>
      </c>
    </row>
    <row r="852" spans="1:18" x14ac:dyDescent="0.3">
      <c r="A852" s="2">
        <f ca="1">IFERROR(__xludf.DUMMYFUNCTION("""COMPUTED_VALUE"""),45461.6666666666)</f>
        <v>45461.666666666599</v>
      </c>
      <c r="B852" s="1">
        <f ca="1">IFERROR(__xludf.DUMMYFUNCTION("""COMPUTED_VALUE"""),548.49)</f>
        <v>548.49</v>
      </c>
      <c r="C852" s="1">
        <f ca="1">IFERROR(__xludf.DUMMYFUNCTION("""COMPUTED_VALUE"""),214.29)</f>
        <v>214.29</v>
      </c>
      <c r="D852" s="1">
        <f ca="1">IFERROR(__xludf.DUMMYFUNCTION("""COMPUTED_VALUE"""),446.34)</f>
        <v>446.34</v>
      </c>
      <c r="E852" s="1">
        <f ca="1">IFERROR(__xludf.DUMMYFUNCTION("""COMPUTED_VALUE"""),197)</f>
        <v>197</v>
      </c>
      <c r="F852">
        <f t="shared" ca="1" si="109"/>
        <v>2.5406689819045627E-3</v>
      </c>
      <c r="G852">
        <f t="shared" ca="1" si="110"/>
        <v>-1.0984446393132393E-2</v>
      </c>
      <c r="H852">
        <f t="shared" ca="1" si="111"/>
        <v>-4.527510761201752E-3</v>
      </c>
      <c r="I852">
        <f t="shared" ca="1" si="112"/>
        <v>1.0360036926864347E-2</v>
      </c>
      <c r="O852">
        <f t="shared" ca="1" si="113"/>
        <v>1.4578582250219272</v>
      </c>
      <c r="P852">
        <f t="shared" ca="1" si="114"/>
        <v>1.6340552081744724</v>
      </c>
      <c r="Q852">
        <f t="shared" ca="1" si="115"/>
        <v>1.8624660963905704</v>
      </c>
      <c r="R852">
        <f t="shared" ca="1" si="116"/>
        <v>1.5198271871624749</v>
      </c>
    </row>
    <row r="853" spans="1:18" x14ac:dyDescent="0.3">
      <c r="A853" s="2">
        <f ca="1">IFERROR(__xludf.DUMMYFUNCTION("""COMPUTED_VALUE"""),45463.6666666666)</f>
        <v>45463.666666666599</v>
      </c>
      <c r="B853" s="1">
        <f ca="1">IFERROR(__xludf.DUMMYFUNCTION("""COMPUTED_VALUE"""),547)</f>
        <v>547</v>
      </c>
      <c r="C853" s="1">
        <f ca="1">IFERROR(__xludf.DUMMYFUNCTION("""COMPUTED_VALUE"""),209.68)</f>
        <v>209.68</v>
      </c>
      <c r="D853" s="1">
        <f ca="1">IFERROR(__xludf.DUMMYFUNCTION("""COMPUTED_VALUE"""),445.7)</f>
        <v>445.7</v>
      </c>
      <c r="E853" s="1">
        <f ca="1">IFERROR(__xludf.DUMMYFUNCTION("""COMPUTED_VALUE"""),198.67)</f>
        <v>198.67</v>
      </c>
      <c r="F853">
        <f t="shared" ca="1" si="109"/>
        <v>-2.7165490710860892E-3</v>
      </c>
      <c r="G853">
        <f t="shared" ca="1" si="110"/>
        <v>-2.1512903075271761E-2</v>
      </c>
      <c r="H853">
        <f t="shared" ca="1" si="111"/>
        <v>-1.4338844826813336E-3</v>
      </c>
      <c r="I853">
        <f t="shared" ca="1" si="112"/>
        <v>8.4771573604060287E-3</v>
      </c>
      <c r="O853">
        <f t="shared" ca="1" si="113"/>
        <v>1.4538978816149686</v>
      </c>
      <c r="P853">
        <f t="shared" ca="1" si="114"/>
        <v>1.5989019368613719</v>
      </c>
      <c r="Q853">
        <f t="shared" ca="1" si="115"/>
        <v>1.8597955351554358</v>
      </c>
      <c r="R853">
        <f t="shared" ca="1" si="116"/>
        <v>1.5327110013886747</v>
      </c>
    </row>
    <row r="854" spans="1:18" x14ac:dyDescent="0.3">
      <c r="A854" s="2">
        <f ca="1">IFERROR(__xludf.DUMMYFUNCTION("""COMPUTED_VALUE"""),45464.6666666666)</f>
        <v>45464.666666666599</v>
      </c>
      <c r="B854" s="1">
        <f ca="1">IFERROR(__xludf.DUMMYFUNCTION("""COMPUTED_VALUE"""),544.51)</f>
        <v>544.51</v>
      </c>
      <c r="C854" s="1">
        <f ca="1">IFERROR(__xludf.DUMMYFUNCTION("""COMPUTED_VALUE"""),207.49)</f>
        <v>207.49</v>
      </c>
      <c r="D854" s="1">
        <f ca="1">IFERROR(__xludf.DUMMYFUNCTION("""COMPUTED_VALUE"""),449.78)</f>
        <v>449.78</v>
      </c>
      <c r="E854" s="1">
        <f ca="1">IFERROR(__xludf.DUMMYFUNCTION("""COMPUTED_VALUE"""),196.3)</f>
        <v>196.3</v>
      </c>
      <c r="F854">
        <f t="shared" ca="1" si="109"/>
        <v>-4.5521023765996513E-3</v>
      </c>
      <c r="G854">
        <f t="shared" ca="1" si="110"/>
        <v>-1.0444486837085071E-2</v>
      </c>
      <c r="H854">
        <f t="shared" ca="1" si="111"/>
        <v>9.1541395557549563E-3</v>
      </c>
      <c r="I854">
        <f t="shared" ca="1" si="112"/>
        <v>-1.1929330044797787E-2</v>
      </c>
      <c r="O854">
        <f t="shared" ca="1" si="113"/>
        <v>1.447279589612736</v>
      </c>
      <c r="P854">
        <f t="shared" ca="1" si="114"/>
        <v>1.5822022266280336</v>
      </c>
      <c r="Q854">
        <f t="shared" ca="1" si="115"/>
        <v>1.8768203630294189</v>
      </c>
      <c r="R854">
        <f t="shared" ca="1" si="116"/>
        <v>1.5144267859898166</v>
      </c>
    </row>
    <row r="855" spans="1:18" x14ac:dyDescent="0.3">
      <c r="A855" s="2">
        <f ca="1">IFERROR(__xludf.DUMMYFUNCTION("""COMPUTED_VALUE"""),45467.6666666666)</f>
        <v>45467.666666666599</v>
      </c>
      <c r="B855" s="1">
        <f ca="1">IFERROR(__xludf.DUMMYFUNCTION("""COMPUTED_VALUE"""),542.74)</f>
        <v>542.74</v>
      </c>
      <c r="C855" s="1">
        <f ca="1">IFERROR(__xludf.DUMMYFUNCTION("""COMPUTED_VALUE"""),208.14)</f>
        <v>208.14</v>
      </c>
      <c r="D855" s="1">
        <f ca="1">IFERROR(__xludf.DUMMYFUNCTION("""COMPUTED_VALUE"""),447.67)</f>
        <v>447.67</v>
      </c>
      <c r="E855" s="1">
        <f ca="1">IFERROR(__xludf.DUMMYFUNCTION("""COMPUTED_VALUE"""),198.88)</f>
        <v>198.88</v>
      </c>
      <c r="F855">
        <f t="shared" ca="1" si="109"/>
        <v>-3.2506290058951751E-3</v>
      </c>
      <c r="G855">
        <f t="shared" ca="1" si="110"/>
        <v>3.1326810930646164E-3</v>
      </c>
      <c r="H855">
        <f t="shared" ca="1" si="111"/>
        <v>-4.691182355818304E-3</v>
      </c>
      <c r="I855">
        <f t="shared" ca="1" si="112"/>
        <v>1.3143148242485908E-2</v>
      </c>
      <c r="O855">
        <f t="shared" ca="1" si="113"/>
        <v>1.4425750205991008</v>
      </c>
      <c r="P855">
        <f t="shared" ca="1" si="114"/>
        <v>1.5871587616287959</v>
      </c>
      <c r="Q855">
        <f t="shared" ca="1" si="115"/>
        <v>1.8680158564573348</v>
      </c>
      <c r="R855">
        <f t="shared" ca="1" si="116"/>
        <v>1.5343311217404723</v>
      </c>
    </row>
    <row r="856" spans="1:18" x14ac:dyDescent="0.3">
      <c r="A856" s="2">
        <f ca="1">IFERROR(__xludf.DUMMYFUNCTION("""COMPUTED_VALUE"""),45468.6666666666)</f>
        <v>45468.666666666599</v>
      </c>
      <c r="B856" s="1">
        <f ca="1">IFERROR(__xludf.DUMMYFUNCTION("""COMPUTED_VALUE"""),544.83)</f>
        <v>544.83000000000004</v>
      </c>
      <c r="C856" s="1">
        <f ca="1">IFERROR(__xludf.DUMMYFUNCTION("""COMPUTED_VALUE"""),209.07)</f>
        <v>209.07</v>
      </c>
      <c r="D856" s="1">
        <f ca="1">IFERROR(__xludf.DUMMYFUNCTION("""COMPUTED_VALUE"""),450.95)</f>
        <v>450.95</v>
      </c>
      <c r="E856" s="1">
        <f ca="1">IFERROR(__xludf.DUMMYFUNCTION("""COMPUTED_VALUE"""),198.07)</f>
        <v>198.07</v>
      </c>
      <c r="F856">
        <f t="shared" ca="1" si="109"/>
        <v>3.8508309687880602E-3</v>
      </c>
      <c r="G856">
        <f t="shared" ca="1" si="110"/>
        <v>4.4681464398962567E-3</v>
      </c>
      <c r="H856">
        <f t="shared" ca="1" si="111"/>
        <v>7.3268255634730325E-3</v>
      </c>
      <c r="I856">
        <f t="shared" ca="1" si="112"/>
        <v>-4.0728077232502127E-3</v>
      </c>
      <c r="O856">
        <f t="shared" ca="1" si="113"/>
        <v>1.4481301331632239</v>
      </c>
      <c r="P856">
        <f t="shared" ca="1" si="114"/>
        <v>1.5942504193991178</v>
      </c>
      <c r="Q856">
        <f t="shared" ca="1" si="115"/>
        <v>1.8817024827873994</v>
      </c>
      <c r="R856">
        <f t="shared" ca="1" si="116"/>
        <v>1.5280820860978244</v>
      </c>
    </row>
    <row r="857" spans="1:18" x14ac:dyDescent="0.3">
      <c r="A857" s="2">
        <f ca="1">IFERROR(__xludf.DUMMYFUNCTION("""COMPUTED_VALUE"""),45469.6666666666)</f>
        <v>45469.666666666599</v>
      </c>
      <c r="B857" s="1">
        <f ca="1">IFERROR(__xludf.DUMMYFUNCTION("""COMPUTED_VALUE"""),545.51)</f>
        <v>545.51</v>
      </c>
      <c r="C857" s="1">
        <f ca="1">IFERROR(__xludf.DUMMYFUNCTION("""COMPUTED_VALUE"""),213.25)</f>
        <v>213.25</v>
      </c>
      <c r="D857" s="1">
        <f ca="1">IFERROR(__xludf.DUMMYFUNCTION("""COMPUTED_VALUE"""),452.16)</f>
        <v>452.16</v>
      </c>
      <c r="E857" s="1">
        <f ca="1">IFERROR(__xludf.DUMMYFUNCTION("""COMPUTED_VALUE"""),197.43)</f>
        <v>197.43</v>
      </c>
      <c r="F857">
        <f t="shared" ca="1" si="109"/>
        <v>1.2480957362846208E-3</v>
      </c>
      <c r="G857">
        <f t="shared" ca="1" si="110"/>
        <v>1.9993303678193939E-2</v>
      </c>
      <c r="H857">
        <f t="shared" ca="1" si="111"/>
        <v>2.6832243042466714E-3</v>
      </c>
      <c r="I857">
        <f t="shared" ca="1" si="112"/>
        <v>-3.2311808956428855E-3</v>
      </c>
      <c r="O857">
        <f t="shared" ca="1" si="113"/>
        <v>1.4499375382080102</v>
      </c>
      <c r="P857">
        <f t="shared" ca="1" si="114"/>
        <v>1.6261247521732523</v>
      </c>
      <c r="Q857">
        <f t="shared" ca="1" si="115"/>
        <v>1.886751512622576</v>
      </c>
      <c r="R857">
        <f t="shared" ca="1" si="116"/>
        <v>1.5231445764542508</v>
      </c>
    </row>
    <row r="858" spans="1:18" x14ac:dyDescent="0.3">
      <c r="A858" s="2">
        <f ca="1">IFERROR(__xludf.DUMMYFUNCTION("""COMPUTED_VALUE"""),45470.6666666666)</f>
        <v>45470.666666666599</v>
      </c>
      <c r="B858" s="1">
        <f ca="1">IFERROR(__xludf.DUMMYFUNCTION("""COMPUTED_VALUE"""),546.37)</f>
        <v>546.37</v>
      </c>
      <c r="C858" s="1">
        <f ca="1">IFERROR(__xludf.DUMMYFUNCTION("""COMPUTED_VALUE"""),214.1)</f>
        <v>214.1</v>
      </c>
      <c r="D858" s="1">
        <f ca="1">IFERROR(__xludf.DUMMYFUNCTION("""COMPUTED_VALUE"""),452.85)</f>
        <v>452.85</v>
      </c>
      <c r="E858" s="1">
        <f ca="1">IFERROR(__xludf.DUMMYFUNCTION("""COMPUTED_VALUE"""),199.17)</f>
        <v>199.17</v>
      </c>
      <c r="F858">
        <f t="shared" ca="1" si="109"/>
        <v>1.5765063885171925E-3</v>
      </c>
      <c r="G858">
        <f t="shared" ca="1" si="110"/>
        <v>3.9859320046893047E-3</v>
      </c>
      <c r="H858">
        <f t="shared" ca="1" si="111"/>
        <v>1.526008492568997E-3</v>
      </c>
      <c r="I858">
        <f t="shared" ca="1" si="112"/>
        <v>8.8132502659169359E-3</v>
      </c>
      <c r="O858">
        <f t="shared" ca="1" si="113"/>
        <v>1.4522233739999459</v>
      </c>
      <c r="P858">
        <f t="shared" ca="1" si="114"/>
        <v>1.6326063748665571</v>
      </c>
      <c r="Q858">
        <f t="shared" ca="1" si="115"/>
        <v>1.8896307114542055</v>
      </c>
      <c r="R858">
        <f t="shared" ca="1" si="116"/>
        <v>1.5365684307977161</v>
      </c>
    </row>
    <row r="859" spans="1:18" x14ac:dyDescent="0.3">
      <c r="A859" s="2">
        <f ca="1">IFERROR(__xludf.DUMMYFUNCTION("""COMPUTED_VALUE"""),45471.6666666666)</f>
        <v>45471.666666666599</v>
      </c>
      <c r="B859" s="1">
        <f ca="1">IFERROR(__xludf.DUMMYFUNCTION("""COMPUTED_VALUE"""),544.22)</f>
        <v>544.22</v>
      </c>
      <c r="C859" s="1">
        <f ca="1">IFERROR(__xludf.DUMMYFUNCTION("""COMPUTED_VALUE"""),210.62)</f>
        <v>210.62</v>
      </c>
      <c r="D859" s="1">
        <f ca="1">IFERROR(__xludf.DUMMYFUNCTION("""COMPUTED_VALUE"""),446.95)</f>
        <v>446.95</v>
      </c>
      <c r="E859" s="1">
        <f ca="1">IFERROR(__xludf.DUMMYFUNCTION("""COMPUTED_VALUE"""),202.26)</f>
        <v>202.26</v>
      </c>
      <c r="F859">
        <f t="shared" ca="1" si="109"/>
        <v>-3.9350623204055446E-3</v>
      </c>
      <c r="G859">
        <f t="shared" ca="1" si="110"/>
        <v>-1.6254086875291871E-2</v>
      </c>
      <c r="H859">
        <f t="shared" ca="1" si="111"/>
        <v>-1.3028596665562622E-2</v>
      </c>
      <c r="I859">
        <f t="shared" ca="1" si="112"/>
        <v>1.5514384696490453E-2</v>
      </c>
      <c r="O859">
        <f t="shared" ca="1" si="113"/>
        <v>1.4465087845201066</v>
      </c>
      <c r="P859">
        <f t="shared" ca="1" si="114"/>
        <v>1.6060698490163208</v>
      </c>
      <c r="Q859">
        <f t="shared" ca="1" si="115"/>
        <v>1.8650114750678084</v>
      </c>
      <c r="R859">
        <f t="shared" ca="1" si="116"/>
        <v>1.5604073445455946</v>
      </c>
    </row>
    <row r="860" spans="1:18" x14ac:dyDescent="0.3">
      <c r="A860" s="2">
        <f ca="1">IFERROR(__xludf.DUMMYFUNCTION("""COMPUTED_VALUE"""),45474.6666666666)</f>
        <v>45474.666666666599</v>
      </c>
      <c r="B860" s="1">
        <f ca="1">IFERROR(__xludf.DUMMYFUNCTION("""COMPUTED_VALUE"""),545.34)</f>
        <v>545.34</v>
      </c>
      <c r="C860" s="1">
        <f ca="1">IFERROR(__xludf.DUMMYFUNCTION("""COMPUTED_VALUE"""),216.75)</f>
        <v>216.75</v>
      </c>
      <c r="D860" s="1">
        <f ca="1">IFERROR(__xludf.DUMMYFUNCTION("""COMPUTED_VALUE"""),456.73)</f>
        <v>456.73</v>
      </c>
      <c r="E860" s="1">
        <f ca="1">IFERROR(__xludf.DUMMYFUNCTION("""COMPUTED_VALUE"""),205.45)</f>
        <v>205.45</v>
      </c>
      <c r="F860">
        <f t="shared" ca="1" si="109"/>
        <v>2.0579912535371807E-3</v>
      </c>
      <c r="G860">
        <f t="shared" ca="1" si="110"/>
        <v>2.910454847592819E-2</v>
      </c>
      <c r="H860">
        <f t="shared" ca="1" si="111"/>
        <v>2.1881642241861572E-2</v>
      </c>
      <c r="I860">
        <f t="shared" ca="1" si="112"/>
        <v>1.5771778898447532E-2</v>
      </c>
      <c r="O860">
        <f t="shared" ca="1" si="113"/>
        <v>1.4494856869468138</v>
      </c>
      <c r="P860">
        <f t="shared" ca="1" si="114"/>
        <v>1.652813786792743</v>
      </c>
      <c r="Q860">
        <f t="shared" ca="1" si="115"/>
        <v>1.9058209889422086</v>
      </c>
      <c r="R860">
        <f t="shared" ca="1" si="116"/>
        <v>1.5850177441752813</v>
      </c>
    </row>
    <row r="861" spans="1:18" x14ac:dyDescent="0.3">
      <c r="A861" s="2">
        <f ca="1">IFERROR(__xludf.DUMMYFUNCTION("""COMPUTED_VALUE"""),45475.6666666666)</f>
        <v>45475.666666666599</v>
      </c>
      <c r="B861" s="1">
        <f ca="1">IFERROR(__xludf.DUMMYFUNCTION("""COMPUTED_VALUE"""),549.01)</f>
        <v>549.01</v>
      </c>
      <c r="C861" s="1">
        <f ca="1">IFERROR(__xludf.DUMMYFUNCTION("""COMPUTED_VALUE"""),220.27)</f>
        <v>220.27</v>
      </c>
      <c r="D861" s="1">
        <f ca="1">IFERROR(__xludf.DUMMYFUNCTION("""COMPUTED_VALUE"""),459.28)</f>
        <v>459.28</v>
      </c>
      <c r="E861" s="1">
        <f ca="1">IFERROR(__xludf.DUMMYFUNCTION("""COMPUTED_VALUE"""),208.83)</f>
        <v>208.83</v>
      </c>
      <c r="F861">
        <f t="shared" ca="1" si="109"/>
        <v>6.7297465801150818E-3</v>
      </c>
      <c r="G861">
        <f t="shared" ca="1" si="110"/>
        <v>1.623990772779705E-2</v>
      </c>
      <c r="H861">
        <f t="shared" ca="1" si="111"/>
        <v>5.5831672979658759E-3</v>
      </c>
      <c r="I861">
        <f t="shared" ca="1" si="112"/>
        <v>1.645169140910209E-2</v>
      </c>
      <c r="O861">
        <f t="shared" ca="1" si="113"/>
        <v>1.4592403582914699</v>
      </c>
      <c r="P861">
        <f t="shared" ca="1" si="114"/>
        <v>1.679655330181488</v>
      </c>
      <c r="Q861">
        <f t="shared" ca="1" si="115"/>
        <v>1.9164615063634476</v>
      </c>
      <c r="R861">
        <f t="shared" ca="1" si="116"/>
        <v>1.6110939669804043</v>
      </c>
    </row>
    <row r="862" spans="1:18" x14ac:dyDescent="0.3">
      <c r="A862" s="2">
        <f ca="1">IFERROR(__xludf.DUMMYFUNCTION("""COMPUTED_VALUE"""),45476.5520833333)</f>
        <v>45476.552083333299</v>
      </c>
      <c r="B862" s="1">
        <f ca="1">IFERROR(__xludf.DUMMYFUNCTION("""COMPUTED_VALUE"""),551.46)</f>
        <v>551.46</v>
      </c>
      <c r="C862" s="1">
        <f ca="1">IFERROR(__xludf.DUMMYFUNCTION("""COMPUTED_VALUE"""),221.55)</f>
        <v>221.55</v>
      </c>
      <c r="D862" s="1">
        <f ca="1">IFERROR(__xludf.DUMMYFUNCTION("""COMPUTED_VALUE"""),460.77)</f>
        <v>460.77</v>
      </c>
      <c r="E862" s="1">
        <f ca="1">IFERROR(__xludf.DUMMYFUNCTION("""COMPUTED_VALUE"""),208.69)</f>
        <v>208.69</v>
      </c>
      <c r="F862">
        <f t="shared" ca="1" si="109"/>
        <v>4.4625780951167478E-3</v>
      </c>
      <c r="G862">
        <f t="shared" ca="1" si="110"/>
        <v>5.8110500749080727E-3</v>
      </c>
      <c r="H862">
        <f t="shared" ca="1" si="111"/>
        <v>3.2442083260756168E-3</v>
      </c>
      <c r="I862">
        <f t="shared" ca="1" si="112"/>
        <v>-6.7040176219898854E-4</v>
      </c>
      <c r="O862">
        <f t="shared" ca="1" si="113"/>
        <v>1.465752332349892</v>
      </c>
      <c r="P862">
        <f t="shared" ca="1" si="114"/>
        <v>1.6894158914137589</v>
      </c>
      <c r="Q862">
        <f t="shared" ca="1" si="115"/>
        <v>1.9226789067389951</v>
      </c>
      <c r="R862">
        <f t="shared" ca="1" si="116"/>
        <v>1.6100138867458724</v>
      </c>
    </row>
    <row r="863" spans="1:18" x14ac:dyDescent="0.3">
      <c r="A863" s="2">
        <f ca="1">IFERROR(__xludf.DUMMYFUNCTION("""COMPUTED_VALUE"""),45478.6666666666)</f>
        <v>45478.666666666599</v>
      </c>
      <c r="B863" s="1">
        <f ca="1">IFERROR(__xludf.DUMMYFUNCTION("""COMPUTED_VALUE"""),554.64)</f>
        <v>554.64</v>
      </c>
      <c r="C863" s="1">
        <f ca="1">IFERROR(__xludf.DUMMYFUNCTION("""COMPUTED_VALUE"""),226.34)</f>
        <v>226.34</v>
      </c>
      <c r="D863" s="1">
        <f ca="1">IFERROR(__xludf.DUMMYFUNCTION("""COMPUTED_VALUE"""),467.56)</f>
        <v>467.56</v>
      </c>
      <c r="E863" s="1">
        <f ca="1">IFERROR(__xludf.DUMMYFUNCTION("""COMPUTED_VALUE"""),204.79)</f>
        <v>204.79</v>
      </c>
      <c r="F863">
        <f t="shared" ca="1" si="109"/>
        <v>5.7665107170056752E-3</v>
      </c>
      <c r="G863">
        <f t="shared" ca="1" si="110"/>
        <v>2.1620401715188409E-2</v>
      </c>
      <c r="H863">
        <f t="shared" ca="1" si="111"/>
        <v>1.4736202443735531E-2</v>
      </c>
      <c r="I863">
        <f t="shared" ca="1" si="112"/>
        <v>-1.8688006133499475E-2</v>
      </c>
      <c r="O863">
        <f t="shared" ca="1" si="113"/>
        <v>1.4742046088828638</v>
      </c>
      <c r="P863">
        <f t="shared" ca="1" si="114"/>
        <v>1.7259417416501475</v>
      </c>
      <c r="Q863">
        <f t="shared" ca="1" si="115"/>
        <v>1.9510118923430013</v>
      </c>
      <c r="R863">
        <f t="shared" ca="1" si="116"/>
        <v>1.5799259373553463</v>
      </c>
    </row>
    <row r="864" spans="1:18" x14ac:dyDescent="0.3">
      <c r="A864" s="2">
        <f ca="1">IFERROR(__xludf.DUMMYFUNCTION("""COMPUTED_VALUE"""),45481.6666666666)</f>
        <v>45481.666666666599</v>
      </c>
      <c r="B864" s="1">
        <f ca="1">IFERROR(__xludf.DUMMYFUNCTION("""COMPUTED_VALUE"""),555.28)</f>
        <v>555.28</v>
      </c>
      <c r="C864" s="1">
        <f ca="1">IFERROR(__xludf.DUMMYFUNCTION("""COMPUTED_VALUE"""),227.82)</f>
        <v>227.82</v>
      </c>
      <c r="D864" s="1">
        <f ca="1">IFERROR(__xludf.DUMMYFUNCTION("""COMPUTED_VALUE"""),466.24)</f>
        <v>466.24</v>
      </c>
      <c r="E864" s="1">
        <f ca="1">IFERROR(__xludf.DUMMYFUNCTION("""COMPUTED_VALUE"""),205.17)</f>
        <v>205.17</v>
      </c>
      <c r="F864">
        <f t="shared" ca="1" si="109"/>
        <v>1.1539016298860276E-3</v>
      </c>
      <c r="G864">
        <f t="shared" ca="1" si="110"/>
        <v>6.538835380401121E-3</v>
      </c>
      <c r="H864">
        <f t="shared" ca="1" si="111"/>
        <v>-2.8231670801608204E-3</v>
      </c>
      <c r="I864">
        <f t="shared" ca="1" si="112"/>
        <v>1.8555593534840347E-3</v>
      </c>
      <c r="O864">
        <f t="shared" ca="1" si="113"/>
        <v>1.4759056959838392</v>
      </c>
      <c r="P864">
        <f t="shared" ca="1" si="114"/>
        <v>1.7372273905749607</v>
      </c>
      <c r="Q864">
        <f t="shared" ca="1" si="115"/>
        <v>1.9455038597955363</v>
      </c>
      <c r="R864">
        <f t="shared" ca="1" si="116"/>
        <v>1.5828575837062182</v>
      </c>
    </row>
    <row r="865" spans="1:18" x14ac:dyDescent="0.3">
      <c r="A865" s="2">
        <f ca="1">IFERROR(__xludf.DUMMYFUNCTION("""COMPUTED_VALUE"""),45482.6666666666)</f>
        <v>45482.666666666599</v>
      </c>
      <c r="B865" s="1">
        <f ca="1">IFERROR(__xludf.DUMMYFUNCTION("""COMPUTED_VALUE"""),555.82)</f>
        <v>555.82000000000005</v>
      </c>
      <c r="C865" s="1">
        <f ca="1">IFERROR(__xludf.DUMMYFUNCTION("""COMPUTED_VALUE"""),228.68)</f>
        <v>228.68</v>
      </c>
      <c r="D865" s="1">
        <f ca="1">IFERROR(__xludf.DUMMYFUNCTION("""COMPUTED_VALUE"""),459.54)</f>
        <v>459.54</v>
      </c>
      <c r="E865" s="1">
        <f ca="1">IFERROR(__xludf.DUMMYFUNCTION("""COMPUTED_VALUE"""),207.63)</f>
        <v>207.63</v>
      </c>
      <c r="F865">
        <f t="shared" ca="1" si="109"/>
        <v>9.724823512463574E-4</v>
      </c>
      <c r="G865">
        <f t="shared" ca="1" si="110"/>
        <v>3.7749100166798951E-3</v>
      </c>
      <c r="H865">
        <f t="shared" ca="1" si="111"/>
        <v>-1.4370281400137243E-2</v>
      </c>
      <c r="I865">
        <f t="shared" ca="1" si="112"/>
        <v>1.1990057025881016E-2</v>
      </c>
      <c r="O865">
        <f t="shared" ca="1" si="113"/>
        <v>1.4773409882252873</v>
      </c>
      <c r="P865">
        <f t="shared" ca="1" si="114"/>
        <v>1.7437852676528929</v>
      </c>
      <c r="Q865">
        <f t="shared" ca="1" si="115"/>
        <v>1.9175464218652212</v>
      </c>
      <c r="R865">
        <f t="shared" ca="1" si="116"/>
        <v>1.6018361363987041</v>
      </c>
    </row>
    <row r="866" spans="1:18" x14ac:dyDescent="0.3">
      <c r="A866" s="2">
        <f ca="1">IFERROR(__xludf.DUMMYFUNCTION("""COMPUTED_VALUE"""),45483.6666666666)</f>
        <v>45483.666666666599</v>
      </c>
      <c r="B866" s="1">
        <f ca="1">IFERROR(__xludf.DUMMYFUNCTION("""COMPUTED_VALUE"""),561.32)</f>
        <v>561.32000000000005</v>
      </c>
      <c r="C866" s="1">
        <f ca="1">IFERROR(__xludf.DUMMYFUNCTION("""COMPUTED_VALUE"""),232.98)</f>
        <v>232.98</v>
      </c>
      <c r="D866" s="1">
        <f ca="1">IFERROR(__xludf.DUMMYFUNCTION("""COMPUTED_VALUE"""),466.25)</f>
        <v>466.25</v>
      </c>
      <c r="E866" s="1">
        <f ca="1">IFERROR(__xludf.DUMMYFUNCTION("""COMPUTED_VALUE"""),207.8)</f>
        <v>207.8</v>
      </c>
      <c r="F866">
        <f t="shared" ca="1" si="109"/>
        <v>9.8952898420351897E-3</v>
      </c>
      <c r="G866">
        <f t="shared" ca="1" si="110"/>
        <v>1.8803568305055023E-2</v>
      </c>
      <c r="H866">
        <f t="shared" ca="1" si="111"/>
        <v>1.4601558079818904E-2</v>
      </c>
      <c r="I866">
        <f t="shared" ca="1" si="112"/>
        <v>8.18764147762924E-4</v>
      </c>
      <c r="O866">
        <f t="shared" ca="1" si="113"/>
        <v>1.4919597054992952</v>
      </c>
      <c r="P866">
        <f t="shared" ca="1" si="114"/>
        <v>1.7765746530425526</v>
      </c>
      <c r="Q866">
        <f t="shared" ca="1" si="115"/>
        <v>1.9455455873148351</v>
      </c>
      <c r="R866">
        <f t="shared" ca="1" si="116"/>
        <v>1.6031476623977783</v>
      </c>
    </row>
    <row r="867" spans="1:18" x14ac:dyDescent="0.3">
      <c r="A867" s="2">
        <f ca="1">IFERROR(__xludf.DUMMYFUNCTION("""COMPUTED_VALUE"""),45484.6666666666)</f>
        <v>45484.666666666599</v>
      </c>
      <c r="B867" s="1">
        <f ca="1">IFERROR(__xludf.DUMMYFUNCTION("""COMPUTED_VALUE"""),556.48)</f>
        <v>556.48</v>
      </c>
      <c r="C867" s="1">
        <f ca="1">IFERROR(__xludf.DUMMYFUNCTION("""COMPUTED_VALUE"""),227.57)</f>
        <v>227.57</v>
      </c>
      <c r="D867" s="1">
        <f ca="1">IFERROR(__xludf.DUMMYFUNCTION("""COMPUTED_VALUE"""),454.7)</f>
        <v>454.7</v>
      </c>
      <c r="E867" s="1">
        <f ca="1">IFERROR(__xludf.DUMMYFUNCTION("""COMPUTED_VALUE"""),207.45)</f>
        <v>207.45</v>
      </c>
      <c r="F867">
        <f t="shared" ca="1" si="109"/>
        <v>-8.622532601724563E-3</v>
      </c>
      <c r="G867">
        <f t="shared" ca="1" si="110"/>
        <v>-2.3220877328526041E-2</v>
      </c>
      <c r="H867">
        <f t="shared" ca="1" si="111"/>
        <v>-2.4772117962466512E-2</v>
      </c>
      <c r="I867">
        <f t="shared" ca="1" si="112"/>
        <v>-1.6843118383061729E-3</v>
      </c>
      <c r="O867">
        <f t="shared" ca="1" si="113"/>
        <v>1.4790952342981682</v>
      </c>
      <c r="P867">
        <f t="shared" ca="1" si="114"/>
        <v>1.7353210309592828</v>
      </c>
      <c r="Q867">
        <f t="shared" ca="1" si="115"/>
        <v>1.8973503025245158</v>
      </c>
      <c r="R867">
        <f t="shared" ca="1" si="116"/>
        <v>1.6004474618114488</v>
      </c>
    </row>
    <row r="868" spans="1:18" x14ac:dyDescent="0.3">
      <c r="A868" s="2">
        <f ca="1">IFERROR(__xludf.DUMMYFUNCTION("""COMPUTED_VALUE"""),45485.6666666666)</f>
        <v>45485.666666666599</v>
      </c>
      <c r="B868" s="1">
        <f ca="1">IFERROR(__xludf.DUMMYFUNCTION("""COMPUTED_VALUE"""),559.99)</f>
        <v>559.99</v>
      </c>
      <c r="C868" s="1">
        <f ca="1">IFERROR(__xludf.DUMMYFUNCTION("""COMPUTED_VALUE"""),230.54)</f>
        <v>230.54</v>
      </c>
      <c r="D868" s="1">
        <f ca="1">IFERROR(__xludf.DUMMYFUNCTION("""COMPUTED_VALUE"""),453.55)</f>
        <v>453.55</v>
      </c>
      <c r="E868" s="1">
        <f ca="1">IFERROR(__xludf.DUMMYFUNCTION("""COMPUTED_VALUE"""),204.94)</f>
        <v>204.94</v>
      </c>
      <c r="F868">
        <f t="shared" ca="1" si="109"/>
        <v>6.3075043128234453E-3</v>
      </c>
      <c r="G868">
        <f t="shared" ca="1" si="110"/>
        <v>1.3050929384365246E-2</v>
      </c>
      <c r="H868">
        <f t="shared" ca="1" si="111"/>
        <v>-2.5291400923685447E-3</v>
      </c>
      <c r="I868">
        <f t="shared" ca="1" si="112"/>
        <v>-1.2099301036394269E-2</v>
      </c>
      <c r="O868">
        <f t="shared" ca="1" si="113"/>
        <v>1.4884246338675804</v>
      </c>
      <c r="P868">
        <f t="shared" ca="1" si="114"/>
        <v>1.7579685831935363</v>
      </c>
      <c r="Q868">
        <f t="shared" ca="1" si="115"/>
        <v>1.8925516378051332</v>
      </c>
      <c r="R868">
        <f t="shared" ca="1" si="116"/>
        <v>1.5810831661780591</v>
      </c>
    </row>
    <row r="869" spans="1:18" x14ac:dyDescent="0.3">
      <c r="A869" s="2">
        <f ca="1">IFERROR(__xludf.DUMMYFUNCTION("""COMPUTED_VALUE"""),45488.6666666666)</f>
        <v>45488.666666666599</v>
      </c>
      <c r="B869" s="1">
        <f ca="1">IFERROR(__xludf.DUMMYFUNCTION("""COMPUTED_VALUE"""),561.53)</f>
        <v>561.53</v>
      </c>
      <c r="C869" s="1">
        <f ca="1">IFERROR(__xludf.DUMMYFUNCTION("""COMPUTED_VALUE"""),234.4)</f>
        <v>234.4</v>
      </c>
      <c r="D869" s="1">
        <f ca="1">IFERROR(__xludf.DUMMYFUNCTION("""COMPUTED_VALUE"""),453.96)</f>
        <v>453.96</v>
      </c>
      <c r="E869" s="1">
        <f ca="1">IFERROR(__xludf.DUMMYFUNCTION("""COMPUTED_VALUE"""),210.05)</f>
        <v>210.05</v>
      </c>
      <c r="F869">
        <f t="shared" ca="1" si="109"/>
        <v>2.7500491080197208E-3</v>
      </c>
      <c r="G869">
        <f t="shared" ca="1" si="110"/>
        <v>1.6743298343020793E-2</v>
      </c>
      <c r="H869">
        <f t="shared" ca="1" si="111"/>
        <v>9.0397971557704365E-4</v>
      </c>
      <c r="I869">
        <f t="shared" ca="1" si="112"/>
        <v>2.4934127061579065E-2</v>
      </c>
      <c r="O869">
        <f t="shared" ca="1" si="113"/>
        <v>1.4925178747043024</v>
      </c>
      <c r="P869">
        <f t="shared" ca="1" si="114"/>
        <v>1.7874027756596031</v>
      </c>
      <c r="Q869">
        <f t="shared" ca="1" si="115"/>
        <v>1.8942624660963912</v>
      </c>
      <c r="R869">
        <f t="shared" ca="1" si="116"/>
        <v>1.6205060947384666</v>
      </c>
    </row>
    <row r="870" spans="1:18" x14ac:dyDescent="0.3">
      <c r="A870" s="2">
        <f ca="1">IFERROR(__xludf.DUMMYFUNCTION("""COMPUTED_VALUE"""),45489.6666666666)</f>
        <v>45489.666666666599</v>
      </c>
      <c r="B870" s="1">
        <f ca="1">IFERROR(__xludf.DUMMYFUNCTION("""COMPUTED_VALUE"""),564.86)</f>
        <v>564.86</v>
      </c>
      <c r="C870" s="1">
        <f ca="1">IFERROR(__xludf.DUMMYFUNCTION("""COMPUTED_VALUE"""),234.82)</f>
        <v>234.82</v>
      </c>
      <c r="D870" s="1">
        <f ca="1">IFERROR(__xludf.DUMMYFUNCTION("""COMPUTED_VALUE"""),449.52)</f>
        <v>449.52</v>
      </c>
      <c r="E870" s="1">
        <f ca="1">IFERROR(__xludf.DUMMYFUNCTION("""COMPUTED_VALUE"""),213.62)</f>
        <v>213.62</v>
      </c>
      <c r="F870">
        <f t="shared" ca="1" si="109"/>
        <v>5.9302263458765178E-3</v>
      </c>
      <c r="G870">
        <f t="shared" ca="1" si="110"/>
        <v>1.791808873720083E-3</v>
      </c>
      <c r="H870">
        <f t="shared" ca="1" si="111"/>
        <v>-9.7805974094633836E-3</v>
      </c>
      <c r="I870">
        <f t="shared" ca="1" si="112"/>
        <v>1.6995953344441764E-2</v>
      </c>
      <c r="O870">
        <f t="shared" ca="1" si="113"/>
        <v>1.5013688435265655</v>
      </c>
      <c r="P870">
        <f t="shared" ca="1" si="114"/>
        <v>1.790605459813942</v>
      </c>
      <c r="Q870">
        <f t="shared" ca="1" si="115"/>
        <v>1.8757354475276451</v>
      </c>
      <c r="R870">
        <f t="shared" ca="1" si="116"/>
        <v>1.6480481407190251</v>
      </c>
    </row>
    <row r="871" spans="1:18" x14ac:dyDescent="0.3">
      <c r="A871" s="2">
        <f ca="1">IFERROR(__xludf.DUMMYFUNCTION("""COMPUTED_VALUE"""),45490.6666666666)</f>
        <v>45490.666666666599</v>
      </c>
      <c r="B871" s="1">
        <f ca="1">IFERROR(__xludf.DUMMYFUNCTION("""COMPUTED_VALUE"""),556.94)</f>
        <v>556.94000000000005</v>
      </c>
      <c r="C871" s="1">
        <f ca="1">IFERROR(__xludf.DUMMYFUNCTION("""COMPUTED_VALUE"""),228.88)</f>
        <v>228.88</v>
      </c>
      <c r="D871" s="1">
        <f ca="1">IFERROR(__xludf.DUMMYFUNCTION("""COMPUTED_VALUE"""),443.52)</f>
        <v>443.52</v>
      </c>
      <c r="E871" s="1">
        <f ca="1">IFERROR(__xludf.DUMMYFUNCTION("""COMPUTED_VALUE"""),216.87)</f>
        <v>216.87</v>
      </c>
      <c r="F871">
        <f t="shared" ca="1" si="109"/>
        <v>-1.4021173388096093E-2</v>
      </c>
      <c r="G871">
        <f t="shared" ca="1" si="110"/>
        <v>-2.5295971382335396E-2</v>
      </c>
      <c r="H871">
        <f t="shared" ca="1" si="111"/>
        <v>-1.3347570742124934E-2</v>
      </c>
      <c r="I871">
        <f t="shared" ca="1" si="112"/>
        <v>1.5213931279842711E-2</v>
      </c>
      <c r="O871">
        <f t="shared" ca="1" si="113"/>
        <v>1.4803178906519943</v>
      </c>
      <c r="P871">
        <f t="shared" ca="1" si="114"/>
        <v>1.745310355345435</v>
      </c>
      <c r="Q871">
        <f t="shared" ca="1" si="115"/>
        <v>1.8506989359482586</v>
      </c>
      <c r="R871">
        <f t="shared" ca="1" si="116"/>
        <v>1.6731214318777969</v>
      </c>
    </row>
    <row r="872" spans="1:18" x14ac:dyDescent="0.3">
      <c r="A872" s="2">
        <f ca="1">IFERROR(__xludf.DUMMYFUNCTION("""COMPUTED_VALUE"""),45491.6666666666)</f>
        <v>45491.666666666599</v>
      </c>
      <c r="B872" s="1">
        <f ca="1">IFERROR(__xludf.DUMMYFUNCTION("""COMPUTED_VALUE"""),552.66)</f>
        <v>552.66</v>
      </c>
      <c r="C872" s="1">
        <f ca="1">IFERROR(__xludf.DUMMYFUNCTION("""COMPUTED_VALUE"""),224.18)</f>
        <v>224.18</v>
      </c>
      <c r="D872" s="1">
        <f ca="1">IFERROR(__xludf.DUMMYFUNCTION("""COMPUTED_VALUE"""),440.37)</f>
        <v>440.37</v>
      </c>
      <c r="E872" s="1">
        <f ca="1">IFERROR(__xludf.DUMMYFUNCTION("""COMPUTED_VALUE"""),209.98)</f>
        <v>209.98</v>
      </c>
      <c r="F872">
        <f t="shared" ca="1" si="109"/>
        <v>-7.6848493554064817E-3</v>
      </c>
      <c r="G872">
        <f t="shared" ca="1" si="110"/>
        <v>-2.0534778049632947E-2</v>
      </c>
      <c r="H872">
        <f t="shared" ca="1" si="111"/>
        <v>-7.1022727272726767E-3</v>
      </c>
      <c r="I872">
        <f t="shared" ca="1" si="112"/>
        <v>-3.1770184903398418E-2</v>
      </c>
      <c r="O872">
        <f t="shared" ca="1" si="113"/>
        <v>1.4689418706642206</v>
      </c>
      <c r="P872">
        <f t="shared" ca="1" si="114"/>
        <v>1.7094707945706904</v>
      </c>
      <c r="Q872">
        <f t="shared" ca="1" si="115"/>
        <v>1.8375547673690806</v>
      </c>
      <c r="R872">
        <f t="shared" ca="1" si="116"/>
        <v>1.6199660546212005</v>
      </c>
    </row>
    <row r="873" spans="1:18" x14ac:dyDescent="0.3">
      <c r="A873" s="2">
        <f ca="1">IFERROR(__xludf.DUMMYFUNCTION("""COMPUTED_VALUE"""),45492.6666666666)</f>
        <v>45492.666666666599</v>
      </c>
      <c r="B873" s="1">
        <f ca="1">IFERROR(__xludf.DUMMYFUNCTION("""COMPUTED_VALUE"""),548.99)</f>
        <v>548.99</v>
      </c>
      <c r="C873" s="1">
        <f ca="1">IFERROR(__xludf.DUMMYFUNCTION("""COMPUTED_VALUE"""),224.31)</f>
        <v>224.31</v>
      </c>
      <c r="D873" s="1">
        <f ca="1">IFERROR(__xludf.DUMMYFUNCTION("""COMPUTED_VALUE"""),437.11)</f>
        <v>437.11</v>
      </c>
      <c r="E873" s="1">
        <f ca="1">IFERROR(__xludf.DUMMYFUNCTION("""COMPUTED_VALUE"""),209.78)</f>
        <v>209.78</v>
      </c>
      <c r="F873">
        <f t="shared" ca="1" si="109"/>
        <v>-6.6406108638221682E-3</v>
      </c>
      <c r="G873">
        <f t="shared" ca="1" si="110"/>
        <v>5.7989115889015724E-4</v>
      </c>
      <c r="H873">
        <f t="shared" ca="1" si="111"/>
        <v>-7.4028657719644635E-3</v>
      </c>
      <c r="I873">
        <f t="shared" ca="1" si="112"/>
        <v>-9.5247166396794289E-4</v>
      </c>
      <c r="O873">
        <f t="shared" ca="1" si="113"/>
        <v>1.4591871993195644</v>
      </c>
      <c r="P873">
        <f t="shared" ca="1" si="114"/>
        <v>1.7104621015708428</v>
      </c>
      <c r="Q873">
        <f t="shared" ca="1" si="115"/>
        <v>1.823951596077614</v>
      </c>
      <c r="R873">
        <f t="shared" ca="1" si="116"/>
        <v>1.6184230828575839</v>
      </c>
    </row>
    <row r="874" spans="1:18" x14ac:dyDescent="0.3">
      <c r="A874" s="2">
        <f ca="1">IFERROR(__xludf.DUMMYFUNCTION("""COMPUTED_VALUE"""),45495.6666666666)</f>
        <v>45495.666666666599</v>
      </c>
      <c r="B874" s="1">
        <f ca="1">IFERROR(__xludf.DUMMYFUNCTION("""COMPUTED_VALUE"""),554.65)</f>
        <v>554.65</v>
      </c>
      <c r="C874" s="1">
        <f ca="1">IFERROR(__xludf.DUMMYFUNCTION("""COMPUTED_VALUE"""),223.96)</f>
        <v>223.96</v>
      </c>
      <c r="D874" s="1">
        <f ca="1">IFERROR(__xludf.DUMMYFUNCTION("""COMPUTED_VALUE"""),442.94)</f>
        <v>442.94</v>
      </c>
      <c r="E874" s="1">
        <f ca="1">IFERROR(__xludf.DUMMYFUNCTION("""COMPUTED_VALUE"""),210.28)</f>
        <v>210.28</v>
      </c>
      <c r="F874">
        <f t="shared" ca="1" si="109"/>
        <v>1.0309841709320694E-2</v>
      </c>
      <c r="G874">
        <f t="shared" ca="1" si="110"/>
        <v>-1.5603406000623884E-3</v>
      </c>
      <c r="H874">
        <f t="shared" ca="1" si="111"/>
        <v>1.3337603806822045E-2</v>
      </c>
      <c r="I874">
        <f t="shared" ca="1" si="112"/>
        <v>2.3834493278672895E-3</v>
      </c>
      <c r="O874">
        <f t="shared" ca="1" si="113"/>
        <v>1.4742311883688159</v>
      </c>
      <c r="P874">
        <f t="shared" ca="1" si="114"/>
        <v>1.7077931981088939</v>
      </c>
      <c r="Q874">
        <f t="shared" ca="1" si="115"/>
        <v>1.848278739828918</v>
      </c>
      <c r="R874">
        <f t="shared" ca="1" si="116"/>
        <v>1.6222805122666257</v>
      </c>
    </row>
    <row r="875" spans="1:18" x14ac:dyDescent="0.3">
      <c r="A875" s="2">
        <f ca="1">IFERROR(__xludf.DUMMYFUNCTION("""COMPUTED_VALUE"""),45496.6666666666)</f>
        <v>45496.666666666599</v>
      </c>
      <c r="B875" s="1">
        <f ca="1">IFERROR(__xludf.DUMMYFUNCTION("""COMPUTED_VALUE"""),553.78)</f>
        <v>553.78</v>
      </c>
      <c r="C875" s="1">
        <f ca="1">IFERROR(__xludf.DUMMYFUNCTION("""COMPUTED_VALUE"""),225.01)</f>
        <v>225.01</v>
      </c>
      <c r="D875" s="1">
        <f ca="1">IFERROR(__xludf.DUMMYFUNCTION("""COMPUTED_VALUE"""),444.85)</f>
        <v>444.85</v>
      </c>
      <c r="E875" s="1">
        <f ca="1">IFERROR(__xludf.DUMMYFUNCTION("""COMPUTED_VALUE"""),210.33)</f>
        <v>210.33</v>
      </c>
      <c r="F875">
        <f t="shared" ca="1" si="109"/>
        <v>-1.5685567474984306E-3</v>
      </c>
      <c r="G875">
        <f t="shared" ca="1" si="110"/>
        <v>4.6883372030719012E-3</v>
      </c>
      <c r="H875">
        <f t="shared" ca="1" si="111"/>
        <v>4.3120964464713621E-3</v>
      </c>
      <c r="I875">
        <f t="shared" ca="1" si="112"/>
        <v>2.3777820049463271E-4</v>
      </c>
      <c r="O875">
        <f t="shared" ca="1" si="113"/>
        <v>1.4719187730909273</v>
      </c>
      <c r="P875">
        <f t="shared" ca="1" si="114"/>
        <v>1.7157999084947411</v>
      </c>
      <c r="Q875">
        <f t="shared" ca="1" si="115"/>
        <v>1.8562486960150228</v>
      </c>
      <c r="R875">
        <f t="shared" ca="1" si="116"/>
        <v>1.6226662552075299</v>
      </c>
    </row>
    <row r="876" spans="1:18" x14ac:dyDescent="0.3">
      <c r="A876" s="2">
        <f ca="1">IFERROR(__xludf.DUMMYFUNCTION("""COMPUTED_VALUE"""),45497.6666666666)</f>
        <v>45497.666666666599</v>
      </c>
      <c r="B876" s="1">
        <f ca="1">IFERROR(__xludf.DUMMYFUNCTION("""COMPUTED_VALUE"""),541.23)</f>
        <v>541.23</v>
      </c>
      <c r="C876" s="1">
        <f ca="1">IFERROR(__xludf.DUMMYFUNCTION("""COMPUTED_VALUE"""),218.54)</f>
        <v>218.54</v>
      </c>
      <c r="D876" s="1">
        <f ca="1">IFERROR(__xludf.DUMMYFUNCTION("""COMPUTED_VALUE"""),428.9)</f>
        <v>428.9</v>
      </c>
      <c r="E876" s="1">
        <f ca="1">IFERROR(__xludf.DUMMYFUNCTION("""COMPUTED_VALUE"""),208.59)</f>
        <v>208.59</v>
      </c>
      <c r="F876">
        <f t="shared" ca="1" si="109"/>
        <v>-2.2662429123478555E-2</v>
      </c>
      <c r="G876">
        <f t="shared" ca="1" si="110"/>
        <v>-2.8754277587662767E-2</v>
      </c>
      <c r="H876">
        <f t="shared" ca="1" si="111"/>
        <v>-3.5854782510958853E-2</v>
      </c>
      <c r="I876">
        <f t="shared" ca="1" si="112"/>
        <v>-8.2727143060904729E-3</v>
      </c>
      <c r="O876">
        <f t="shared" ca="1" si="113"/>
        <v>1.4385615182202367</v>
      </c>
      <c r="P876">
        <f t="shared" ca="1" si="114"/>
        <v>1.6664633216409968</v>
      </c>
      <c r="Q876">
        <f t="shared" ca="1" si="115"/>
        <v>1.7896933027331532</v>
      </c>
      <c r="R876">
        <f t="shared" ca="1" si="116"/>
        <v>1.6092424008640644</v>
      </c>
    </row>
    <row r="877" spans="1:18" x14ac:dyDescent="0.3">
      <c r="A877" s="2">
        <f ca="1">IFERROR(__xludf.DUMMYFUNCTION("""COMPUTED_VALUE"""),45498.6666666666)</f>
        <v>45498.666666666599</v>
      </c>
      <c r="B877" s="1">
        <f ca="1">IFERROR(__xludf.DUMMYFUNCTION("""COMPUTED_VALUE"""),538.41)</f>
        <v>538.41</v>
      </c>
      <c r="C877" s="1">
        <f ca="1">IFERROR(__xludf.DUMMYFUNCTION("""COMPUTED_VALUE"""),217.49)</f>
        <v>217.49</v>
      </c>
      <c r="D877" s="1">
        <f ca="1">IFERROR(__xludf.DUMMYFUNCTION("""COMPUTED_VALUE"""),418.4)</f>
        <v>418.4</v>
      </c>
      <c r="E877" s="1">
        <f ca="1">IFERROR(__xludf.DUMMYFUNCTION("""COMPUTED_VALUE"""),208.67)</f>
        <v>208.67</v>
      </c>
      <c r="F877">
        <f t="shared" ca="1" si="109"/>
        <v>-5.2103541932266321E-3</v>
      </c>
      <c r="G877">
        <f t="shared" ca="1" si="110"/>
        <v>-4.8046124279307358E-3</v>
      </c>
      <c r="H877">
        <f t="shared" ca="1" si="111"/>
        <v>-2.4481231056190256E-2</v>
      </c>
      <c r="I877">
        <f t="shared" ca="1" si="112"/>
        <v>3.8352749412715894E-4</v>
      </c>
      <c r="O877">
        <f t="shared" ca="1" si="113"/>
        <v>1.4310661031815632</v>
      </c>
      <c r="P877">
        <f t="shared" ca="1" si="114"/>
        <v>1.6584566112551498</v>
      </c>
      <c r="Q877">
        <f t="shared" ca="1" si="115"/>
        <v>1.7458794074692265</v>
      </c>
      <c r="R877">
        <f t="shared" ca="1" si="116"/>
        <v>1.6098595895695109</v>
      </c>
    </row>
    <row r="878" spans="1:18" x14ac:dyDescent="0.3">
      <c r="A878" s="2">
        <f ca="1">IFERROR(__xludf.DUMMYFUNCTION("""COMPUTED_VALUE"""),45499.6666666666)</f>
        <v>45499.666666666599</v>
      </c>
      <c r="B878" s="1">
        <f ca="1">IFERROR(__xludf.DUMMYFUNCTION("""COMPUTED_VALUE"""),544.44)</f>
        <v>544.44000000000005</v>
      </c>
      <c r="C878" s="1">
        <f ca="1">IFERROR(__xludf.DUMMYFUNCTION("""COMPUTED_VALUE"""),217.96)</f>
        <v>217.96</v>
      </c>
      <c r="D878" s="1">
        <f ca="1">IFERROR(__xludf.DUMMYFUNCTION("""COMPUTED_VALUE"""),425.27)</f>
        <v>425.27</v>
      </c>
      <c r="E878" s="1">
        <f ca="1">IFERROR(__xludf.DUMMYFUNCTION("""COMPUTED_VALUE"""),212.24)</f>
        <v>212.24</v>
      </c>
      <c r="F878">
        <f t="shared" ca="1" si="109"/>
        <v>1.1199643394439343E-2</v>
      </c>
      <c r="G878">
        <f t="shared" ca="1" si="110"/>
        <v>2.1610188974205656E-3</v>
      </c>
      <c r="H878">
        <f t="shared" ca="1" si="111"/>
        <v>1.6419694072657757E-2</v>
      </c>
      <c r="I878">
        <f t="shared" ca="1" si="112"/>
        <v>1.7108352901710939E-2</v>
      </c>
      <c r="O878">
        <f t="shared" ca="1" si="113"/>
        <v>1.4470935332110666</v>
      </c>
      <c r="P878">
        <f t="shared" ca="1" si="114"/>
        <v>1.6620405673326242</v>
      </c>
      <c r="Q878">
        <f t="shared" ca="1" si="115"/>
        <v>1.7745462132276242</v>
      </c>
      <c r="R878">
        <f t="shared" ca="1" si="116"/>
        <v>1.6374016355500696</v>
      </c>
    </row>
    <row r="879" spans="1:18" x14ac:dyDescent="0.3">
      <c r="A879" s="2">
        <f ca="1">IFERROR(__xludf.DUMMYFUNCTION("""COMPUTED_VALUE"""),45502.6666666666)</f>
        <v>45502.666666666599</v>
      </c>
      <c r="B879" s="1">
        <f ca="1">IFERROR(__xludf.DUMMYFUNCTION("""COMPUTED_VALUE"""),544.76)</f>
        <v>544.76</v>
      </c>
      <c r="C879" s="1">
        <f ca="1">IFERROR(__xludf.DUMMYFUNCTION("""COMPUTED_VALUE"""),218.24)</f>
        <v>218.24</v>
      </c>
      <c r="D879" s="1">
        <f ca="1">IFERROR(__xludf.DUMMYFUNCTION("""COMPUTED_VALUE"""),426.73)</f>
        <v>426.73</v>
      </c>
      <c r="E879" s="1">
        <f ca="1">IFERROR(__xludf.DUMMYFUNCTION("""COMPUTED_VALUE"""),210.85)</f>
        <v>210.85</v>
      </c>
      <c r="F879">
        <f t="shared" ca="1" si="109"/>
        <v>5.8775990008069995E-4</v>
      </c>
      <c r="G879">
        <f t="shared" ca="1" si="110"/>
        <v>1.2846393833731012E-3</v>
      </c>
      <c r="H879">
        <f t="shared" ca="1" si="111"/>
        <v>3.4331130811015038E-3</v>
      </c>
      <c r="I879">
        <f t="shared" ca="1" si="112"/>
        <v>-6.5491895966830697E-3</v>
      </c>
      <c r="O879">
        <f t="shared" ca="1" si="113"/>
        <v>1.4479440767615543</v>
      </c>
      <c r="P879">
        <f t="shared" ca="1" si="114"/>
        <v>1.6641756901021836</v>
      </c>
      <c r="Q879">
        <f t="shared" ca="1" si="115"/>
        <v>1.7806384310452752</v>
      </c>
      <c r="R879">
        <f t="shared" ca="1" si="116"/>
        <v>1.6266779817929333</v>
      </c>
    </row>
    <row r="880" spans="1:18" x14ac:dyDescent="0.3">
      <c r="A880" s="2">
        <f ca="1">IFERROR(__xludf.DUMMYFUNCTION("""COMPUTED_VALUE"""),45503.6666666666)</f>
        <v>45503.666666666599</v>
      </c>
      <c r="B880" s="1">
        <f ca="1">IFERROR(__xludf.DUMMYFUNCTION("""COMPUTED_VALUE"""),542)</f>
        <v>542</v>
      </c>
      <c r="C880" s="1">
        <f ca="1">IFERROR(__xludf.DUMMYFUNCTION("""COMPUTED_VALUE"""),218.8)</f>
        <v>218.8</v>
      </c>
      <c r="D880" s="1">
        <f ca="1">IFERROR(__xludf.DUMMYFUNCTION("""COMPUTED_VALUE"""),422.92)</f>
        <v>422.92</v>
      </c>
      <c r="E880" s="1">
        <f ca="1">IFERROR(__xludf.DUMMYFUNCTION("""COMPUTED_VALUE"""),215.19)</f>
        <v>215.19</v>
      </c>
      <c r="F880">
        <f t="shared" ca="1" si="109"/>
        <v>-5.0664512812981701E-3</v>
      </c>
      <c r="G880">
        <f t="shared" ca="1" si="110"/>
        <v>2.5659824046920924E-3</v>
      </c>
      <c r="H880">
        <f t="shared" ca="1" si="111"/>
        <v>-8.9283621962365015E-3</v>
      </c>
      <c r="I880">
        <f t="shared" ca="1" si="112"/>
        <v>2.0583353094617042E-2</v>
      </c>
      <c r="O880">
        <f t="shared" ca="1" si="113"/>
        <v>1.4406081386385978</v>
      </c>
      <c r="P880">
        <f t="shared" ca="1" si="114"/>
        <v>1.6684459356413022</v>
      </c>
      <c r="Q880">
        <f t="shared" ca="1" si="115"/>
        <v>1.7647402461923647</v>
      </c>
      <c r="R880">
        <f t="shared" ca="1" si="116"/>
        <v>1.6601604690634164</v>
      </c>
    </row>
    <row r="881" spans="1:18" x14ac:dyDescent="0.3">
      <c r="A881" s="2">
        <f ca="1">IFERROR(__xludf.DUMMYFUNCTION("""COMPUTED_VALUE"""),45504.6666666666)</f>
        <v>45504.666666666599</v>
      </c>
      <c r="B881" s="1">
        <f ca="1">IFERROR(__xludf.DUMMYFUNCTION("""COMPUTED_VALUE"""),550.81)</f>
        <v>550.80999999999995</v>
      </c>
      <c r="C881" s="1">
        <f ca="1">IFERROR(__xludf.DUMMYFUNCTION("""COMPUTED_VALUE"""),222.08)</f>
        <v>222.08</v>
      </c>
      <c r="D881" s="1">
        <f ca="1">IFERROR(__xludf.DUMMYFUNCTION("""COMPUTED_VALUE"""),418.35)</f>
        <v>418.35</v>
      </c>
      <c r="E881" s="1">
        <f ca="1">IFERROR(__xludf.DUMMYFUNCTION("""COMPUTED_VALUE"""),212.8)</f>
        <v>212.8</v>
      </c>
      <c r="F881">
        <f t="shared" ca="1" si="109"/>
        <v>1.6254612546125362E-2</v>
      </c>
      <c r="G881">
        <f t="shared" ca="1" si="110"/>
        <v>1.4990859232175507E-2</v>
      </c>
      <c r="H881">
        <f t="shared" ca="1" si="111"/>
        <v>-1.0805826160976055E-2</v>
      </c>
      <c r="I881">
        <f t="shared" ca="1" si="112"/>
        <v>-1.1106464055021081E-2</v>
      </c>
      <c r="O881">
        <f t="shared" ca="1" si="113"/>
        <v>1.4640246657629632</v>
      </c>
      <c r="P881">
        <f t="shared" ca="1" si="114"/>
        <v>1.6934573737989962</v>
      </c>
      <c r="Q881">
        <f t="shared" ca="1" si="115"/>
        <v>1.7456707698727321</v>
      </c>
      <c r="R881">
        <f t="shared" ca="1" si="116"/>
        <v>1.6417219564881966</v>
      </c>
    </row>
    <row r="882" spans="1:18" x14ac:dyDescent="0.3">
      <c r="A882" s="2">
        <f ca="1">IFERROR(__xludf.DUMMYFUNCTION("""COMPUTED_VALUE"""),45505.6666666666)</f>
        <v>45505.666666666599</v>
      </c>
      <c r="B882" s="1">
        <f ca="1">IFERROR(__xludf.DUMMYFUNCTION("""COMPUTED_VALUE"""),543.01)</f>
        <v>543.01</v>
      </c>
      <c r="C882" s="1">
        <f ca="1">IFERROR(__xludf.DUMMYFUNCTION("""COMPUTED_VALUE"""),218.36)</f>
        <v>218.36</v>
      </c>
      <c r="D882" s="1">
        <f ca="1">IFERROR(__xludf.DUMMYFUNCTION("""COMPUTED_VALUE"""),417.11)</f>
        <v>417.11</v>
      </c>
      <c r="E882" s="1">
        <f ca="1">IFERROR(__xludf.DUMMYFUNCTION("""COMPUTED_VALUE"""),207.96)</f>
        <v>207.96</v>
      </c>
      <c r="F882">
        <f t="shared" ca="1" si="109"/>
        <v>-1.4160962945480211E-2</v>
      </c>
      <c r="G882">
        <f t="shared" ca="1" si="110"/>
        <v>-1.6750720461095096E-2</v>
      </c>
      <c r="H882">
        <f t="shared" ca="1" si="111"/>
        <v>-2.9640253376359725E-3</v>
      </c>
      <c r="I882">
        <f t="shared" ca="1" si="112"/>
        <v>-2.2744360902255654E-2</v>
      </c>
      <c r="O882">
        <f t="shared" ca="1" si="113"/>
        <v>1.4432926667198249</v>
      </c>
      <c r="P882">
        <f t="shared" ca="1" si="114"/>
        <v>1.6650907427177091</v>
      </c>
      <c r="Q882">
        <f t="shared" ca="1" si="115"/>
        <v>1.7404965574796589</v>
      </c>
      <c r="R882">
        <f t="shared" ca="1" si="116"/>
        <v>1.6043820398086719</v>
      </c>
    </row>
    <row r="883" spans="1:18" x14ac:dyDescent="0.3">
      <c r="A883" s="2">
        <f ca="1">IFERROR(__xludf.DUMMYFUNCTION("""COMPUTED_VALUE"""),45506.6666666666)</f>
        <v>45506.666666666599</v>
      </c>
      <c r="B883" s="1">
        <f ca="1">IFERROR(__xludf.DUMMYFUNCTION("""COMPUTED_VALUE"""),532.9)</f>
        <v>532.9</v>
      </c>
      <c r="C883" s="1">
        <f ca="1">IFERROR(__xludf.DUMMYFUNCTION("""COMPUTED_VALUE"""),219.86)</f>
        <v>219.86</v>
      </c>
      <c r="D883" s="1">
        <f ca="1">IFERROR(__xludf.DUMMYFUNCTION("""COMPUTED_VALUE"""),408.49)</f>
        <v>408.49</v>
      </c>
      <c r="E883" s="1">
        <f ca="1">IFERROR(__xludf.DUMMYFUNCTION("""COMPUTED_VALUE"""),199.14)</f>
        <v>199.14</v>
      </c>
      <c r="F883">
        <f t="shared" ca="1" si="109"/>
        <v>-1.8618441649325083E-2</v>
      </c>
      <c r="G883">
        <f t="shared" ca="1" si="110"/>
        <v>6.8693899981681619E-3</v>
      </c>
      <c r="H883">
        <f t="shared" ca="1" si="111"/>
        <v>-2.0666011363908811E-2</v>
      </c>
      <c r="I883">
        <f t="shared" ca="1" si="112"/>
        <v>-4.2412002308136285E-2</v>
      </c>
      <c r="O883">
        <f t="shared" ca="1" si="113"/>
        <v>1.4164208064216031</v>
      </c>
      <c r="P883">
        <f t="shared" ca="1" si="114"/>
        <v>1.6765289004117765</v>
      </c>
      <c r="Q883">
        <f t="shared" ca="1" si="115"/>
        <v>1.7045274358439402</v>
      </c>
      <c r="R883">
        <f t="shared" ca="1" si="116"/>
        <v>1.5363369850331741</v>
      </c>
    </row>
    <row r="884" spans="1:18" x14ac:dyDescent="0.3">
      <c r="A884" s="2">
        <f ca="1">IFERROR(__xludf.DUMMYFUNCTION("""COMPUTED_VALUE"""),45509.6666666666)</f>
        <v>45509.666666666599</v>
      </c>
      <c r="B884" s="1">
        <f ca="1">IFERROR(__xludf.DUMMYFUNCTION("""COMPUTED_VALUE"""),517.38)</f>
        <v>517.38</v>
      </c>
      <c r="C884" s="1">
        <f ca="1">IFERROR(__xludf.DUMMYFUNCTION("""COMPUTED_VALUE"""),209.27)</f>
        <v>209.27</v>
      </c>
      <c r="D884" s="1">
        <f ca="1">IFERROR(__xludf.DUMMYFUNCTION("""COMPUTED_VALUE"""),395.15)</f>
        <v>395.15</v>
      </c>
      <c r="E884" s="1">
        <f ca="1">IFERROR(__xludf.DUMMYFUNCTION("""COMPUTED_VALUE"""),194.9)</f>
        <v>194.9</v>
      </c>
      <c r="F884">
        <f t="shared" ca="1" si="109"/>
        <v>-2.9123662976168103E-2</v>
      </c>
      <c r="G884">
        <f t="shared" ca="1" si="110"/>
        <v>-4.8167015373419463E-2</v>
      </c>
      <c r="H884">
        <f t="shared" ca="1" si="111"/>
        <v>-3.2656858185022966E-2</v>
      </c>
      <c r="I884">
        <f t="shared" ca="1" si="112"/>
        <v>-2.1291553680827462E-2</v>
      </c>
      <c r="O884">
        <f t="shared" ca="1" si="113"/>
        <v>1.3751694442229481</v>
      </c>
      <c r="P884">
        <f t="shared" ca="1" si="114"/>
        <v>1.5957755070916604</v>
      </c>
      <c r="Q884">
        <f t="shared" ca="1" si="115"/>
        <v>1.6488629250991038</v>
      </c>
      <c r="R884">
        <f t="shared" ca="1" si="116"/>
        <v>1.5036259836444996</v>
      </c>
    </row>
    <row r="885" spans="1:18" x14ac:dyDescent="0.3">
      <c r="A885" s="2">
        <f ca="1">IFERROR(__xludf.DUMMYFUNCTION("""COMPUTED_VALUE"""),45510.6666666666)</f>
        <v>45510.666666666599</v>
      </c>
      <c r="B885" s="1">
        <f ca="1">IFERROR(__xludf.DUMMYFUNCTION("""COMPUTED_VALUE"""),522.15)</f>
        <v>522.15</v>
      </c>
      <c r="C885" s="1">
        <f ca="1">IFERROR(__xludf.DUMMYFUNCTION("""COMPUTED_VALUE"""),207.23)</f>
        <v>207.23</v>
      </c>
      <c r="D885" s="1">
        <f ca="1">IFERROR(__xludf.DUMMYFUNCTION("""COMPUTED_VALUE"""),399.61)</f>
        <v>399.61</v>
      </c>
      <c r="E885" s="1">
        <f ca="1">IFERROR(__xludf.DUMMYFUNCTION("""COMPUTED_VALUE"""),200.34)</f>
        <v>200.34</v>
      </c>
      <c r="F885">
        <f t="shared" ca="1" si="109"/>
        <v>9.219529166183427E-3</v>
      </c>
      <c r="G885">
        <f t="shared" ca="1" si="110"/>
        <v>-9.7481722177092771E-3</v>
      </c>
      <c r="H885">
        <f t="shared" ca="1" si="111"/>
        <v>1.1286853093761956E-2</v>
      </c>
      <c r="I885">
        <f t="shared" ca="1" si="112"/>
        <v>2.7911749615187262E-2</v>
      </c>
      <c r="O885">
        <f t="shared" ca="1" si="113"/>
        <v>1.3878478590224057</v>
      </c>
      <c r="P885">
        <f t="shared" ca="1" si="114"/>
        <v>1.5802196126277286</v>
      </c>
      <c r="Q885">
        <f t="shared" ca="1" si="115"/>
        <v>1.6674733987064481</v>
      </c>
      <c r="R885">
        <f t="shared" ca="1" si="116"/>
        <v>1.5455948156148747</v>
      </c>
    </row>
    <row r="886" spans="1:18" x14ac:dyDescent="0.3">
      <c r="A886" s="2">
        <f ca="1">IFERROR(__xludf.DUMMYFUNCTION("""COMPUTED_VALUE"""),45511.6666666666)</f>
        <v>45511.666666666599</v>
      </c>
      <c r="B886" s="1">
        <f ca="1">IFERROR(__xludf.DUMMYFUNCTION("""COMPUTED_VALUE"""),518.66)</f>
        <v>518.66</v>
      </c>
      <c r="C886" s="1">
        <f ca="1">IFERROR(__xludf.DUMMYFUNCTION("""COMPUTED_VALUE"""),209.82)</f>
        <v>209.82</v>
      </c>
      <c r="D886" s="1">
        <f ca="1">IFERROR(__xludf.DUMMYFUNCTION("""COMPUTED_VALUE"""),398.43)</f>
        <v>398.43</v>
      </c>
      <c r="E886" s="1">
        <f ca="1">IFERROR(__xludf.DUMMYFUNCTION("""COMPUTED_VALUE"""),200.4)</f>
        <v>200.4</v>
      </c>
      <c r="F886">
        <f t="shared" ca="1" si="109"/>
        <v>-6.6839030929809621E-3</v>
      </c>
      <c r="G886">
        <f t="shared" ca="1" si="110"/>
        <v>1.2498190416445513E-2</v>
      </c>
      <c r="H886">
        <f t="shared" ca="1" si="111"/>
        <v>-2.9528790570806708E-3</v>
      </c>
      <c r="I886">
        <f t="shared" ca="1" si="112"/>
        <v>2.9949086552861272E-4</v>
      </c>
      <c r="O886">
        <f t="shared" ca="1" si="113"/>
        <v>1.3785716184248988</v>
      </c>
      <c r="P886">
        <f t="shared" ca="1" si="114"/>
        <v>1.5999694982461519</v>
      </c>
      <c r="Q886">
        <f t="shared" ca="1" si="115"/>
        <v>1.6625495514291688</v>
      </c>
      <c r="R886">
        <f t="shared" ca="1" si="116"/>
        <v>1.5460577071439598</v>
      </c>
    </row>
    <row r="887" spans="1:18" x14ac:dyDescent="0.3">
      <c r="A887" s="2">
        <f ca="1">IFERROR(__xludf.DUMMYFUNCTION("""COMPUTED_VALUE"""),45512.6666666666)</f>
        <v>45512.666666666599</v>
      </c>
      <c r="B887" s="1">
        <f ca="1">IFERROR(__xludf.DUMMYFUNCTION("""COMPUTED_VALUE"""),530.65)</f>
        <v>530.65</v>
      </c>
      <c r="C887" s="1">
        <f ca="1">IFERROR(__xludf.DUMMYFUNCTION("""COMPUTED_VALUE"""),213.31)</f>
        <v>213.31</v>
      </c>
      <c r="D887" s="1">
        <f ca="1">IFERROR(__xludf.DUMMYFUNCTION("""COMPUTED_VALUE"""),402.69)</f>
        <v>402.69</v>
      </c>
      <c r="E887" s="1">
        <f ca="1">IFERROR(__xludf.DUMMYFUNCTION("""COMPUTED_VALUE"""),204.06)</f>
        <v>204.06</v>
      </c>
      <c r="F887">
        <f t="shared" ca="1" si="109"/>
        <v>2.3117263718042666E-2</v>
      </c>
      <c r="G887">
        <f t="shared" ca="1" si="110"/>
        <v>1.6633304737394002E-2</v>
      </c>
      <c r="H887">
        <f t="shared" ca="1" si="111"/>
        <v>1.0691965966418169E-2</v>
      </c>
      <c r="I887">
        <f t="shared" ca="1" si="112"/>
        <v>1.8263473053892199E-2</v>
      </c>
      <c r="O887">
        <f t="shared" ca="1" si="113"/>
        <v>1.410440422082236</v>
      </c>
      <c r="P887">
        <f t="shared" ca="1" si="114"/>
        <v>1.6265822784810156</v>
      </c>
      <c r="Q887">
        <f t="shared" ca="1" si="115"/>
        <v>1.6803254746505334</v>
      </c>
      <c r="R887">
        <f t="shared" ca="1" si="116"/>
        <v>1.5742940904181459</v>
      </c>
    </row>
    <row r="888" spans="1:18" x14ac:dyDescent="0.3">
      <c r="A888" s="2">
        <f ca="1">IFERROR(__xludf.DUMMYFUNCTION("""COMPUTED_VALUE"""),45513.6666666666)</f>
        <v>45513.666666666599</v>
      </c>
      <c r="B888" s="1">
        <f ca="1">IFERROR(__xludf.DUMMYFUNCTION("""COMPUTED_VALUE"""),532.99)</f>
        <v>532.99</v>
      </c>
      <c r="C888" s="1">
        <f ca="1">IFERROR(__xludf.DUMMYFUNCTION("""COMPUTED_VALUE"""),216.24)</f>
        <v>216.24</v>
      </c>
      <c r="D888" s="1">
        <f ca="1">IFERROR(__xludf.DUMMYFUNCTION("""COMPUTED_VALUE"""),406.02)</f>
        <v>406.02</v>
      </c>
      <c r="E888" s="1">
        <f ca="1">IFERROR(__xludf.DUMMYFUNCTION("""COMPUTED_VALUE"""),205.8)</f>
        <v>205.8</v>
      </c>
      <c r="F888">
        <f t="shared" ca="1" si="109"/>
        <v>4.4096862338641888E-3</v>
      </c>
      <c r="G888">
        <f t="shared" ca="1" si="110"/>
        <v>1.3735877361586456E-2</v>
      </c>
      <c r="H888">
        <f t="shared" ca="1" si="111"/>
        <v>8.2693883632570572E-3</v>
      </c>
      <c r="I888">
        <f t="shared" ca="1" si="112"/>
        <v>8.5269038518083363E-3</v>
      </c>
      <c r="O888">
        <f t="shared" ca="1" si="113"/>
        <v>1.4166600217951777</v>
      </c>
      <c r="P888">
        <f t="shared" ca="1" si="114"/>
        <v>1.6489248131767609</v>
      </c>
      <c r="Q888">
        <f t="shared" ca="1" si="115"/>
        <v>1.6942207385770927</v>
      </c>
      <c r="R888">
        <f t="shared" ca="1" si="116"/>
        <v>1.5877179447616114</v>
      </c>
    </row>
    <row r="889" spans="1:18" x14ac:dyDescent="0.3">
      <c r="A889" s="2">
        <f ca="1">IFERROR(__xludf.DUMMYFUNCTION("""COMPUTED_VALUE"""),45516.6666666666)</f>
        <v>45516.666666666599</v>
      </c>
      <c r="B889" s="1">
        <f ca="1">IFERROR(__xludf.DUMMYFUNCTION("""COMPUTED_VALUE"""),533.27)</f>
        <v>533.27</v>
      </c>
      <c r="C889" s="1">
        <f ca="1">IFERROR(__xludf.DUMMYFUNCTION("""COMPUTED_VALUE"""),217.53)</f>
        <v>217.53</v>
      </c>
      <c r="D889" s="1">
        <f ca="1">IFERROR(__xludf.DUMMYFUNCTION("""COMPUTED_VALUE"""),406.81)</f>
        <v>406.81</v>
      </c>
      <c r="E889" s="1">
        <f ca="1">IFERROR(__xludf.DUMMYFUNCTION("""COMPUTED_VALUE"""),206.19)</f>
        <v>206.19</v>
      </c>
      <c r="F889">
        <f t="shared" ca="1" si="109"/>
        <v>5.2533818645748083E-4</v>
      </c>
      <c r="G889">
        <f t="shared" ca="1" si="110"/>
        <v>5.9655937846836479E-3</v>
      </c>
      <c r="H889">
        <f t="shared" ca="1" si="111"/>
        <v>1.9457169597557275E-3</v>
      </c>
      <c r="I889">
        <f t="shared" ca="1" si="112"/>
        <v>1.8950437317783592E-3</v>
      </c>
      <c r="O889">
        <f t="shared" ca="1" si="113"/>
        <v>1.4174042474018542</v>
      </c>
      <c r="P889">
        <f t="shared" ca="1" si="114"/>
        <v>1.6587616287936588</v>
      </c>
      <c r="Q889">
        <f t="shared" ca="1" si="115"/>
        <v>1.697517212601712</v>
      </c>
      <c r="R889">
        <f t="shared" ca="1" si="116"/>
        <v>1.5907267397006639</v>
      </c>
    </row>
    <row r="890" spans="1:18" x14ac:dyDescent="0.3">
      <c r="A890" s="2">
        <f ca="1">IFERROR(__xludf.DUMMYFUNCTION("""COMPUTED_VALUE"""),45517.6666666666)</f>
        <v>45517.666666666599</v>
      </c>
      <c r="B890" s="1">
        <f ca="1">IFERROR(__xludf.DUMMYFUNCTION("""COMPUTED_VALUE"""),542.04)</f>
        <v>542.04</v>
      </c>
      <c r="C890" s="1">
        <f ca="1">IFERROR(__xludf.DUMMYFUNCTION("""COMPUTED_VALUE"""),221.27)</f>
        <v>221.27</v>
      </c>
      <c r="D890" s="1">
        <f ca="1">IFERROR(__xludf.DUMMYFUNCTION("""COMPUTED_VALUE"""),414.01)</f>
        <v>414.01</v>
      </c>
      <c r="E890" s="1">
        <f ca="1">IFERROR(__xludf.DUMMYFUNCTION("""COMPUTED_VALUE"""),207.94)</f>
        <v>207.94</v>
      </c>
      <c r="F890">
        <f t="shared" ca="1" si="109"/>
        <v>1.6445702927222573E-2</v>
      </c>
      <c r="G890">
        <f t="shared" ca="1" si="110"/>
        <v>1.7193030846320088E-2</v>
      </c>
      <c r="H890">
        <f t="shared" ca="1" si="111"/>
        <v>1.7698679973451953E-2</v>
      </c>
      <c r="I890">
        <f t="shared" ca="1" si="112"/>
        <v>8.4873175226732635E-3</v>
      </c>
      <c r="O890">
        <f t="shared" ca="1" si="113"/>
        <v>1.4407144565824084</v>
      </c>
      <c r="P890">
        <f t="shared" ca="1" si="114"/>
        <v>1.6872807686442006</v>
      </c>
      <c r="Q890">
        <f t="shared" ca="1" si="115"/>
        <v>1.7275610264969758</v>
      </c>
      <c r="R890">
        <f t="shared" ca="1" si="116"/>
        <v>1.6042277426323102</v>
      </c>
    </row>
    <row r="891" spans="1:18" x14ac:dyDescent="0.3">
      <c r="A891" s="2">
        <f ca="1">IFERROR(__xludf.DUMMYFUNCTION("""COMPUTED_VALUE"""),45518.6666666666)</f>
        <v>45518.666666666599</v>
      </c>
      <c r="B891" s="1">
        <f ca="1">IFERROR(__xludf.DUMMYFUNCTION("""COMPUTED_VALUE"""),543.75)</f>
        <v>543.75</v>
      </c>
      <c r="C891" s="1">
        <f ca="1">IFERROR(__xludf.DUMMYFUNCTION("""COMPUTED_VALUE"""),221.72)</f>
        <v>221.72</v>
      </c>
      <c r="D891" s="1">
        <f ca="1">IFERROR(__xludf.DUMMYFUNCTION("""COMPUTED_VALUE"""),416.86)</f>
        <v>416.86</v>
      </c>
      <c r="E891" s="1">
        <f ca="1">IFERROR(__xludf.DUMMYFUNCTION("""COMPUTED_VALUE"""),210.24)</f>
        <v>210.24</v>
      </c>
      <c r="F891">
        <f t="shared" ca="1" si="109"/>
        <v>3.1547487270312826E-3</v>
      </c>
      <c r="G891">
        <f t="shared" ca="1" si="110"/>
        <v>2.0337144664888535E-3</v>
      </c>
      <c r="H891">
        <f t="shared" ca="1" si="111"/>
        <v>6.8838916934374113E-3</v>
      </c>
      <c r="I891">
        <f t="shared" ca="1" si="112"/>
        <v>1.1060882947003999E-2</v>
      </c>
      <c r="O891">
        <f t="shared" ca="1" si="113"/>
        <v>1.4452595486803275</v>
      </c>
      <c r="P891">
        <f t="shared" ca="1" si="114"/>
        <v>1.6907122159524206</v>
      </c>
      <c r="Q891">
        <f t="shared" ca="1" si="115"/>
        <v>1.7394533694971848</v>
      </c>
      <c r="R891">
        <f t="shared" ca="1" si="116"/>
        <v>1.6219719179139027</v>
      </c>
    </row>
    <row r="892" spans="1:18" x14ac:dyDescent="0.3">
      <c r="A892" s="2">
        <f ca="1">IFERROR(__xludf.DUMMYFUNCTION("""COMPUTED_VALUE"""),45519.6666666666)</f>
        <v>45519.666666666599</v>
      </c>
      <c r="B892" s="1">
        <f ca="1">IFERROR(__xludf.DUMMYFUNCTION("""COMPUTED_VALUE"""),553.07)</f>
        <v>553.07000000000005</v>
      </c>
      <c r="C892" s="1">
        <f ca="1">IFERROR(__xludf.DUMMYFUNCTION("""COMPUTED_VALUE"""),224.72)</f>
        <v>224.72</v>
      </c>
      <c r="D892" s="1">
        <f ca="1">IFERROR(__xludf.DUMMYFUNCTION("""COMPUTED_VALUE"""),421.03)</f>
        <v>421.03</v>
      </c>
      <c r="E892" s="1">
        <f ca="1">IFERROR(__xludf.DUMMYFUNCTION("""COMPUTED_VALUE"""),211.55)</f>
        <v>211.55</v>
      </c>
      <c r="F892">
        <f t="shared" ca="1" si="109"/>
        <v>1.7140229885057562E-2</v>
      </c>
      <c r="G892">
        <f t="shared" ca="1" si="110"/>
        <v>1.3530579108785856E-2</v>
      </c>
      <c r="H892">
        <f t="shared" ca="1" si="111"/>
        <v>1.000335844168296E-2</v>
      </c>
      <c r="I892">
        <f t="shared" ca="1" si="112"/>
        <v>6.2309741248097522E-3</v>
      </c>
      <c r="O892">
        <f t="shared" ca="1" si="113"/>
        <v>1.4700316295882829</v>
      </c>
      <c r="P892">
        <f t="shared" ca="1" si="114"/>
        <v>1.7135885313405554</v>
      </c>
      <c r="Q892">
        <f t="shared" ca="1" si="115"/>
        <v>1.7568537450448583</v>
      </c>
      <c r="R892">
        <f t="shared" ca="1" si="116"/>
        <v>1.632078382965592</v>
      </c>
    </row>
    <row r="893" spans="1:18" x14ac:dyDescent="0.3">
      <c r="A893" s="2">
        <f ca="1">IFERROR(__xludf.DUMMYFUNCTION("""COMPUTED_VALUE"""),45520.6666666666)</f>
        <v>45520.666666666599</v>
      </c>
      <c r="B893" s="1">
        <f ca="1">IFERROR(__xludf.DUMMYFUNCTION("""COMPUTED_VALUE"""),554.31)</f>
        <v>554.30999999999995</v>
      </c>
      <c r="C893" s="1">
        <f ca="1">IFERROR(__xludf.DUMMYFUNCTION("""COMPUTED_VALUE"""),226.05)</f>
        <v>226.05</v>
      </c>
      <c r="D893" s="1">
        <f ca="1">IFERROR(__xludf.DUMMYFUNCTION("""COMPUTED_VALUE"""),418.47)</f>
        <v>418.47</v>
      </c>
      <c r="E893" s="1">
        <f ca="1">IFERROR(__xludf.DUMMYFUNCTION("""COMPUTED_VALUE"""),213.97)</f>
        <v>213.97</v>
      </c>
      <c r="F893">
        <f t="shared" ca="1" si="109"/>
        <v>2.2420308460048373E-3</v>
      </c>
      <c r="G893">
        <f t="shared" ca="1" si="110"/>
        <v>5.9184763260947517E-3</v>
      </c>
      <c r="H893">
        <f t="shared" ca="1" si="111"/>
        <v>-6.0803268175663146E-3</v>
      </c>
      <c r="I893">
        <f t="shared" ca="1" si="112"/>
        <v>1.1439376034034448E-2</v>
      </c>
      <c r="O893">
        <f t="shared" ca="1" si="113"/>
        <v>1.4733274858464227</v>
      </c>
      <c r="P893">
        <f t="shared" ca="1" si="114"/>
        <v>1.7237303644959618</v>
      </c>
      <c r="Q893">
        <f t="shared" ca="1" si="115"/>
        <v>1.7461715001043201</v>
      </c>
      <c r="R893">
        <f t="shared" ca="1" si="116"/>
        <v>1.6507483413053545</v>
      </c>
    </row>
    <row r="894" spans="1:18" x14ac:dyDescent="0.3">
      <c r="A894" s="2">
        <f ca="1">IFERROR(__xludf.DUMMYFUNCTION("""COMPUTED_VALUE"""),45523.6666666666)</f>
        <v>45523.666666666599</v>
      </c>
      <c r="B894" s="1">
        <f ca="1">IFERROR(__xludf.DUMMYFUNCTION("""COMPUTED_VALUE"""),559.61)</f>
        <v>559.61</v>
      </c>
      <c r="C894" s="1">
        <f ca="1">IFERROR(__xludf.DUMMYFUNCTION("""COMPUTED_VALUE"""),225.89)</f>
        <v>225.89</v>
      </c>
      <c r="D894" s="1">
        <f ca="1">IFERROR(__xludf.DUMMYFUNCTION("""COMPUTED_VALUE"""),421.53)</f>
        <v>421.53</v>
      </c>
      <c r="E894" s="1">
        <f ca="1">IFERROR(__xludf.DUMMYFUNCTION("""COMPUTED_VALUE"""),215.45)</f>
        <v>215.45</v>
      </c>
      <c r="F894">
        <f t="shared" ca="1" si="109"/>
        <v>9.5614367411738354E-3</v>
      </c>
      <c r="G894">
        <f t="shared" ca="1" si="110"/>
        <v>-7.0780800707819066E-4</v>
      </c>
      <c r="H894">
        <f t="shared" ca="1" si="111"/>
        <v>7.3123521399382158E-3</v>
      </c>
      <c r="I894">
        <f t="shared" ca="1" si="112"/>
        <v>6.9168575033882775E-3</v>
      </c>
      <c r="O894">
        <f t="shared" ca="1" si="113"/>
        <v>1.4874146134013759</v>
      </c>
      <c r="P894">
        <f t="shared" ca="1" si="114"/>
        <v>1.7225102943419279</v>
      </c>
      <c r="Q894">
        <f t="shared" ca="1" si="115"/>
        <v>1.7589401210098072</v>
      </c>
      <c r="R894">
        <f t="shared" ca="1" si="116"/>
        <v>1.6621663323561182</v>
      </c>
    </row>
    <row r="895" spans="1:18" x14ac:dyDescent="0.3">
      <c r="A895" s="2">
        <f ca="1">IFERROR(__xludf.DUMMYFUNCTION("""COMPUTED_VALUE"""),45524.6666666666)</f>
        <v>45524.666666666599</v>
      </c>
      <c r="B895" s="1">
        <f ca="1">IFERROR(__xludf.DUMMYFUNCTION("""COMPUTED_VALUE"""),558.7)</f>
        <v>558.70000000000005</v>
      </c>
      <c r="C895" s="1">
        <f ca="1">IFERROR(__xludf.DUMMYFUNCTION("""COMPUTED_VALUE"""),226.51)</f>
        <v>226.51</v>
      </c>
      <c r="D895" s="1">
        <f ca="1">IFERROR(__xludf.DUMMYFUNCTION("""COMPUTED_VALUE"""),424.8)</f>
        <v>424.8</v>
      </c>
      <c r="E895" s="1">
        <f ca="1">IFERROR(__xludf.DUMMYFUNCTION("""COMPUTED_VALUE"""),214.52)</f>
        <v>214.52</v>
      </c>
      <c r="F895">
        <f t="shared" ca="1" si="109"/>
        <v>-1.6261324851235112E-3</v>
      </c>
      <c r="G895">
        <f t="shared" ca="1" si="110"/>
        <v>2.7446987471778502E-3</v>
      </c>
      <c r="H895">
        <f t="shared" ca="1" si="111"/>
        <v>7.7574549854103831E-3</v>
      </c>
      <c r="I895">
        <f t="shared" ca="1" si="112"/>
        <v>-4.3165467625898282E-3</v>
      </c>
      <c r="O895">
        <f t="shared" ca="1" si="113"/>
        <v>1.4849958801796765</v>
      </c>
      <c r="P895">
        <f t="shared" ca="1" si="114"/>
        <v>1.7272380661888089</v>
      </c>
      <c r="Q895">
        <f t="shared" ca="1" si="115"/>
        <v>1.7725850198205733</v>
      </c>
      <c r="R895">
        <f t="shared" ca="1" si="116"/>
        <v>1.6549915136553006</v>
      </c>
    </row>
    <row r="896" spans="1:18" x14ac:dyDescent="0.3">
      <c r="A896" s="2">
        <f ca="1">IFERROR(__xludf.DUMMYFUNCTION("""COMPUTED_VALUE"""),45525.6666666666)</f>
        <v>45525.666666666599</v>
      </c>
      <c r="B896" s="1">
        <f ca="1">IFERROR(__xludf.DUMMYFUNCTION("""COMPUTED_VALUE"""),560.62)</f>
        <v>560.62</v>
      </c>
      <c r="C896" s="1">
        <f ca="1">IFERROR(__xludf.DUMMYFUNCTION("""COMPUTED_VALUE"""),226.4)</f>
        <v>226.4</v>
      </c>
      <c r="D896" s="1">
        <f ca="1">IFERROR(__xludf.DUMMYFUNCTION("""COMPUTED_VALUE"""),424.14)</f>
        <v>424.14</v>
      </c>
      <c r="E896" s="1">
        <f ca="1">IFERROR(__xludf.DUMMYFUNCTION("""COMPUTED_VALUE"""),214.6)</f>
        <v>214.6</v>
      </c>
      <c r="F896">
        <f t="shared" ca="1" si="109"/>
        <v>3.4365491319132968E-3</v>
      </c>
      <c r="G896">
        <f t="shared" ca="1" si="110"/>
        <v>-4.8562977351986769E-4</v>
      </c>
      <c r="H896">
        <f t="shared" ca="1" si="111"/>
        <v>-1.5536723163842396E-3</v>
      </c>
      <c r="I896">
        <f t="shared" ca="1" si="112"/>
        <v>3.7292560134245795E-4</v>
      </c>
      <c r="O896">
        <f t="shared" ca="1" si="113"/>
        <v>1.4900991414826028</v>
      </c>
      <c r="P896">
        <f t="shared" ca="1" si="114"/>
        <v>1.7263992679579108</v>
      </c>
      <c r="Q896">
        <f t="shared" ca="1" si="115"/>
        <v>1.7698310035468405</v>
      </c>
      <c r="R896">
        <f t="shared" ca="1" si="116"/>
        <v>1.6556087023607473</v>
      </c>
    </row>
    <row r="897" spans="1:18" x14ac:dyDescent="0.3">
      <c r="A897" s="2">
        <f ca="1">IFERROR(__xludf.DUMMYFUNCTION("""COMPUTED_VALUE"""),45526.6666666666)</f>
        <v>45526.666666666599</v>
      </c>
      <c r="B897" s="1">
        <f ca="1">IFERROR(__xludf.DUMMYFUNCTION("""COMPUTED_VALUE"""),556.22)</f>
        <v>556.22</v>
      </c>
      <c r="C897" s="1">
        <f ca="1">IFERROR(__xludf.DUMMYFUNCTION("""COMPUTED_VALUE"""),224.53)</f>
        <v>224.53</v>
      </c>
      <c r="D897" s="1">
        <f ca="1">IFERROR(__xludf.DUMMYFUNCTION("""COMPUTED_VALUE"""),415.55)</f>
        <v>415.55</v>
      </c>
      <c r="E897" s="1">
        <f ca="1">IFERROR(__xludf.DUMMYFUNCTION("""COMPUTED_VALUE"""),216.63)</f>
        <v>216.63</v>
      </c>
      <c r="F897">
        <f t="shared" ca="1" si="109"/>
        <v>-7.8484534979129834E-3</v>
      </c>
      <c r="G897">
        <f t="shared" ca="1" si="110"/>
        <v>-8.2597173144876527E-3</v>
      </c>
      <c r="H897">
        <f t="shared" ca="1" si="111"/>
        <v>-2.0252746734568717E-2</v>
      </c>
      <c r="I897">
        <f t="shared" ca="1" si="112"/>
        <v>9.4594594594594652E-3</v>
      </c>
      <c r="O897">
        <f t="shared" ca="1" si="113"/>
        <v>1.4784041676633966</v>
      </c>
      <c r="P897">
        <f t="shared" ca="1" si="114"/>
        <v>1.71213969803264</v>
      </c>
      <c r="Q897">
        <f t="shared" ca="1" si="115"/>
        <v>1.733987064469019</v>
      </c>
      <c r="R897">
        <f t="shared" ca="1" si="116"/>
        <v>1.6712698657614571</v>
      </c>
    </row>
    <row r="898" spans="1:18" x14ac:dyDescent="0.3">
      <c r="A898" s="2">
        <f ca="1">IFERROR(__xludf.DUMMYFUNCTION("""COMPUTED_VALUE"""),45527.6666666666)</f>
        <v>45527.666666666599</v>
      </c>
      <c r="B898" s="1">
        <f ca="1">IFERROR(__xludf.DUMMYFUNCTION("""COMPUTED_VALUE"""),562.13)</f>
        <v>562.13</v>
      </c>
      <c r="C898" s="1">
        <f ca="1">IFERROR(__xludf.DUMMYFUNCTION("""COMPUTED_VALUE"""),226.84)</f>
        <v>226.84</v>
      </c>
      <c r="D898" s="1">
        <f ca="1">IFERROR(__xludf.DUMMYFUNCTION("""COMPUTED_VALUE"""),416.79)</f>
        <v>416.79</v>
      </c>
      <c r="E898" s="1">
        <f ca="1">IFERROR(__xludf.DUMMYFUNCTION("""COMPUTED_VALUE"""),218.31)</f>
        <v>218.31</v>
      </c>
      <c r="F898">
        <f t="shared" ca="1" si="109"/>
        <v>1.0625292150587839E-2</v>
      </c>
      <c r="G898">
        <f t="shared" ca="1" si="110"/>
        <v>1.0288157484523237E-2</v>
      </c>
      <c r="H898">
        <f t="shared" ca="1" si="111"/>
        <v>2.9839971122608811E-3</v>
      </c>
      <c r="I898">
        <f t="shared" ca="1" si="112"/>
        <v>7.7551585652956972E-3</v>
      </c>
      <c r="O898">
        <f t="shared" ca="1" si="113"/>
        <v>1.4941126438614667</v>
      </c>
      <c r="P898">
        <f t="shared" ca="1" si="114"/>
        <v>1.7297544608815039</v>
      </c>
      <c r="Q898">
        <f t="shared" ca="1" si="115"/>
        <v>1.7391612768620923</v>
      </c>
      <c r="R898">
        <f t="shared" ca="1" si="116"/>
        <v>1.6842308285758376</v>
      </c>
    </row>
    <row r="899" spans="1:18" x14ac:dyDescent="0.3">
      <c r="A899" s="2">
        <f ca="1">IFERROR(__xludf.DUMMYFUNCTION("""COMPUTED_VALUE"""),45530.6666666666)</f>
        <v>45530.666666666599</v>
      </c>
      <c r="B899" s="1">
        <f ca="1">IFERROR(__xludf.DUMMYFUNCTION("""COMPUTED_VALUE"""),560.79)</f>
        <v>560.79</v>
      </c>
      <c r="C899" s="1">
        <f ca="1">IFERROR(__xludf.DUMMYFUNCTION("""COMPUTED_VALUE"""),227.18)</f>
        <v>227.18</v>
      </c>
      <c r="D899" s="1">
        <f ca="1">IFERROR(__xludf.DUMMYFUNCTION("""COMPUTED_VALUE"""),413.49)</f>
        <v>413.49</v>
      </c>
      <c r="E899" s="1">
        <f ca="1">IFERROR(__xludf.DUMMYFUNCTION("""COMPUTED_VALUE"""),219.17)</f>
        <v>219.17</v>
      </c>
      <c r="F899">
        <f t="shared" ca="1" si="109"/>
        <v>-2.3837902264601282E-3</v>
      </c>
      <c r="G899">
        <f t="shared" ca="1" si="110"/>
        <v>1.4988538176688565E-3</v>
      </c>
      <c r="H899">
        <f t="shared" ca="1" si="111"/>
        <v>-7.9176563737134078E-3</v>
      </c>
      <c r="I899">
        <f t="shared" ca="1" si="112"/>
        <v>3.9393522971919986E-3</v>
      </c>
      <c r="O899">
        <f t="shared" ca="1" si="113"/>
        <v>1.4905509927437992</v>
      </c>
      <c r="P899">
        <f t="shared" ca="1" si="114"/>
        <v>1.7323471099588257</v>
      </c>
      <c r="Q899">
        <f t="shared" ca="1" si="115"/>
        <v>1.7253911954934296</v>
      </c>
      <c r="R899">
        <f t="shared" ca="1" si="116"/>
        <v>1.6908656071593895</v>
      </c>
    </row>
    <row r="900" spans="1:18" x14ac:dyDescent="0.3">
      <c r="A900" s="2">
        <f ca="1">IFERROR(__xludf.DUMMYFUNCTION("""COMPUTED_VALUE"""),45531.6666666666)</f>
        <v>45531.666666666599</v>
      </c>
      <c r="B900" s="1">
        <f ca="1">IFERROR(__xludf.DUMMYFUNCTION("""COMPUTED_VALUE"""),561.56)</f>
        <v>561.55999999999995</v>
      </c>
      <c r="C900" s="1">
        <f ca="1">IFERROR(__xludf.DUMMYFUNCTION("""COMPUTED_VALUE"""),228.03)</f>
        <v>228.03</v>
      </c>
      <c r="D900" s="1">
        <f ca="1">IFERROR(__xludf.DUMMYFUNCTION("""COMPUTED_VALUE"""),413.84)</f>
        <v>413.84</v>
      </c>
      <c r="E900" s="1">
        <f ca="1">IFERROR(__xludf.DUMMYFUNCTION("""COMPUTED_VALUE"""),220.18)</f>
        <v>220.18</v>
      </c>
      <c r="F900">
        <f t="shared" ref="F900:F963" ca="1" si="117">(B900-B899)/B899</f>
        <v>1.3730630004101033E-3</v>
      </c>
      <c r="G900">
        <f t="shared" ref="G900:G963" ca="1" si="118">(C900-C899)/C899</f>
        <v>3.7415265428294492E-3</v>
      </c>
      <c r="H900">
        <f t="shared" ref="H900:H963" ca="1" si="119">(D900-D899)/D899</f>
        <v>8.4645336041975832E-4</v>
      </c>
      <c r="I900">
        <f t="shared" ref="I900:I963" ca="1" si="120">(E900-E899)/E899</f>
        <v>4.6082949308756645E-3</v>
      </c>
      <c r="O900">
        <f t="shared" ref="O900:O963" ca="1" si="121">O899*(1+F900)</f>
        <v>1.4925976131621601</v>
      </c>
      <c r="P900">
        <f t="shared" ref="P900:P963" ca="1" si="122">P899*(1+G900)</f>
        <v>1.7388287326521308</v>
      </c>
      <c r="Q900">
        <f t="shared" ref="Q900:Q963" ca="1" si="123">Q899*(1+H900)</f>
        <v>1.7268516586688936</v>
      </c>
      <c r="R900">
        <f t="shared" ref="R900:R963" ca="1" si="124">R899*(1+I900)</f>
        <v>1.698657614565654</v>
      </c>
    </row>
    <row r="901" spans="1:18" x14ac:dyDescent="0.3">
      <c r="A901" s="2">
        <f ca="1">IFERROR(__xludf.DUMMYFUNCTION("""COMPUTED_VALUE"""),45532.6666666666)</f>
        <v>45532.666666666599</v>
      </c>
      <c r="B901" s="1">
        <f ca="1">IFERROR(__xludf.DUMMYFUNCTION("""COMPUTED_VALUE"""),558.3)</f>
        <v>558.29999999999995</v>
      </c>
      <c r="C901" s="1">
        <f ca="1">IFERROR(__xludf.DUMMYFUNCTION("""COMPUTED_VALUE"""),226.49)</f>
        <v>226.49</v>
      </c>
      <c r="D901" s="1">
        <f ca="1">IFERROR(__xludf.DUMMYFUNCTION("""COMPUTED_VALUE"""),410.6)</f>
        <v>410.6</v>
      </c>
      <c r="E901" s="1">
        <f ca="1">IFERROR(__xludf.DUMMYFUNCTION("""COMPUTED_VALUE"""),221.29)</f>
        <v>221.29</v>
      </c>
      <c r="F901">
        <f t="shared" ca="1" si="117"/>
        <v>-5.8052567846712576E-3</v>
      </c>
      <c r="G901">
        <f t="shared" ca="1" si="118"/>
        <v>-6.7534973468402933E-3</v>
      </c>
      <c r="H901">
        <f t="shared" ca="1" si="119"/>
        <v>-7.829112700560489E-3</v>
      </c>
      <c r="I901">
        <f t="shared" ca="1" si="120"/>
        <v>5.0413298210554326E-3</v>
      </c>
      <c r="O901">
        <f t="shared" ca="1" si="121"/>
        <v>1.4839327007415664</v>
      </c>
      <c r="P901">
        <f t="shared" ca="1" si="122"/>
        <v>1.7270855574195549</v>
      </c>
      <c r="Q901">
        <f t="shared" ca="1" si="123"/>
        <v>1.7133319424160249</v>
      </c>
      <c r="R901">
        <f t="shared" ca="1" si="124"/>
        <v>1.7072211078537267</v>
      </c>
    </row>
    <row r="902" spans="1:18" x14ac:dyDescent="0.3">
      <c r="A902" s="2">
        <f ca="1">IFERROR(__xludf.DUMMYFUNCTION("""COMPUTED_VALUE"""),45533.6666666666)</f>
        <v>45533.666666666599</v>
      </c>
      <c r="B902" s="1">
        <f ca="1">IFERROR(__xludf.DUMMYFUNCTION("""COMPUTED_VALUE"""),558.35)</f>
        <v>558.35</v>
      </c>
      <c r="C902" s="1">
        <f ca="1">IFERROR(__xludf.DUMMYFUNCTION("""COMPUTED_VALUE"""),229.79)</f>
        <v>229.79</v>
      </c>
      <c r="D902" s="1">
        <f ca="1">IFERROR(__xludf.DUMMYFUNCTION("""COMPUTED_VALUE"""),413.12)</f>
        <v>413.12</v>
      </c>
      <c r="E902" s="1">
        <f ca="1">IFERROR(__xludf.DUMMYFUNCTION("""COMPUTED_VALUE"""),222.21)</f>
        <v>222.21</v>
      </c>
      <c r="F902">
        <f t="shared" ca="1" si="117"/>
        <v>8.9557585527616366E-5</v>
      </c>
      <c r="G902">
        <f t="shared" ca="1" si="118"/>
        <v>1.4570179698882878E-2</v>
      </c>
      <c r="H902">
        <f t="shared" ca="1" si="119"/>
        <v>6.1373599610325905E-3</v>
      </c>
      <c r="I902">
        <f t="shared" ca="1" si="120"/>
        <v>4.1574404627412716E-3</v>
      </c>
      <c r="O902">
        <f t="shared" ca="1" si="121"/>
        <v>1.4840655981713302</v>
      </c>
      <c r="P902">
        <f t="shared" ca="1" si="122"/>
        <v>1.7522495043465032</v>
      </c>
      <c r="Q902">
        <f t="shared" ca="1" si="123"/>
        <v>1.7238472772793672</v>
      </c>
      <c r="R902">
        <f t="shared" ca="1" si="124"/>
        <v>1.714318777966364</v>
      </c>
    </row>
    <row r="903" spans="1:18" x14ac:dyDescent="0.3">
      <c r="A903" s="2">
        <f ca="1">IFERROR(__xludf.DUMMYFUNCTION("""COMPUTED_VALUE"""),45534.6666666666)</f>
        <v>45534.666666666599</v>
      </c>
      <c r="B903" s="1">
        <f ca="1">IFERROR(__xludf.DUMMYFUNCTION("""COMPUTED_VALUE"""),563.68)</f>
        <v>563.67999999999995</v>
      </c>
      <c r="C903" s="1">
        <f ca="1">IFERROR(__xludf.DUMMYFUNCTION("""COMPUTED_VALUE"""),229)</f>
        <v>229</v>
      </c>
      <c r="D903" s="1">
        <f ca="1">IFERROR(__xludf.DUMMYFUNCTION("""COMPUTED_VALUE"""),417.14)</f>
        <v>417.14</v>
      </c>
      <c r="E903" s="1">
        <f ca="1">IFERROR(__xludf.DUMMYFUNCTION("""COMPUTED_VALUE"""),224.8)</f>
        <v>224.8</v>
      </c>
      <c r="F903">
        <f t="shared" ca="1" si="117"/>
        <v>9.5459837019789152E-3</v>
      </c>
      <c r="G903">
        <f t="shared" ca="1" si="118"/>
        <v>-3.4379215805735329E-3</v>
      </c>
      <c r="H903">
        <f t="shared" ca="1" si="119"/>
        <v>9.7308288148721476E-3</v>
      </c>
      <c r="I903">
        <f t="shared" ca="1" si="120"/>
        <v>1.1655641060258329E-2</v>
      </c>
      <c r="O903">
        <f t="shared" ca="1" si="121"/>
        <v>1.4982324641841414</v>
      </c>
      <c r="P903">
        <f t="shared" ca="1" si="122"/>
        <v>1.7462254079609609</v>
      </c>
      <c r="Q903">
        <f t="shared" ca="1" si="123"/>
        <v>1.7406217400375561</v>
      </c>
      <c r="R903">
        <f t="shared" ca="1" si="124"/>
        <v>1.7343002623052008</v>
      </c>
    </row>
    <row r="904" spans="1:18" x14ac:dyDescent="0.3">
      <c r="A904" s="2">
        <f ca="1">IFERROR(__xludf.DUMMYFUNCTION("""COMPUTED_VALUE"""),45538.6666666666)</f>
        <v>45538.666666666599</v>
      </c>
      <c r="B904" s="1">
        <f ca="1">IFERROR(__xludf.DUMMYFUNCTION("""COMPUTED_VALUE"""),552.08)</f>
        <v>552.08000000000004</v>
      </c>
      <c r="C904" s="1">
        <f ca="1">IFERROR(__xludf.DUMMYFUNCTION("""COMPUTED_VALUE"""),222.77)</f>
        <v>222.77</v>
      </c>
      <c r="D904" s="1">
        <f ca="1">IFERROR(__xludf.DUMMYFUNCTION("""COMPUTED_VALUE"""),409.44)</f>
        <v>409.44</v>
      </c>
      <c r="E904" s="1">
        <f ca="1">IFERROR(__xludf.DUMMYFUNCTION("""COMPUTED_VALUE"""),220.3)</f>
        <v>220.3</v>
      </c>
      <c r="F904">
        <f t="shared" ca="1" si="117"/>
        <v>-2.0579051944365438E-2</v>
      </c>
      <c r="G904">
        <f t="shared" ca="1" si="118"/>
        <v>-2.7205240174672445E-2</v>
      </c>
      <c r="H904">
        <f t="shared" ca="1" si="119"/>
        <v>-1.8459030541305051E-2</v>
      </c>
      <c r="I904">
        <f t="shared" ca="1" si="120"/>
        <v>-2.0017793594306048E-2</v>
      </c>
      <c r="O904">
        <f t="shared" ca="1" si="121"/>
        <v>1.4674002604789611</v>
      </c>
      <c r="P904">
        <f t="shared" ca="1" si="122"/>
        <v>1.6987189263382676</v>
      </c>
      <c r="Q904">
        <f t="shared" ca="1" si="123"/>
        <v>1.7084915501773432</v>
      </c>
      <c r="R904">
        <f t="shared" ca="1" si="124"/>
        <v>1.6995833976238246</v>
      </c>
    </row>
    <row r="905" spans="1:18" x14ac:dyDescent="0.3">
      <c r="A905" s="2">
        <f ca="1">IFERROR(__xludf.DUMMYFUNCTION("""COMPUTED_VALUE"""),45539.6666666666)</f>
        <v>45539.666666666599</v>
      </c>
      <c r="B905" s="1">
        <f ca="1">IFERROR(__xludf.DUMMYFUNCTION("""COMPUTED_VALUE"""),550.95)</f>
        <v>550.95000000000005</v>
      </c>
      <c r="C905" s="1">
        <f ca="1">IFERROR(__xludf.DUMMYFUNCTION("""COMPUTED_VALUE"""),220.85)</f>
        <v>220.85</v>
      </c>
      <c r="D905" s="1">
        <f ca="1">IFERROR(__xludf.DUMMYFUNCTION("""COMPUTED_VALUE"""),408.9)</f>
        <v>408.9</v>
      </c>
      <c r="E905" s="1">
        <f ca="1">IFERROR(__xludf.DUMMYFUNCTION("""COMPUTED_VALUE"""),219.33)</f>
        <v>219.33</v>
      </c>
      <c r="F905">
        <f t="shared" ca="1" si="117"/>
        <v>-2.046804810896963E-3</v>
      </c>
      <c r="G905">
        <f t="shared" ca="1" si="118"/>
        <v>-8.6187547694932705E-3</v>
      </c>
      <c r="H905">
        <f t="shared" ca="1" si="119"/>
        <v>-1.3188745603751966E-3</v>
      </c>
      <c r="I905">
        <f t="shared" ca="1" si="120"/>
        <v>-4.4030866999546017E-3</v>
      </c>
      <c r="O905">
        <f t="shared" ca="1" si="121"/>
        <v>1.4643967785663015</v>
      </c>
      <c r="P905">
        <f t="shared" ca="1" si="122"/>
        <v>1.6840780844898613</v>
      </c>
      <c r="Q905">
        <f t="shared" ca="1" si="123"/>
        <v>1.7062382641351983</v>
      </c>
      <c r="R905">
        <f t="shared" ca="1" si="124"/>
        <v>1.6920999845702835</v>
      </c>
    </row>
    <row r="906" spans="1:18" x14ac:dyDescent="0.3">
      <c r="A906" s="2">
        <f ca="1">IFERROR(__xludf.DUMMYFUNCTION("""COMPUTED_VALUE"""),45540.6666666666)</f>
        <v>45540.666666666599</v>
      </c>
      <c r="B906" s="1">
        <f ca="1">IFERROR(__xludf.DUMMYFUNCTION("""COMPUTED_VALUE"""),549.61)</f>
        <v>549.61</v>
      </c>
      <c r="C906" s="1">
        <f ca="1">IFERROR(__xludf.DUMMYFUNCTION("""COMPUTED_VALUE"""),222.38)</f>
        <v>222.38</v>
      </c>
      <c r="D906" s="1">
        <f ca="1">IFERROR(__xludf.DUMMYFUNCTION("""COMPUTED_VALUE"""),408.39)</f>
        <v>408.39</v>
      </c>
      <c r="E906" s="1">
        <f ca="1">IFERROR(__xludf.DUMMYFUNCTION("""COMPUTED_VALUE"""),217.63)</f>
        <v>217.63</v>
      </c>
      <c r="F906">
        <f t="shared" ca="1" si="117"/>
        <v>-2.4321626281877335E-3</v>
      </c>
      <c r="G906">
        <f t="shared" ca="1" si="118"/>
        <v>6.9277790355444929E-3</v>
      </c>
      <c r="H906">
        <f t="shared" ca="1" si="119"/>
        <v>-1.247248716067476E-3</v>
      </c>
      <c r="I906">
        <f t="shared" ca="1" si="120"/>
        <v>-7.7508776729130393E-3</v>
      </c>
      <c r="O906">
        <f t="shared" ca="1" si="121"/>
        <v>1.460835127448634</v>
      </c>
      <c r="P906">
        <f t="shared" ca="1" si="122"/>
        <v>1.69574500533781</v>
      </c>
      <c r="Q906">
        <f t="shared" ca="1" si="123"/>
        <v>1.7041101606509503</v>
      </c>
      <c r="R906">
        <f t="shared" ca="1" si="124"/>
        <v>1.6789847245795413</v>
      </c>
    </row>
    <row r="907" spans="1:18" x14ac:dyDescent="0.3">
      <c r="A907" s="2">
        <f ca="1">IFERROR(__xludf.DUMMYFUNCTION("""COMPUTED_VALUE"""),45541.6666666666)</f>
        <v>45541.666666666599</v>
      </c>
      <c r="B907" s="1">
        <f ca="1">IFERROR(__xludf.DUMMYFUNCTION("""COMPUTED_VALUE"""),540.36)</f>
        <v>540.36</v>
      </c>
      <c r="C907" s="1">
        <f ca="1">IFERROR(__xludf.DUMMYFUNCTION("""COMPUTED_VALUE"""),220.82)</f>
        <v>220.82</v>
      </c>
      <c r="D907" s="1">
        <f ca="1">IFERROR(__xludf.DUMMYFUNCTION("""COMPUTED_VALUE"""),401.7)</f>
        <v>401.7</v>
      </c>
      <c r="E907" s="1">
        <f ca="1">IFERROR(__xludf.DUMMYFUNCTION("""COMPUTED_VALUE"""),212.46)</f>
        <v>212.46</v>
      </c>
      <c r="F907">
        <f t="shared" ca="1" si="117"/>
        <v>-1.6830115900365712E-2</v>
      </c>
      <c r="G907">
        <f t="shared" ca="1" si="118"/>
        <v>-7.0150193362712582E-3</v>
      </c>
      <c r="H907">
        <f t="shared" ca="1" si="119"/>
        <v>-1.6381400132226543E-2</v>
      </c>
      <c r="I907">
        <f t="shared" ca="1" si="120"/>
        <v>-2.3755916004227301E-2</v>
      </c>
      <c r="O907">
        <f t="shared" ca="1" si="121"/>
        <v>1.4362491029423479</v>
      </c>
      <c r="P907">
        <f t="shared" ca="1" si="122"/>
        <v>1.68384932133598</v>
      </c>
      <c r="Q907">
        <f t="shared" ca="1" si="123"/>
        <v>1.6761944502399342</v>
      </c>
      <c r="R907">
        <f t="shared" ca="1" si="124"/>
        <v>1.639098904490049</v>
      </c>
    </row>
    <row r="908" spans="1:18" x14ac:dyDescent="0.3">
      <c r="A908" s="2">
        <f ca="1">IFERROR(__xludf.DUMMYFUNCTION("""COMPUTED_VALUE"""),45544.6666666666)</f>
        <v>45544.666666666599</v>
      </c>
      <c r="B908" s="1">
        <f ca="1">IFERROR(__xludf.DUMMYFUNCTION("""COMPUTED_VALUE"""),546.41)</f>
        <v>546.41</v>
      </c>
      <c r="C908" s="1">
        <f ca="1">IFERROR(__xludf.DUMMYFUNCTION("""COMPUTED_VALUE"""),220.91)</f>
        <v>220.91</v>
      </c>
      <c r="D908" s="1">
        <f ca="1">IFERROR(__xludf.DUMMYFUNCTION("""COMPUTED_VALUE"""),405.72)</f>
        <v>405.72</v>
      </c>
      <c r="E908" s="1">
        <f ca="1">IFERROR(__xludf.DUMMYFUNCTION("""COMPUTED_VALUE"""),216.81)</f>
        <v>216.81</v>
      </c>
      <c r="F908">
        <f t="shared" ca="1" si="117"/>
        <v>1.1196239544007613E-2</v>
      </c>
      <c r="G908">
        <f t="shared" ca="1" si="118"/>
        <v>4.0757177791868223E-4</v>
      </c>
      <c r="H908">
        <f t="shared" ca="1" si="119"/>
        <v>1.0007468259895541E-2</v>
      </c>
      <c r="I908">
        <f t="shared" ca="1" si="120"/>
        <v>2.0474442247952529E-2</v>
      </c>
      <c r="O908">
        <f t="shared" ca="1" si="121"/>
        <v>1.4523296919437565</v>
      </c>
      <c r="P908">
        <f t="shared" ca="1" si="122"/>
        <v>1.6845356107976239</v>
      </c>
      <c r="Q908">
        <f t="shared" ca="1" si="123"/>
        <v>1.6929689129981236</v>
      </c>
      <c r="R908">
        <f t="shared" ca="1" si="124"/>
        <v>1.6726585403487129</v>
      </c>
    </row>
    <row r="909" spans="1:18" x14ac:dyDescent="0.3">
      <c r="A909" s="2">
        <f ca="1">IFERROR(__xludf.DUMMYFUNCTION("""COMPUTED_VALUE"""),45545.6666666666)</f>
        <v>45545.666666666599</v>
      </c>
      <c r="B909" s="1">
        <f ca="1">IFERROR(__xludf.DUMMYFUNCTION("""COMPUTED_VALUE"""),548.79)</f>
        <v>548.79</v>
      </c>
      <c r="C909" s="1">
        <f ca="1">IFERROR(__xludf.DUMMYFUNCTION("""COMPUTED_VALUE"""),220.11)</f>
        <v>220.11</v>
      </c>
      <c r="D909" s="1">
        <f ca="1">IFERROR(__xludf.DUMMYFUNCTION("""COMPUTED_VALUE"""),414.2)</f>
        <v>414.2</v>
      </c>
      <c r="E909" s="1">
        <f ca="1">IFERROR(__xludf.DUMMYFUNCTION("""COMPUTED_VALUE"""),205.56)</f>
        <v>205.56</v>
      </c>
      <c r="F909">
        <f t="shared" ca="1" si="117"/>
        <v>4.3557035925403916E-3</v>
      </c>
      <c r="G909">
        <f t="shared" ca="1" si="118"/>
        <v>-3.6213842741387122E-3</v>
      </c>
      <c r="H909">
        <f t="shared" ca="1" si="119"/>
        <v>2.0901114068815837E-2</v>
      </c>
      <c r="I909">
        <f t="shared" ca="1" si="120"/>
        <v>-5.1888750518887507E-2</v>
      </c>
      <c r="O909">
        <f t="shared" ca="1" si="121"/>
        <v>1.458655609600509</v>
      </c>
      <c r="P909">
        <f t="shared" ca="1" si="122"/>
        <v>1.6784352600274548</v>
      </c>
      <c r="Q909">
        <f t="shared" ca="1" si="123"/>
        <v>1.7283538493636563</v>
      </c>
      <c r="R909">
        <f t="shared" ca="1" si="124"/>
        <v>1.585866378645272</v>
      </c>
    </row>
    <row r="910" spans="1:18" x14ac:dyDescent="0.3">
      <c r="A910" s="2">
        <f ca="1">IFERROR(__xludf.DUMMYFUNCTION("""COMPUTED_VALUE"""),45546.6666666666)</f>
        <v>45546.666666666599</v>
      </c>
      <c r="B910" s="1">
        <f ca="1">IFERROR(__xludf.DUMMYFUNCTION("""COMPUTED_VALUE"""),554.42)</f>
        <v>554.41999999999996</v>
      </c>
      <c r="C910" s="1">
        <f ca="1">IFERROR(__xludf.DUMMYFUNCTION("""COMPUTED_VALUE"""),222.66)</f>
        <v>222.66</v>
      </c>
      <c r="D910" s="1">
        <f ca="1">IFERROR(__xludf.DUMMYFUNCTION("""COMPUTED_VALUE"""),423.04)</f>
        <v>423.04</v>
      </c>
      <c r="E910" s="1">
        <f ca="1">IFERROR(__xludf.DUMMYFUNCTION("""COMPUTED_VALUE"""),207.23)</f>
        <v>207.23</v>
      </c>
      <c r="F910">
        <f t="shared" ca="1" si="117"/>
        <v>1.0258933289600751E-2</v>
      </c>
      <c r="G910">
        <f t="shared" ca="1" si="118"/>
        <v>1.1585116532642692E-2</v>
      </c>
      <c r="H910">
        <f t="shared" ca="1" si="119"/>
        <v>2.13423466924192E-2</v>
      </c>
      <c r="I910">
        <f t="shared" ca="1" si="120"/>
        <v>8.1241486670557868E-3</v>
      </c>
      <c r="O910">
        <f t="shared" ca="1" si="121"/>
        <v>1.4736198601919026</v>
      </c>
      <c r="P910">
        <f t="shared" ca="1" si="122"/>
        <v>1.6978801281073692</v>
      </c>
      <c r="Q910">
        <f t="shared" ca="1" si="123"/>
        <v>1.7652409764239527</v>
      </c>
      <c r="R910">
        <f t="shared" ca="1" si="124"/>
        <v>1.5987501928714716</v>
      </c>
    </row>
    <row r="911" spans="1:18" x14ac:dyDescent="0.3">
      <c r="A911" s="2">
        <f ca="1">IFERROR(__xludf.DUMMYFUNCTION("""COMPUTED_VALUE"""),45547.6666666666)</f>
        <v>45547.666666666599</v>
      </c>
      <c r="B911" s="1">
        <f ca="1">IFERROR(__xludf.DUMMYFUNCTION("""COMPUTED_VALUE"""),559.09)</f>
        <v>559.09</v>
      </c>
      <c r="C911" s="1">
        <f ca="1">IFERROR(__xludf.DUMMYFUNCTION("""COMPUTED_VALUE"""),222.77)</f>
        <v>222.77</v>
      </c>
      <c r="D911" s="1">
        <f ca="1">IFERROR(__xludf.DUMMYFUNCTION("""COMPUTED_VALUE"""),427)</f>
        <v>427</v>
      </c>
      <c r="E911" s="1">
        <f ca="1">IFERROR(__xludf.DUMMYFUNCTION("""COMPUTED_VALUE"""),206.6)</f>
        <v>206.6</v>
      </c>
      <c r="F911">
        <f t="shared" ca="1" si="117"/>
        <v>8.4232170556619041E-3</v>
      </c>
      <c r="G911">
        <f t="shared" ca="1" si="118"/>
        <v>4.9402676726854238E-4</v>
      </c>
      <c r="H911">
        <f t="shared" ca="1" si="119"/>
        <v>9.3608169440241567E-3</v>
      </c>
      <c r="I911">
        <f t="shared" ca="1" si="120"/>
        <v>-3.0401003715678013E-3</v>
      </c>
      <c r="O911">
        <f t="shared" ca="1" si="121"/>
        <v>1.4860324801318332</v>
      </c>
      <c r="P911">
        <f t="shared" ca="1" si="122"/>
        <v>1.6987189263382678</v>
      </c>
      <c r="Q911">
        <f t="shared" ca="1" si="123"/>
        <v>1.781765074066348</v>
      </c>
      <c r="R911">
        <f t="shared" ca="1" si="124"/>
        <v>1.593889831816079</v>
      </c>
    </row>
    <row r="912" spans="1:18" x14ac:dyDescent="0.3">
      <c r="A912" s="2">
        <f ca="1">IFERROR(__xludf.DUMMYFUNCTION("""COMPUTED_VALUE"""),45548.6666666666)</f>
        <v>45548.666666666599</v>
      </c>
      <c r="B912" s="1">
        <f ca="1">IFERROR(__xludf.DUMMYFUNCTION("""COMPUTED_VALUE"""),562.01)</f>
        <v>562.01</v>
      </c>
      <c r="C912" s="1">
        <f ca="1">IFERROR(__xludf.DUMMYFUNCTION("""COMPUTED_VALUE"""),222.5)</f>
        <v>222.5</v>
      </c>
      <c r="D912" s="1">
        <f ca="1">IFERROR(__xludf.DUMMYFUNCTION("""COMPUTED_VALUE"""),430.59)</f>
        <v>430.59</v>
      </c>
      <c r="E912" s="1">
        <f ca="1">IFERROR(__xludf.DUMMYFUNCTION("""COMPUTED_VALUE"""),204.32)</f>
        <v>204.32</v>
      </c>
      <c r="F912">
        <f t="shared" ca="1" si="117"/>
        <v>5.2227727199555688E-3</v>
      </c>
      <c r="G912">
        <f t="shared" ca="1" si="118"/>
        <v>-1.2120123894600271E-3</v>
      </c>
      <c r="H912">
        <f t="shared" ca="1" si="119"/>
        <v>8.4074941451990053E-3</v>
      </c>
      <c r="I912">
        <f t="shared" ca="1" si="120"/>
        <v>-1.1035818005808331E-2</v>
      </c>
      <c r="O912">
        <f t="shared" ca="1" si="121"/>
        <v>1.4937936900300337</v>
      </c>
      <c r="P912">
        <f t="shared" ca="1" si="122"/>
        <v>1.6966600579533357</v>
      </c>
      <c r="Q912">
        <f t="shared" ca="1" si="123"/>
        <v>1.7967452534946808</v>
      </c>
      <c r="R912">
        <f t="shared" ca="1" si="124"/>
        <v>1.5762999537108484</v>
      </c>
    </row>
    <row r="913" spans="1:18" x14ac:dyDescent="0.3">
      <c r="A913" s="2">
        <f ca="1">IFERROR(__xludf.DUMMYFUNCTION("""COMPUTED_VALUE"""),45551.6666666666)</f>
        <v>45551.666666666599</v>
      </c>
      <c r="B913" s="1">
        <f ca="1">IFERROR(__xludf.DUMMYFUNCTION("""COMPUTED_VALUE"""),562.84)</f>
        <v>562.84</v>
      </c>
      <c r="C913" s="1">
        <f ca="1">IFERROR(__xludf.DUMMYFUNCTION("""COMPUTED_VALUE"""),216.32)</f>
        <v>216.32</v>
      </c>
      <c r="D913" s="1">
        <f ca="1">IFERROR(__xludf.DUMMYFUNCTION("""COMPUTED_VALUE"""),431.34)</f>
        <v>431.34</v>
      </c>
      <c r="E913" s="1">
        <f ca="1">IFERROR(__xludf.DUMMYFUNCTION("""COMPUTED_VALUE"""),207.86)</f>
        <v>207.86</v>
      </c>
      <c r="F913">
        <f t="shared" ca="1" si="117"/>
        <v>1.4768420490739328E-3</v>
      </c>
      <c r="G913">
        <f t="shared" ca="1" si="118"/>
        <v>-2.7775280898876435E-2</v>
      </c>
      <c r="H913">
        <f t="shared" ca="1" si="119"/>
        <v>1.7417961401797535E-3</v>
      </c>
      <c r="I913">
        <f t="shared" ca="1" si="120"/>
        <v>1.7325763508222496E-2</v>
      </c>
      <c r="O913">
        <f t="shared" ca="1" si="121"/>
        <v>1.4959997873641113</v>
      </c>
      <c r="P913">
        <f t="shared" ca="1" si="122"/>
        <v>1.6495348482537777</v>
      </c>
      <c r="Q913">
        <f t="shared" ca="1" si="123"/>
        <v>1.7998748174421042</v>
      </c>
      <c r="R913">
        <f t="shared" ca="1" si="124"/>
        <v>1.6036105539268646</v>
      </c>
    </row>
    <row r="914" spans="1:18" x14ac:dyDescent="0.3">
      <c r="A914" s="2">
        <f ca="1">IFERROR(__xludf.DUMMYFUNCTION("""COMPUTED_VALUE"""),45552.6666666666)</f>
        <v>45552.666666666599</v>
      </c>
      <c r="B914" s="1">
        <f ca="1">IFERROR(__xludf.DUMMYFUNCTION("""COMPUTED_VALUE"""),563.07)</f>
        <v>563.07000000000005</v>
      </c>
      <c r="C914" s="1">
        <f ca="1">IFERROR(__xludf.DUMMYFUNCTION("""COMPUTED_VALUE"""),216.79)</f>
        <v>216.79</v>
      </c>
      <c r="D914" s="1">
        <f ca="1">IFERROR(__xludf.DUMMYFUNCTION("""COMPUTED_VALUE"""),435.15)</f>
        <v>435.15</v>
      </c>
      <c r="E914" s="1">
        <f ca="1">IFERROR(__xludf.DUMMYFUNCTION("""COMPUTED_VALUE"""),209.25)</f>
        <v>209.25</v>
      </c>
      <c r="F914">
        <f t="shared" ca="1" si="117"/>
        <v>4.086418875702121E-4</v>
      </c>
      <c r="G914">
        <f t="shared" ca="1" si="118"/>
        <v>2.1727071005917106E-3</v>
      </c>
      <c r="H914">
        <f t="shared" ca="1" si="119"/>
        <v>8.8329392126860543E-3</v>
      </c>
      <c r="I914">
        <f t="shared" ca="1" si="120"/>
        <v>6.68719330318477E-3</v>
      </c>
      <c r="O914">
        <f t="shared" ca="1" si="121"/>
        <v>1.4966111155410244</v>
      </c>
      <c r="P914">
        <f t="shared" ca="1" si="122"/>
        <v>1.6531188043312521</v>
      </c>
      <c r="Q914">
        <f t="shared" ca="1" si="123"/>
        <v>1.8157730022950147</v>
      </c>
      <c r="R914">
        <f t="shared" ca="1" si="124"/>
        <v>1.6143342076840006</v>
      </c>
    </row>
    <row r="915" spans="1:18" x14ac:dyDescent="0.3">
      <c r="A915" s="2">
        <f ca="1">IFERROR(__xludf.DUMMYFUNCTION("""COMPUTED_VALUE"""),45553.6666666666)</f>
        <v>45553.666666666599</v>
      </c>
      <c r="B915" s="1">
        <f ca="1">IFERROR(__xludf.DUMMYFUNCTION("""COMPUTED_VALUE"""),561.4)</f>
        <v>561.4</v>
      </c>
      <c r="C915" s="1">
        <f ca="1">IFERROR(__xludf.DUMMYFUNCTION("""COMPUTED_VALUE"""),220.69)</f>
        <v>220.69</v>
      </c>
      <c r="D915" s="1">
        <f ca="1">IFERROR(__xludf.DUMMYFUNCTION("""COMPUTED_VALUE"""),430.81)</f>
        <v>430.81</v>
      </c>
      <c r="E915" s="1">
        <f ca="1">IFERROR(__xludf.DUMMYFUNCTION("""COMPUTED_VALUE"""),207.53)</f>
        <v>207.53</v>
      </c>
      <c r="F915">
        <f t="shared" ca="1" si="117"/>
        <v>-2.9658834603158977E-3</v>
      </c>
      <c r="G915">
        <f t="shared" ca="1" si="118"/>
        <v>1.7989759675261802E-2</v>
      </c>
      <c r="H915">
        <f t="shared" ca="1" si="119"/>
        <v>-9.973572331379927E-3</v>
      </c>
      <c r="I915">
        <f t="shared" ca="1" si="120"/>
        <v>-8.2198327359617636E-3</v>
      </c>
      <c r="O915">
        <f t="shared" ca="1" si="121"/>
        <v>1.4921723413869163</v>
      </c>
      <c r="P915">
        <f t="shared" ca="1" si="122"/>
        <v>1.6828580143358276</v>
      </c>
      <c r="Q915">
        <f t="shared" ca="1" si="123"/>
        <v>1.7976632589192585</v>
      </c>
      <c r="R915">
        <f t="shared" ca="1" si="124"/>
        <v>1.6010646505168968</v>
      </c>
    </row>
    <row r="916" spans="1:18" x14ac:dyDescent="0.3">
      <c r="A916" s="2">
        <f ca="1">IFERROR(__xludf.DUMMYFUNCTION("""COMPUTED_VALUE"""),45554.6666666666)</f>
        <v>45554.666666666599</v>
      </c>
      <c r="B916" s="1">
        <f ca="1">IFERROR(__xludf.DUMMYFUNCTION("""COMPUTED_VALUE"""),570.98)</f>
        <v>570.98</v>
      </c>
      <c r="C916" s="1">
        <f ca="1">IFERROR(__xludf.DUMMYFUNCTION("""COMPUTED_VALUE"""),228.87)</f>
        <v>228.87</v>
      </c>
      <c r="D916" s="1">
        <f ca="1">IFERROR(__xludf.DUMMYFUNCTION("""COMPUTED_VALUE"""),438.69)</f>
        <v>438.69</v>
      </c>
      <c r="E916" s="1">
        <f ca="1">IFERROR(__xludf.DUMMYFUNCTION("""COMPUTED_VALUE"""),210.48)</f>
        <v>210.48</v>
      </c>
      <c r="F916">
        <f t="shared" ca="1" si="117"/>
        <v>1.7064481653010406E-2</v>
      </c>
      <c r="G916">
        <f t="shared" ca="1" si="118"/>
        <v>3.706556708505146E-2</v>
      </c>
      <c r="H916">
        <f t="shared" ca="1" si="119"/>
        <v>1.8291126018430387E-2</v>
      </c>
      <c r="I916">
        <f t="shared" ca="1" si="120"/>
        <v>1.4214812316291566E-2</v>
      </c>
      <c r="O916">
        <f t="shared" ca="1" si="121"/>
        <v>1.5176354889296428</v>
      </c>
      <c r="P916">
        <f t="shared" ca="1" si="122"/>
        <v>1.7452341009608088</v>
      </c>
      <c r="Q916">
        <f t="shared" ca="1" si="123"/>
        <v>1.8305445441268529</v>
      </c>
      <c r="R916">
        <f t="shared" ca="1" si="124"/>
        <v>1.6238234840302435</v>
      </c>
    </row>
    <row r="917" spans="1:18" x14ac:dyDescent="0.3">
      <c r="A917" s="2">
        <f ca="1">IFERROR(__xludf.DUMMYFUNCTION("""COMPUTED_VALUE"""),45555.6666666666)</f>
        <v>45555.666666666599</v>
      </c>
      <c r="B917" s="1">
        <f ca="1">IFERROR(__xludf.DUMMYFUNCTION("""COMPUTED_VALUE"""),568.25)</f>
        <v>568.25</v>
      </c>
      <c r="C917" s="1">
        <f ca="1">IFERROR(__xludf.DUMMYFUNCTION("""COMPUTED_VALUE"""),228.2)</f>
        <v>228.2</v>
      </c>
      <c r="D917" s="1">
        <f ca="1">IFERROR(__xludf.DUMMYFUNCTION("""COMPUTED_VALUE"""),435.27)</f>
        <v>435.27</v>
      </c>
      <c r="E917" s="1">
        <f ca="1">IFERROR(__xludf.DUMMYFUNCTION("""COMPUTED_VALUE"""),211.09)</f>
        <v>211.09</v>
      </c>
      <c r="F917">
        <f t="shared" ca="1" si="117"/>
        <v>-4.7812532838278363E-3</v>
      </c>
      <c r="G917">
        <f t="shared" ca="1" si="118"/>
        <v>-2.9274260497226196E-3</v>
      </c>
      <c r="H917">
        <f t="shared" ca="1" si="119"/>
        <v>-7.7959379060384693E-3</v>
      </c>
      <c r="I917">
        <f t="shared" ca="1" si="120"/>
        <v>2.8981375902699244E-3</v>
      </c>
      <c r="O917">
        <f t="shared" ca="1" si="121"/>
        <v>1.5103792892645442</v>
      </c>
      <c r="P917">
        <f t="shared" ca="1" si="122"/>
        <v>1.7401250571907918</v>
      </c>
      <c r="Q917">
        <f t="shared" ca="1" si="123"/>
        <v>1.8162737325266023</v>
      </c>
      <c r="R917">
        <f t="shared" ca="1" si="124"/>
        <v>1.6285295479092745</v>
      </c>
    </row>
    <row r="918" spans="1:18" x14ac:dyDescent="0.3">
      <c r="A918" s="2">
        <f ca="1">IFERROR(__xludf.DUMMYFUNCTION("""COMPUTED_VALUE"""),45558.6666666666)</f>
        <v>45558.666666666599</v>
      </c>
      <c r="B918" s="1">
        <f ca="1">IFERROR(__xludf.DUMMYFUNCTION("""COMPUTED_VALUE"""),569.67)</f>
        <v>569.66999999999996</v>
      </c>
      <c r="C918" s="1">
        <f ca="1">IFERROR(__xludf.DUMMYFUNCTION("""COMPUTED_VALUE"""),226.47)</f>
        <v>226.47</v>
      </c>
      <c r="D918" s="1">
        <f ca="1">IFERROR(__xludf.DUMMYFUNCTION("""COMPUTED_VALUE"""),433.51)</f>
        <v>433.51</v>
      </c>
      <c r="E918" s="1">
        <f ca="1">IFERROR(__xludf.DUMMYFUNCTION("""COMPUTED_VALUE"""),211.44)</f>
        <v>211.44</v>
      </c>
      <c r="F918">
        <f t="shared" ca="1" si="117"/>
        <v>2.49890013198409E-3</v>
      </c>
      <c r="G918">
        <f t="shared" ca="1" si="118"/>
        <v>-7.5810692375109104E-3</v>
      </c>
      <c r="H918">
        <f t="shared" ca="1" si="119"/>
        <v>-4.0434672731867365E-3</v>
      </c>
      <c r="I918">
        <f t="shared" ca="1" si="120"/>
        <v>1.6580605428963679E-3</v>
      </c>
      <c r="O918">
        <f t="shared" ca="1" si="121"/>
        <v>1.5141535762698335</v>
      </c>
      <c r="P918">
        <f t="shared" ca="1" si="122"/>
        <v>1.7269330486503007</v>
      </c>
      <c r="Q918">
        <f t="shared" ca="1" si="123"/>
        <v>1.8089296891299822</v>
      </c>
      <c r="R918">
        <f t="shared" ca="1" si="124"/>
        <v>1.6312297484956038</v>
      </c>
    </row>
    <row r="919" spans="1:18" x14ac:dyDescent="0.3">
      <c r="A919" s="2">
        <f ca="1">IFERROR(__xludf.DUMMYFUNCTION("""COMPUTED_VALUE"""),45559.6666666666)</f>
        <v>45559.666666666599</v>
      </c>
      <c r="B919" s="1">
        <f ca="1">IFERROR(__xludf.DUMMYFUNCTION("""COMPUTED_VALUE"""),571.3)</f>
        <v>571.29999999999995</v>
      </c>
      <c r="C919" s="1">
        <f ca="1">IFERROR(__xludf.DUMMYFUNCTION("""COMPUTED_VALUE"""),227.37)</f>
        <v>227.37</v>
      </c>
      <c r="D919" s="1">
        <f ca="1">IFERROR(__xludf.DUMMYFUNCTION("""COMPUTED_VALUE"""),429.17)</f>
        <v>429.17</v>
      </c>
      <c r="E919" s="1">
        <f ca="1">IFERROR(__xludf.DUMMYFUNCTION("""COMPUTED_VALUE"""),211.59)</f>
        <v>211.59</v>
      </c>
      <c r="F919">
        <f t="shared" ca="1" si="117"/>
        <v>2.8613056681938589E-3</v>
      </c>
      <c r="G919">
        <f t="shared" ca="1" si="118"/>
        <v>3.9740362961981973E-3</v>
      </c>
      <c r="H919">
        <f t="shared" ca="1" si="119"/>
        <v>-1.0011303084127184E-2</v>
      </c>
      <c r="I919">
        <f t="shared" ca="1" si="120"/>
        <v>7.0942111237233107E-4</v>
      </c>
      <c r="O919">
        <f t="shared" ca="1" si="121"/>
        <v>1.5184860324801304</v>
      </c>
      <c r="P919">
        <f t="shared" ca="1" si="122"/>
        <v>1.7337959432667411</v>
      </c>
      <c r="Q919">
        <f t="shared" ca="1" si="123"/>
        <v>1.790819945754226</v>
      </c>
      <c r="R919">
        <f t="shared" ca="1" si="124"/>
        <v>1.6323869773183164</v>
      </c>
    </row>
    <row r="920" spans="1:18" x14ac:dyDescent="0.3">
      <c r="A920" s="2">
        <f ca="1">IFERROR(__xludf.DUMMYFUNCTION("""COMPUTED_VALUE"""),45560.6666666666)</f>
        <v>45560.666666666599</v>
      </c>
      <c r="B920" s="1">
        <f ca="1">IFERROR(__xludf.DUMMYFUNCTION("""COMPUTED_VALUE"""),570.04)</f>
        <v>570.04</v>
      </c>
      <c r="C920" s="1">
        <f ca="1">IFERROR(__xludf.DUMMYFUNCTION("""COMPUTED_VALUE"""),226.37)</f>
        <v>226.37</v>
      </c>
      <c r="D920" s="1">
        <f ca="1">IFERROR(__xludf.DUMMYFUNCTION("""COMPUTED_VALUE"""),432.11)</f>
        <v>432.11</v>
      </c>
      <c r="E920" s="1">
        <f ca="1">IFERROR(__xludf.DUMMYFUNCTION("""COMPUTED_VALUE"""),210.19)</f>
        <v>210.19</v>
      </c>
      <c r="F920">
        <f t="shared" ca="1" si="117"/>
        <v>-2.2054962366532312E-3</v>
      </c>
      <c r="G920">
        <f t="shared" ca="1" si="118"/>
        <v>-4.3981176056647753E-3</v>
      </c>
      <c r="H920">
        <f t="shared" ca="1" si="119"/>
        <v>6.85043222965258E-3</v>
      </c>
      <c r="I920">
        <f t="shared" ca="1" si="120"/>
        <v>-6.6165697811806116E-3</v>
      </c>
      <c r="O920">
        <f t="shared" ca="1" si="121"/>
        <v>1.5151370172500849</v>
      </c>
      <c r="P920">
        <f t="shared" ca="1" si="122"/>
        <v>1.7261705048040294</v>
      </c>
      <c r="Q920">
        <f t="shared" ca="1" si="123"/>
        <v>1.8030878364281253</v>
      </c>
      <c r="R920">
        <f t="shared" ca="1" si="124"/>
        <v>1.6215861749729992</v>
      </c>
    </row>
    <row r="921" spans="1:18" x14ac:dyDescent="0.3">
      <c r="A921" s="2">
        <f ca="1">IFERROR(__xludf.DUMMYFUNCTION("""COMPUTED_VALUE"""),45561.6666666666)</f>
        <v>45561.666666666599</v>
      </c>
      <c r="B921" s="1">
        <f ca="1">IFERROR(__xludf.DUMMYFUNCTION("""COMPUTED_VALUE"""),572.3)</f>
        <v>572.29999999999995</v>
      </c>
      <c r="C921" s="1">
        <f ca="1">IFERROR(__xludf.DUMMYFUNCTION("""COMPUTED_VALUE"""),227.52)</f>
        <v>227.52</v>
      </c>
      <c r="D921" s="1">
        <f ca="1">IFERROR(__xludf.DUMMYFUNCTION("""COMPUTED_VALUE"""),431.31)</f>
        <v>431.31</v>
      </c>
      <c r="E921" s="1">
        <f ca="1">IFERROR(__xludf.DUMMYFUNCTION("""COMPUTED_VALUE"""),209.78)</f>
        <v>209.78</v>
      </c>
      <c r="F921">
        <f t="shared" ca="1" si="117"/>
        <v>3.9646340607676495E-3</v>
      </c>
      <c r="G921">
        <f t="shared" ca="1" si="118"/>
        <v>5.0801784688784104E-3</v>
      </c>
      <c r="H921">
        <f t="shared" ca="1" si="119"/>
        <v>-1.8513804355372737E-3</v>
      </c>
      <c r="I921">
        <f t="shared" ca="1" si="120"/>
        <v>-1.9506161092344859E-3</v>
      </c>
      <c r="O921">
        <f t="shared" ca="1" si="121"/>
        <v>1.5211439810754046</v>
      </c>
      <c r="P921">
        <f t="shared" ca="1" si="122"/>
        <v>1.7349397590361477</v>
      </c>
      <c r="Q921">
        <f t="shared" ca="1" si="123"/>
        <v>1.799749634884207</v>
      </c>
      <c r="R921">
        <f t="shared" ca="1" si="124"/>
        <v>1.6184230828575847</v>
      </c>
    </row>
    <row r="922" spans="1:18" x14ac:dyDescent="0.3">
      <c r="A922" s="2">
        <f ca="1">IFERROR(__xludf.DUMMYFUNCTION("""COMPUTED_VALUE"""),45562.6666666666)</f>
        <v>45562.666666666599</v>
      </c>
      <c r="B922" s="1">
        <f ca="1">IFERROR(__xludf.DUMMYFUNCTION("""COMPUTED_VALUE"""),571.47)</f>
        <v>571.47</v>
      </c>
      <c r="C922" s="1">
        <f ca="1">IFERROR(__xludf.DUMMYFUNCTION("""COMPUTED_VALUE"""),227.79)</f>
        <v>227.79</v>
      </c>
      <c r="D922" s="1">
        <f ca="1">IFERROR(__xludf.DUMMYFUNCTION("""COMPUTED_VALUE"""),428.02)</f>
        <v>428.02</v>
      </c>
      <c r="E922" s="1">
        <f ca="1">IFERROR(__xludf.DUMMYFUNCTION("""COMPUTED_VALUE"""),210.5)</f>
        <v>210.5</v>
      </c>
      <c r="F922">
        <f t="shared" ca="1" si="117"/>
        <v>-1.4502883103266247E-3</v>
      </c>
      <c r="G922">
        <f t="shared" ca="1" si="118"/>
        <v>1.1867088607594137E-3</v>
      </c>
      <c r="H922">
        <f t="shared" ca="1" si="119"/>
        <v>-7.6279242308316996E-3</v>
      </c>
      <c r="I922">
        <f t="shared" ca="1" si="120"/>
        <v>3.4321670321288914E-3</v>
      </c>
      <c r="O922">
        <f t="shared" ca="1" si="121"/>
        <v>1.5189378837413272</v>
      </c>
      <c r="P922">
        <f t="shared" ca="1" si="122"/>
        <v>1.7369986274210796</v>
      </c>
      <c r="Q922">
        <f t="shared" ca="1" si="123"/>
        <v>1.7860212810348433</v>
      </c>
      <c r="R922">
        <f t="shared" ca="1" si="124"/>
        <v>1.623977781206605</v>
      </c>
    </row>
    <row r="923" spans="1:18" x14ac:dyDescent="0.3">
      <c r="A923" s="2">
        <f ca="1">IFERROR(__xludf.DUMMYFUNCTION("""COMPUTED_VALUE"""),45565.6666666666)</f>
        <v>45565.666666666599</v>
      </c>
      <c r="B923" s="1">
        <f ca="1">IFERROR(__xludf.DUMMYFUNCTION("""COMPUTED_VALUE"""),573.76)</f>
        <v>573.76</v>
      </c>
      <c r="C923" s="1">
        <f ca="1">IFERROR(__xludf.DUMMYFUNCTION("""COMPUTED_VALUE"""),233)</f>
        <v>233</v>
      </c>
      <c r="D923" s="1">
        <f ca="1">IFERROR(__xludf.DUMMYFUNCTION("""COMPUTED_VALUE"""),430.3)</f>
        <v>430.3</v>
      </c>
      <c r="E923" s="1">
        <f ca="1">IFERROR(__xludf.DUMMYFUNCTION("""COMPUTED_VALUE"""),210.86)</f>
        <v>210.86</v>
      </c>
      <c r="F923">
        <f t="shared" ca="1" si="117"/>
        <v>4.007209477312831E-3</v>
      </c>
      <c r="G923">
        <f t="shared" ca="1" si="118"/>
        <v>2.2871943456692603E-2</v>
      </c>
      <c r="H923">
        <f t="shared" ca="1" si="119"/>
        <v>5.3268538853325307E-3</v>
      </c>
      <c r="I923">
        <f t="shared" ca="1" si="120"/>
        <v>1.7102137767221551E-3</v>
      </c>
      <c r="O923">
        <f t="shared" ca="1" si="121"/>
        <v>1.5250245860245051</v>
      </c>
      <c r="P923">
        <f t="shared" ca="1" si="122"/>
        <v>1.7767271618118072</v>
      </c>
      <c r="Q923">
        <f t="shared" ca="1" si="123"/>
        <v>1.7955351554350105</v>
      </c>
      <c r="R923">
        <f t="shared" ca="1" si="124"/>
        <v>1.6267551303811152</v>
      </c>
    </row>
    <row r="924" spans="1:18" x14ac:dyDescent="0.3">
      <c r="A924" s="2">
        <f ca="1">IFERROR(__xludf.DUMMYFUNCTION("""COMPUTED_VALUE"""),45566.6666666666)</f>
        <v>45566.666666666599</v>
      </c>
      <c r="B924" s="1">
        <f ca="1">IFERROR(__xludf.DUMMYFUNCTION("""COMPUTED_VALUE"""),568.62)</f>
        <v>568.62</v>
      </c>
      <c r="C924" s="1">
        <f ca="1">IFERROR(__xludf.DUMMYFUNCTION("""COMPUTED_VALUE"""),226.21)</f>
        <v>226.21</v>
      </c>
      <c r="D924" s="1">
        <f ca="1">IFERROR(__xludf.DUMMYFUNCTION("""COMPUTED_VALUE"""),420.69)</f>
        <v>420.69</v>
      </c>
      <c r="E924" s="1">
        <f ca="1">IFERROR(__xludf.DUMMYFUNCTION("""COMPUTED_VALUE"""),207.04)</f>
        <v>207.04</v>
      </c>
      <c r="F924">
        <f t="shared" ca="1" si="117"/>
        <v>-8.9584495259341645E-3</v>
      </c>
      <c r="G924">
        <f t="shared" ca="1" si="118"/>
        <v>-2.9141630901287519E-2</v>
      </c>
      <c r="H924">
        <f t="shared" ca="1" si="119"/>
        <v>-2.2333255867999103E-2</v>
      </c>
      <c r="I924">
        <f t="shared" ca="1" si="120"/>
        <v>-1.8116285687185912E-2</v>
      </c>
      <c r="O924">
        <f t="shared" ca="1" si="121"/>
        <v>1.5113627302447958</v>
      </c>
      <c r="P924">
        <f t="shared" ca="1" si="122"/>
        <v>1.7249504346499953</v>
      </c>
      <c r="Q924">
        <f t="shared" ca="1" si="123"/>
        <v>1.755435009388693</v>
      </c>
      <c r="R924">
        <f t="shared" ca="1" si="124"/>
        <v>1.5972843696960355</v>
      </c>
    </row>
    <row r="925" spans="1:18" x14ac:dyDescent="0.3">
      <c r="A925" s="2">
        <f ca="1">IFERROR(__xludf.DUMMYFUNCTION("""COMPUTED_VALUE"""),45567.6666666666)</f>
        <v>45567.666666666599</v>
      </c>
      <c r="B925" s="1">
        <f ca="1">IFERROR(__xludf.DUMMYFUNCTION("""COMPUTED_VALUE"""),568.86)</f>
        <v>568.86</v>
      </c>
      <c r="C925" s="1">
        <f ca="1">IFERROR(__xludf.DUMMYFUNCTION("""COMPUTED_VALUE"""),226.78)</f>
        <v>226.78</v>
      </c>
      <c r="D925" s="1">
        <f ca="1">IFERROR(__xludf.DUMMYFUNCTION("""COMPUTED_VALUE"""),417.13)</f>
        <v>417.13</v>
      </c>
      <c r="E925" s="1">
        <f ca="1">IFERROR(__xludf.DUMMYFUNCTION("""COMPUTED_VALUE"""),207.29)</f>
        <v>207.29</v>
      </c>
      <c r="F925">
        <f t="shared" ca="1" si="117"/>
        <v>4.2207449614858623E-4</v>
      </c>
      <c r="G925">
        <f t="shared" ca="1" si="118"/>
        <v>2.5197825029839227E-3</v>
      </c>
      <c r="H925">
        <f t="shared" ca="1" si="119"/>
        <v>-8.462288145665459E-3</v>
      </c>
      <c r="I925">
        <f t="shared" ca="1" si="120"/>
        <v>1.2074961360123647E-3</v>
      </c>
      <c r="O925">
        <f t="shared" ca="1" si="121"/>
        <v>1.5120006379076616</v>
      </c>
      <c r="P925">
        <f t="shared" ca="1" si="122"/>
        <v>1.7292969345737408</v>
      </c>
      <c r="Q925">
        <f t="shared" ca="1" si="123"/>
        <v>1.7405800125182571</v>
      </c>
      <c r="R925">
        <f t="shared" ca="1" si="124"/>
        <v>1.5992130844005565</v>
      </c>
    </row>
    <row r="926" spans="1:18" x14ac:dyDescent="0.3">
      <c r="A926" s="2">
        <f ca="1">IFERROR(__xludf.DUMMYFUNCTION("""COMPUTED_VALUE"""),45568.6666666666)</f>
        <v>45568.666666666599</v>
      </c>
      <c r="B926" s="1">
        <f ca="1">IFERROR(__xludf.DUMMYFUNCTION("""COMPUTED_VALUE"""),567.82)</f>
        <v>567.82000000000005</v>
      </c>
      <c r="C926" s="1">
        <f ca="1">IFERROR(__xludf.DUMMYFUNCTION("""COMPUTED_VALUE"""),225.67)</f>
        <v>225.67</v>
      </c>
      <c r="D926" s="1">
        <f ca="1">IFERROR(__xludf.DUMMYFUNCTION("""COMPUTED_VALUE"""),416.54)</f>
        <v>416.54</v>
      </c>
      <c r="E926" s="1">
        <f ca="1">IFERROR(__xludf.DUMMYFUNCTION("""COMPUTED_VALUE"""),205.23)</f>
        <v>205.23</v>
      </c>
      <c r="F926">
        <f t="shared" ca="1" si="117"/>
        <v>-1.8282178391870823E-3</v>
      </c>
      <c r="G926">
        <f t="shared" ca="1" si="118"/>
        <v>-4.8946115177705869E-3</v>
      </c>
      <c r="H926">
        <f t="shared" ca="1" si="119"/>
        <v>-1.4144271570013544E-3</v>
      </c>
      <c r="I926">
        <f t="shared" ca="1" si="120"/>
        <v>-9.9377683438660932E-3</v>
      </c>
      <c r="O926">
        <f t="shared" ca="1" si="121"/>
        <v>1.5092363713685766</v>
      </c>
      <c r="P926">
        <f t="shared" ca="1" si="122"/>
        <v>1.7208326978801307</v>
      </c>
      <c r="Q926">
        <f t="shared" ca="1" si="123"/>
        <v>1.7381180888796175</v>
      </c>
      <c r="R926">
        <f t="shared" ca="1" si="124"/>
        <v>1.5833204752353043</v>
      </c>
    </row>
    <row r="927" spans="1:18" x14ac:dyDescent="0.3">
      <c r="A927" s="2">
        <f ca="1">IFERROR(__xludf.DUMMYFUNCTION("""COMPUTED_VALUE"""),45569.6666666666)</f>
        <v>45569.666666666599</v>
      </c>
      <c r="B927" s="1">
        <f ca="1">IFERROR(__xludf.DUMMYFUNCTION("""COMPUTED_VALUE"""),572.98)</f>
        <v>572.98</v>
      </c>
      <c r="C927" s="1">
        <f ca="1">IFERROR(__xludf.DUMMYFUNCTION("""COMPUTED_VALUE"""),226.8)</f>
        <v>226.8</v>
      </c>
      <c r="D927" s="1">
        <f ca="1">IFERROR(__xludf.DUMMYFUNCTION("""COMPUTED_VALUE"""),416.06)</f>
        <v>416.06</v>
      </c>
      <c r="E927" s="1">
        <f ca="1">IFERROR(__xludf.DUMMYFUNCTION("""COMPUTED_VALUE"""),211.22)</f>
        <v>211.22</v>
      </c>
      <c r="F927">
        <f t="shared" ca="1" si="117"/>
        <v>9.0873868479447138E-3</v>
      </c>
      <c r="G927">
        <f t="shared" ca="1" si="118"/>
        <v>5.0073115611291887E-3</v>
      </c>
      <c r="H927">
        <f t="shared" ca="1" si="119"/>
        <v>-1.1523503144956503E-3</v>
      </c>
      <c r="I927">
        <f t="shared" ca="1" si="120"/>
        <v>2.918676606733913E-2</v>
      </c>
      <c r="O927">
        <f t="shared" ca="1" si="121"/>
        <v>1.5229513861201911</v>
      </c>
      <c r="P927">
        <f t="shared" ca="1" si="122"/>
        <v>1.7294494433429948</v>
      </c>
      <c r="Q927">
        <f t="shared" ca="1" si="123"/>
        <v>1.7361151679532665</v>
      </c>
      <c r="R927">
        <f t="shared" ca="1" si="124"/>
        <v>1.6295324795556252</v>
      </c>
    </row>
    <row r="928" spans="1:18" x14ac:dyDescent="0.3">
      <c r="A928" s="2">
        <f ca="1">IFERROR(__xludf.DUMMYFUNCTION("""COMPUTED_VALUE"""),45572.6666666666)</f>
        <v>45572.666666666599</v>
      </c>
      <c r="B928" s="1">
        <f ca="1">IFERROR(__xludf.DUMMYFUNCTION("""COMPUTED_VALUE"""),567.8)</f>
        <v>567.79999999999995</v>
      </c>
      <c r="C928" s="1">
        <f ca="1">IFERROR(__xludf.DUMMYFUNCTION("""COMPUTED_VALUE"""),221.69)</f>
        <v>221.69</v>
      </c>
      <c r="D928" s="1">
        <f ca="1">IFERROR(__xludf.DUMMYFUNCTION("""COMPUTED_VALUE"""),409.54)</f>
        <v>409.54</v>
      </c>
      <c r="E928" s="1">
        <f ca="1">IFERROR(__xludf.DUMMYFUNCTION("""COMPUTED_VALUE"""),210.93)</f>
        <v>210.93</v>
      </c>
      <c r="F928">
        <f t="shared" ca="1" si="117"/>
        <v>-9.0404551642292285E-3</v>
      </c>
      <c r="G928">
        <f t="shared" ca="1" si="118"/>
        <v>-2.2530864197530923E-2</v>
      </c>
      <c r="H928">
        <f t="shared" ca="1" si="119"/>
        <v>-1.5670816709128448E-2</v>
      </c>
      <c r="I928">
        <f t="shared" ca="1" si="120"/>
        <v>-1.3729760439351957E-3</v>
      </c>
      <c r="O928">
        <f t="shared" ca="1" si="121"/>
        <v>1.5091832123966706</v>
      </c>
      <c r="P928">
        <f t="shared" ca="1" si="122"/>
        <v>1.6904834527985384</v>
      </c>
      <c r="Q928">
        <f t="shared" ca="1" si="123"/>
        <v>1.7089088253703333</v>
      </c>
      <c r="R928">
        <f t="shared" ca="1" si="124"/>
        <v>1.6272951704983811</v>
      </c>
    </row>
    <row r="929" spans="1:18" x14ac:dyDescent="0.3">
      <c r="A929" s="2">
        <f ca="1">IFERROR(__xludf.DUMMYFUNCTION("""COMPUTED_VALUE"""),45573.6666666666)</f>
        <v>45573.666666666599</v>
      </c>
      <c r="B929" s="1">
        <f ca="1">IFERROR(__xludf.DUMMYFUNCTION("""COMPUTED_VALUE"""),573.17)</f>
        <v>573.16999999999996</v>
      </c>
      <c r="C929" s="1">
        <f ca="1">IFERROR(__xludf.DUMMYFUNCTION("""COMPUTED_VALUE"""),225.77)</f>
        <v>225.77</v>
      </c>
      <c r="D929" s="1">
        <f ca="1">IFERROR(__xludf.DUMMYFUNCTION("""COMPUTED_VALUE"""),414.71)</f>
        <v>414.71</v>
      </c>
      <c r="E929" s="1">
        <f ca="1">IFERROR(__xludf.DUMMYFUNCTION("""COMPUTED_VALUE"""),210.75)</f>
        <v>210.75</v>
      </c>
      <c r="F929">
        <f t="shared" ca="1" si="117"/>
        <v>9.4575554772807421E-3</v>
      </c>
      <c r="G929">
        <f t="shared" ca="1" si="118"/>
        <v>1.8404077766250224E-2</v>
      </c>
      <c r="H929">
        <f t="shared" ca="1" si="119"/>
        <v>1.2623919519460758E-2</v>
      </c>
      <c r="I929">
        <f t="shared" ca="1" si="120"/>
        <v>-8.5336367515292662E-4</v>
      </c>
      <c r="O929">
        <f t="shared" ca="1" si="121"/>
        <v>1.5234563963532928</v>
      </c>
      <c r="P929">
        <f t="shared" ca="1" si="122"/>
        <v>1.7215952417264018</v>
      </c>
      <c r="Q929">
        <f t="shared" ca="1" si="123"/>
        <v>1.7304819528479047</v>
      </c>
      <c r="R929">
        <f t="shared" ca="1" si="124"/>
        <v>1.625906495911126</v>
      </c>
    </row>
    <row r="930" spans="1:18" x14ac:dyDescent="0.3">
      <c r="A930" s="2">
        <f ca="1">IFERROR(__xludf.DUMMYFUNCTION("""COMPUTED_VALUE"""),45574.6666666666)</f>
        <v>45574.666666666599</v>
      </c>
      <c r="B930" s="1">
        <f ca="1">IFERROR(__xludf.DUMMYFUNCTION("""COMPUTED_VALUE"""),577.14)</f>
        <v>577.14</v>
      </c>
      <c r="C930" s="1">
        <f ca="1">IFERROR(__xludf.DUMMYFUNCTION("""COMPUTED_VALUE"""),229.54)</f>
        <v>229.54</v>
      </c>
      <c r="D930" s="1">
        <f ca="1">IFERROR(__xludf.DUMMYFUNCTION("""COMPUTED_VALUE"""),417.46)</f>
        <v>417.46</v>
      </c>
      <c r="E930" s="1">
        <f ca="1">IFERROR(__xludf.DUMMYFUNCTION("""COMPUTED_VALUE"""),213.42)</f>
        <v>213.42</v>
      </c>
      <c r="F930">
        <f t="shared" ca="1" si="117"/>
        <v>6.9263918209257766E-3</v>
      </c>
      <c r="G930">
        <f t="shared" ca="1" si="118"/>
        <v>1.6698409886167258E-2</v>
      </c>
      <c r="H930">
        <f t="shared" ca="1" si="119"/>
        <v>6.6311398326541439E-3</v>
      </c>
      <c r="I930">
        <f t="shared" ca="1" si="120"/>
        <v>1.2669039145907415E-2</v>
      </c>
      <c r="O930">
        <f t="shared" ca="1" si="121"/>
        <v>1.5340084522765312</v>
      </c>
      <c r="P930">
        <f t="shared" ca="1" si="122"/>
        <v>1.7503431447308246</v>
      </c>
      <c r="Q930">
        <f t="shared" ca="1" si="123"/>
        <v>1.7419570206551236</v>
      </c>
      <c r="R930">
        <f t="shared" ca="1" si="124"/>
        <v>1.6465051689554093</v>
      </c>
    </row>
    <row r="931" spans="1:18" x14ac:dyDescent="0.3">
      <c r="A931" s="2">
        <f ca="1">IFERROR(__xludf.DUMMYFUNCTION("""COMPUTED_VALUE"""),45575.6666666666)</f>
        <v>45575.666666666599</v>
      </c>
      <c r="B931" s="1">
        <f ca="1">IFERROR(__xludf.DUMMYFUNCTION("""COMPUTED_VALUE"""),576.13)</f>
        <v>576.13</v>
      </c>
      <c r="C931" s="1">
        <f ca="1">IFERROR(__xludf.DUMMYFUNCTION("""COMPUTED_VALUE"""),229.04)</f>
        <v>229.04</v>
      </c>
      <c r="D931" s="1">
        <f ca="1">IFERROR(__xludf.DUMMYFUNCTION("""COMPUTED_VALUE"""),415.84)</f>
        <v>415.84</v>
      </c>
      <c r="E931" s="1">
        <f ca="1">IFERROR(__xludf.DUMMYFUNCTION("""COMPUTED_VALUE"""),212.84)</f>
        <v>212.84</v>
      </c>
      <c r="F931">
        <f t="shared" ca="1" si="117"/>
        <v>-1.750008663409209E-3</v>
      </c>
      <c r="G931">
        <f t="shared" ca="1" si="118"/>
        <v>-2.178269582643548E-3</v>
      </c>
      <c r="H931">
        <f t="shared" ca="1" si="119"/>
        <v>-3.8806113160542439E-3</v>
      </c>
      <c r="I931">
        <f t="shared" ca="1" si="120"/>
        <v>-2.7176459563301664E-3</v>
      </c>
      <c r="O931">
        <f t="shared" ca="1" si="121"/>
        <v>1.5313239241953043</v>
      </c>
      <c r="P931">
        <f t="shared" ca="1" si="122"/>
        <v>1.7465304254994689</v>
      </c>
      <c r="Q931">
        <f t="shared" ca="1" si="123"/>
        <v>1.7351971625286893</v>
      </c>
      <c r="R931">
        <f t="shared" ca="1" si="124"/>
        <v>1.642030550840921</v>
      </c>
    </row>
    <row r="932" spans="1:18" x14ac:dyDescent="0.3">
      <c r="A932" s="2">
        <f ca="1">IFERROR(__xludf.DUMMYFUNCTION("""COMPUTED_VALUE"""),45576.6666666666)</f>
        <v>45576.666666666599</v>
      </c>
      <c r="B932" s="1">
        <f ca="1">IFERROR(__xludf.DUMMYFUNCTION("""COMPUTED_VALUE"""),579.58)</f>
        <v>579.58000000000004</v>
      </c>
      <c r="C932" s="1">
        <f ca="1">IFERROR(__xludf.DUMMYFUNCTION("""COMPUTED_VALUE"""),227.55)</f>
        <v>227.55</v>
      </c>
      <c r="D932" s="1">
        <f ca="1">IFERROR(__xludf.DUMMYFUNCTION("""COMPUTED_VALUE"""),416.32)</f>
        <v>416.32</v>
      </c>
      <c r="E932" s="1">
        <f ca="1">IFERROR(__xludf.DUMMYFUNCTION("""COMPUTED_VALUE"""),222.29)</f>
        <v>222.29</v>
      </c>
      <c r="F932">
        <f t="shared" ca="1" si="117"/>
        <v>5.9882318226789884E-3</v>
      </c>
      <c r="G932">
        <f t="shared" ca="1" si="118"/>
        <v>-6.5054139015018365E-3</v>
      </c>
      <c r="H932">
        <f t="shared" ca="1" si="119"/>
        <v>1.1542901115814213E-3</v>
      </c>
      <c r="I932">
        <f t="shared" ca="1" si="120"/>
        <v>4.4399548956962923E-2</v>
      </c>
      <c r="O932">
        <f t="shared" ca="1" si="121"/>
        <v>1.5404938468490001</v>
      </c>
      <c r="P932">
        <f t="shared" ca="1" si="122"/>
        <v>1.7351685221900288</v>
      </c>
      <c r="Q932">
        <f t="shared" ca="1" si="123"/>
        <v>1.7372000834550405</v>
      </c>
      <c r="R932">
        <f t="shared" ca="1" si="124"/>
        <v>1.7149359666718111</v>
      </c>
    </row>
    <row r="933" spans="1:18" x14ac:dyDescent="0.3">
      <c r="A933" s="2">
        <f ca="1">IFERROR(__xludf.DUMMYFUNCTION("""COMPUTED_VALUE"""),45579.6666666666)</f>
        <v>45579.666666666599</v>
      </c>
      <c r="B933" s="1">
        <f ca="1">IFERROR(__xludf.DUMMYFUNCTION("""COMPUTED_VALUE"""),584.32)</f>
        <v>584.32000000000005</v>
      </c>
      <c r="C933" s="1">
        <f ca="1">IFERROR(__xludf.DUMMYFUNCTION("""COMPUTED_VALUE"""),231.3)</f>
        <v>231.3</v>
      </c>
      <c r="D933" s="1">
        <f ca="1">IFERROR(__xludf.DUMMYFUNCTION("""COMPUTED_VALUE"""),419.14)</f>
        <v>419.14</v>
      </c>
      <c r="E933" s="1">
        <f ca="1">IFERROR(__xludf.DUMMYFUNCTION("""COMPUTED_VALUE"""),221.48)</f>
        <v>221.48</v>
      </c>
      <c r="F933">
        <f t="shared" ca="1" si="117"/>
        <v>8.1783360364401959E-3</v>
      </c>
      <c r="G933">
        <f t="shared" ca="1" si="118"/>
        <v>1.6479894528675015E-2</v>
      </c>
      <c r="H933">
        <f t="shared" ca="1" si="119"/>
        <v>6.7736356648731583E-3</v>
      </c>
      <c r="I933">
        <f t="shared" ca="1" si="120"/>
        <v>-3.6438886139727486E-3</v>
      </c>
      <c r="O933">
        <f t="shared" ca="1" si="121"/>
        <v>1.5530925231905999</v>
      </c>
      <c r="P933">
        <f t="shared" ca="1" si="122"/>
        <v>1.7637639164251975</v>
      </c>
      <c r="Q933">
        <f t="shared" ca="1" si="123"/>
        <v>1.748967243897352</v>
      </c>
      <c r="R933">
        <f t="shared" ca="1" si="124"/>
        <v>1.7086869310291632</v>
      </c>
    </row>
    <row r="934" spans="1:18" x14ac:dyDescent="0.3">
      <c r="A934" s="2">
        <f ca="1">IFERROR(__xludf.DUMMYFUNCTION("""COMPUTED_VALUE"""),45580.6666666666)</f>
        <v>45580.666666666599</v>
      </c>
      <c r="B934" s="1">
        <f ca="1">IFERROR(__xludf.DUMMYFUNCTION("""COMPUTED_VALUE"""),579.78)</f>
        <v>579.78</v>
      </c>
      <c r="C934" s="1">
        <f ca="1">IFERROR(__xludf.DUMMYFUNCTION("""COMPUTED_VALUE"""),233.85)</f>
        <v>233.85</v>
      </c>
      <c r="D934" s="1">
        <f ca="1">IFERROR(__xludf.DUMMYFUNCTION("""COMPUTED_VALUE"""),418.74)</f>
        <v>418.74</v>
      </c>
      <c r="E934" s="1">
        <f ca="1">IFERROR(__xludf.DUMMYFUNCTION("""COMPUTED_VALUE"""),221.48)</f>
        <v>221.48</v>
      </c>
      <c r="F934">
        <f t="shared" ca="1" si="117"/>
        <v>-7.769715224534633E-3</v>
      </c>
      <c r="G934">
        <f t="shared" ca="1" si="118"/>
        <v>1.1024643320363091E-2</v>
      </c>
      <c r="H934">
        <f t="shared" ca="1" si="119"/>
        <v>-9.5433506704198422E-4</v>
      </c>
      <c r="I934">
        <f t="shared" ca="1" si="120"/>
        <v>0</v>
      </c>
      <c r="O934">
        <f t="shared" ca="1" si="121"/>
        <v>1.5410254365680549</v>
      </c>
      <c r="P934">
        <f t="shared" ca="1" si="122"/>
        <v>1.7832087845051121</v>
      </c>
      <c r="Q934">
        <f t="shared" ca="1" si="123"/>
        <v>1.7472981431253929</v>
      </c>
      <c r="R934">
        <f t="shared" ca="1" si="124"/>
        <v>1.7086869310291632</v>
      </c>
    </row>
    <row r="935" spans="1:18" x14ac:dyDescent="0.3">
      <c r="A935" s="2">
        <f ca="1">IFERROR(__xludf.DUMMYFUNCTION("""COMPUTED_VALUE"""),45581.6666666666)</f>
        <v>45581.666666666599</v>
      </c>
      <c r="B935" s="1">
        <f ca="1">IFERROR(__xludf.DUMMYFUNCTION("""COMPUTED_VALUE"""),582.3)</f>
        <v>582.29999999999995</v>
      </c>
      <c r="C935" s="1">
        <f ca="1">IFERROR(__xludf.DUMMYFUNCTION("""COMPUTED_VALUE"""),231.78)</f>
        <v>231.78</v>
      </c>
      <c r="D935" s="1">
        <f ca="1">IFERROR(__xludf.DUMMYFUNCTION("""COMPUTED_VALUE"""),416.12)</f>
        <v>416.12</v>
      </c>
      <c r="E935" s="1">
        <f ca="1">IFERROR(__xludf.DUMMYFUNCTION("""COMPUTED_VALUE"""),223.64)</f>
        <v>223.64</v>
      </c>
      <c r="F935">
        <f t="shared" ca="1" si="117"/>
        <v>4.3464762496118903E-3</v>
      </c>
      <c r="G935">
        <f t="shared" ca="1" si="118"/>
        <v>-8.8518280949326199E-3</v>
      </c>
      <c r="H935">
        <f t="shared" ca="1" si="119"/>
        <v>-6.2568658356020549E-3</v>
      </c>
      <c r="I935">
        <f t="shared" ca="1" si="120"/>
        <v>9.7525735958099904E-3</v>
      </c>
      <c r="O935">
        <f t="shared" ca="1" si="121"/>
        <v>1.5477234670281459</v>
      </c>
      <c r="P935">
        <f t="shared" ca="1" si="122"/>
        <v>1.7674241268872992</v>
      </c>
      <c r="Q935">
        <f t="shared" ca="1" si="123"/>
        <v>1.7363655330690608</v>
      </c>
      <c r="R935">
        <f t="shared" ca="1" si="124"/>
        <v>1.7253510260762237</v>
      </c>
    </row>
    <row r="936" spans="1:18" x14ac:dyDescent="0.3">
      <c r="A936" s="2">
        <f ca="1">IFERROR(__xludf.DUMMYFUNCTION("""COMPUTED_VALUE"""),45582.6666666666)</f>
        <v>45582.666666666599</v>
      </c>
      <c r="B936" s="1">
        <f ca="1">IFERROR(__xludf.DUMMYFUNCTION("""COMPUTED_VALUE"""),582.35)</f>
        <v>582.35</v>
      </c>
      <c r="C936" s="1">
        <f ca="1">IFERROR(__xludf.DUMMYFUNCTION("""COMPUTED_VALUE"""),232.15)</f>
        <v>232.15</v>
      </c>
      <c r="D936" s="1">
        <f ca="1">IFERROR(__xludf.DUMMYFUNCTION("""COMPUTED_VALUE"""),416.72)</f>
        <v>416.72</v>
      </c>
      <c r="E936" s="1">
        <f ca="1">IFERROR(__xludf.DUMMYFUNCTION("""COMPUTED_VALUE"""),224.42)</f>
        <v>224.42</v>
      </c>
      <c r="F936">
        <f t="shared" ca="1" si="117"/>
        <v>8.5866391894329753E-5</v>
      </c>
      <c r="G936">
        <f t="shared" ca="1" si="118"/>
        <v>1.5963413581845049E-3</v>
      </c>
      <c r="H936">
        <f t="shared" ca="1" si="119"/>
        <v>1.4418917619917879E-3</v>
      </c>
      <c r="I936">
        <f t="shared" ca="1" si="120"/>
        <v>3.4877481666964819E-3</v>
      </c>
      <c r="O936">
        <f t="shared" ca="1" si="121"/>
        <v>1.5478563644579098</v>
      </c>
      <c r="P936">
        <f t="shared" ca="1" si="122"/>
        <v>1.7702455391185026</v>
      </c>
      <c r="Q936">
        <f t="shared" ca="1" si="123"/>
        <v>1.7388691842269997</v>
      </c>
      <c r="R936">
        <f t="shared" ca="1" si="124"/>
        <v>1.7313686159543289</v>
      </c>
    </row>
    <row r="937" spans="1:18" x14ac:dyDescent="0.3">
      <c r="A937" s="2">
        <f ca="1">IFERROR(__xludf.DUMMYFUNCTION("""COMPUTED_VALUE"""),45583.6666666666)</f>
        <v>45583.666666666599</v>
      </c>
      <c r="B937" s="1">
        <f ca="1">IFERROR(__xludf.DUMMYFUNCTION("""COMPUTED_VALUE"""),584.59)</f>
        <v>584.59</v>
      </c>
      <c r="C937" s="1">
        <f ca="1">IFERROR(__xludf.DUMMYFUNCTION("""COMPUTED_VALUE"""),235)</f>
        <v>235</v>
      </c>
      <c r="D937" s="1">
        <f ca="1">IFERROR(__xludf.DUMMYFUNCTION("""COMPUTED_VALUE"""),418.16)</f>
        <v>418.16</v>
      </c>
      <c r="E937" s="1">
        <f ca="1">IFERROR(__xludf.DUMMYFUNCTION("""COMPUTED_VALUE"""),225.37)</f>
        <v>225.37</v>
      </c>
      <c r="F937">
        <f t="shared" ca="1" si="117"/>
        <v>3.8464840731519002E-3</v>
      </c>
      <c r="G937">
        <f t="shared" ca="1" si="118"/>
        <v>1.2276545337066527E-2</v>
      </c>
      <c r="H937">
        <f t="shared" ca="1" si="119"/>
        <v>3.4555576886158516E-3</v>
      </c>
      <c r="I937">
        <f t="shared" ca="1" si="120"/>
        <v>4.2331343017557128E-3</v>
      </c>
      <c r="O937">
        <f t="shared" ca="1" si="121"/>
        <v>1.5538101693113238</v>
      </c>
      <c r="P937">
        <f t="shared" ca="1" si="122"/>
        <v>1.7919780387372308</v>
      </c>
      <c r="Q937">
        <f t="shared" ca="1" si="123"/>
        <v>1.7448779470060527</v>
      </c>
      <c r="R937">
        <f t="shared" ca="1" si="124"/>
        <v>1.7386977318315084</v>
      </c>
    </row>
    <row r="938" spans="1:18" x14ac:dyDescent="0.3">
      <c r="A938" s="2">
        <f ca="1">IFERROR(__xludf.DUMMYFUNCTION("""COMPUTED_VALUE"""),45586.6666666666)</f>
        <v>45586.666666666599</v>
      </c>
      <c r="B938" s="1">
        <f ca="1">IFERROR(__xludf.DUMMYFUNCTION("""COMPUTED_VALUE"""),583.63)</f>
        <v>583.63</v>
      </c>
      <c r="C938" s="1">
        <f ca="1">IFERROR(__xludf.DUMMYFUNCTION("""COMPUTED_VALUE"""),236.48)</f>
        <v>236.48</v>
      </c>
      <c r="D938" s="1">
        <f ca="1">IFERROR(__xludf.DUMMYFUNCTION("""COMPUTED_VALUE"""),418.78)</f>
        <v>418.78</v>
      </c>
      <c r="E938" s="1">
        <f ca="1">IFERROR(__xludf.DUMMYFUNCTION("""COMPUTED_VALUE"""),223)</f>
        <v>223</v>
      </c>
      <c r="F938">
        <f t="shared" ca="1" si="117"/>
        <v>-1.6421765681931548E-3</v>
      </c>
      <c r="G938">
        <f t="shared" ca="1" si="118"/>
        <v>6.2978723404254885E-3</v>
      </c>
      <c r="H938">
        <f t="shared" ca="1" si="119"/>
        <v>1.4826860531852585E-3</v>
      </c>
      <c r="I938">
        <f t="shared" ca="1" si="120"/>
        <v>-1.0516040289302057E-2</v>
      </c>
      <c r="O938">
        <f t="shared" ca="1" si="121"/>
        <v>1.5512585386598603</v>
      </c>
      <c r="P938">
        <f t="shared" ca="1" si="122"/>
        <v>1.8032636876620438</v>
      </c>
      <c r="Q938">
        <f t="shared" ca="1" si="123"/>
        <v>1.7474650532025893</v>
      </c>
      <c r="R938">
        <f t="shared" ca="1" si="124"/>
        <v>1.7204135164326502</v>
      </c>
    </row>
    <row r="939" spans="1:18" x14ac:dyDescent="0.3">
      <c r="A939" s="2">
        <f ca="1">IFERROR(__xludf.DUMMYFUNCTION("""COMPUTED_VALUE"""),45587.6666666666)</f>
        <v>45587.666666666599</v>
      </c>
      <c r="B939" s="1">
        <f ca="1">IFERROR(__xludf.DUMMYFUNCTION("""COMPUTED_VALUE"""),583.32)</f>
        <v>583.32000000000005</v>
      </c>
      <c r="C939" s="1">
        <f ca="1">IFERROR(__xludf.DUMMYFUNCTION("""COMPUTED_VALUE"""),235.86)</f>
        <v>235.86</v>
      </c>
      <c r="D939" s="1">
        <f ca="1">IFERROR(__xludf.DUMMYFUNCTION("""COMPUTED_VALUE"""),427.51)</f>
        <v>427.51</v>
      </c>
      <c r="E939" s="1">
        <f ca="1">IFERROR(__xludf.DUMMYFUNCTION("""COMPUTED_VALUE"""),224.12)</f>
        <v>224.12</v>
      </c>
      <c r="F939">
        <f t="shared" ca="1" si="117"/>
        <v>-5.311584394221432E-4</v>
      </c>
      <c r="G939">
        <f t="shared" ca="1" si="118"/>
        <v>-2.6217861975641752E-3</v>
      </c>
      <c r="H939">
        <f t="shared" ca="1" si="119"/>
        <v>2.0846267730073115E-2</v>
      </c>
      <c r="I939">
        <f t="shared" ca="1" si="120"/>
        <v>5.0224215246636979E-3</v>
      </c>
      <c r="O939">
        <f t="shared" ca="1" si="121"/>
        <v>1.5504345745953254</v>
      </c>
      <c r="P939">
        <f t="shared" ca="1" si="122"/>
        <v>1.7985359158151628</v>
      </c>
      <c r="Q939">
        <f t="shared" ca="1" si="123"/>
        <v>1.7838931775505968</v>
      </c>
      <c r="R939">
        <f t="shared" ca="1" si="124"/>
        <v>1.7290541583089039</v>
      </c>
    </row>
    <row r="940" spans="1:18" x14ac:dyDescent="0.3">
      <c r="A940" s="2">
        <f ca="1">IFERROR(__xludf.DUMMYFUNCTION("""COMPUTED_VALUE"""),45588.6666666666)</f>
        <v>45588.666666666599</v>
      </c>
      <c r="B940" s="1">
        <f ca="1">IFERROR(__xludf.DUMMYFUNCTION("""COMPUTED_VALUE"""),577.99)</f>
        <v>577.99</v>
      </c>
      <c r="C940" s="1">
        <f ca="1">IFERROR(__xludf.DUMMYFUNCTION("""COMPUTED_VALUE"""),230.76)</f>
        <v>230.76</v>
      </c>
      <c r="D940" s="1">
        <f ca="1">IFERROR(__xludf.DUMMYFUNCTION("""COMPUTED_VALUE"""),424.6)</f>
        <v>424.6</v>
      </c>
      <c r="E940" s="1">
        <f ca="1">IFERROR(__xludf.DUMMYFUNCTION("""COMPUTED_VALUE"""),223.41)</f>
        <v>223.41</v>
      </c>
      <c r="F940">
        <f t="shared" ca="1" si="117"/>
        <v>-9.1373517108963177E-3</v>
      </c>
      <c r="G940">
        <f t="shared" ca="1" si="118"/>
        <v>-2.1622996692953544E-2</v>
      </c>
      <c r="H940">
        <f t="shared" ca="1" si="119"/>
        <v>-6.8068583191035724E-3</v>
      </c>
      <c r="I940">
        <f t="shared" ca="1" si="120"/>
        <v>-3.1679457433518112E-3</v>
      </c>
      <c r="O940">
        <f t="shared" ca="1" si="121"/>
        <v>1.536267708582514</v>
      </c>
      <c r="P940">
        <f t="shared" ca="1" si="122"/>
        <v>1.7596461796553333</v>
      </c>
      <c r="Q940">
        <f t="shared" ca="1" si="123"/>
        <v>1.7717504694345945</v>
      </c>
      <c r="R940">
        <f t="shared" ca="1" si="124"/>
        <v>1.7235766085480644</v>
      </c>
    </row>
    <row r="941" spans="1:18" x14ac:dyDescent="0.3">
      <c r="A941" s="2">
        <f ca="1">IFERROR(__xludf.DUMMYFUNCTION("""COMPUTED_VALUE"""),45589.6666666666)</f>
        <v>45589.666666666599</v>
      </c>
      <c r="B941" s="1">
        <f ca="1">IFERROR(__xludf.DUMMYFUNCTION("""COMPUTED_VALUE"""),579.24)</f>
        <v>579.24</v>
      </c>
      <c r="C941" s="1">
        <f ca="1">IFERROR(__xludf.DUMMYFUNCTION("""COMPUTED_VALUE"""),230.57)</f>
        <v>230.57</v>
      </c>
      <c r="D941" s="1">
        <f ca="1">IFERROR(__xludf.DUMMYFUNCTION("""COMPUTED_VALUE"""),424.73)</f>
        <v>424.73</v>
      </c>
      <c r="E941" s="1">
        <f ca="1">IFERROR(__xludf.DUMMYFUNCTION("""COMPUTED_VALUE"""),224.98)</f>
        <v>224.98</v>
      </c>
      <c r="F941">
        <f t="shared" ca="1" si="117"/>
        <v>2.1626671741725636E-3</v>
      </c>
      <c r="G941">
        <f t="shared" ca="1" si="118"/>
        <v>-8.2336626798404291E-4</v>
      </c>
      <c r="H941">
        <f t="shared" ca="1" si="119"/>
        <v>3.061705134243887E-4</v>
      </c>
      <c r="I941">
        <f t="shared" ca="1" si="120"/>
        <v>7.0274383420616503E-3</v>
      </c>
      <c r="O941">
        <f t="shared" ca="1" si="121"/>
        <v>1.5395901443266067</v>
      </c>
      <c r="P941">
        <f t="shared" ca="1" si="122"/>
        <v>1.7581973463474181</v>
      </c>
      <c r="Q941">
        <f t="shared" ca="1" si="123"/>
        <v>1.7722929271854813</v>
      </c>
      <c r="R941">
        <f t="shared" ca="1" si="124"/>
        <v>1.7356889368924557</v>
      </c>
    </row>
    <row r="942" spans="1:18" x14ac:dyDescent="0.3">
      <c r="A942" s="2">
        <f ca="1">IFERROR(__xludf.DUMMYFUNCTION("""COMPUTED_VALUE"""),45590.6666666666)</f>
        <v>45590.666666666599</v>
      </c>
      <c r="B942" s="1">
        <f ca="1">IFERROR(__xludf.DUMMYFUNCTION("""COMPUTED_VALUE"""),579.04)</f>
        <v>579.04</v>
      </c>
      <c r="C942" s="1">
        <f ca="1">IFERROR(__xludf.DUMMYFUNCTION("""COMPUTED_VALUE"""),231.41)</f>
        <v>231.41</v>
      </c>
      <c r="D942" s="1">
        <f ca="1">IFERROR(__xludf.DUMMYFUNCTION("""COMPUTED_VALUE"""),428.15)</f>
        <v>428.15</v>
      </c>
      <c r="E942" s="1">
        <f ca="1">IFERROR(__xludf.DUMMYFUNCTION("""COMPUTED_VALUE"""),222.31)</f>
        <v>222.31</v>
      </c>
      <c r="F942">
        <f t="shared" ca="1" si="117"/>
        <v>-3.4528002209799992E-4</v>
      </c>
      <c r="G942">
        <f t="shared" ca="1" si="118"/>
        <v>3.6431452487314196E-3</v>
      </c>
      <c r="H942">
        <f t="shared" ca="1" si="119"/>
        <v>8.0521743225106749E-3</v>
      </c>
      <c r="I942">
        <f t="shared" ca="1" si="120"/>
        <v>-1.1867721575251079E-2</v>
      </c>
      <c r="O942">
        <f t="shared" ca="1" si="121"/>
        <v>1.5390585546075517</v>
      </c>
      <c r="P942">
        <f t="shared" ca="1" si="122"/>
        <v>1.7646027146560956</v>
      </c>
      <c r="Q942">
        <f t="shared" ca="1" si="123"/>
        <v>1.7865637387857314</v>
      </c>
      <c r="R942">
        <f t="shared" ca="1" si="124"/>
        <v>1.7150902638481726</v>
      </c>
    </row>
    <row r="943" spans="1:18" x14ac:dyDescent="0.3">
      <c r="A943" s="2">
        <f ca="1">IFERROR(__xludf.DUMMYFUNCTION("""COMPUTED_VALUE"""),45593.6666666666)</f>
        <v>45593.666666666599</v>
      </c>
      <c r="B943" s="1">
        <f ca="1">IFERROR(__xludf.DUMMYFUNCTION("""COMPUTED_VALUE"""),580.83)</f>
        <v>580.83000000000004</v>
      </c>
      <c r="C943" s="1">
        <f ca="1">IFERROR(__xludf.DUMMYFUNCTION("""COMPUTED_VALUE"""),233.4)</f>
        <v>233.4</v>
      </c>
      <c r="D943" s="1">
        <f ca="1">IFERROR(__xludf.DUMMYFUNCTION("""COMPUTED_VALUE"""),426.59)</f>
        <v>426.59</v>
      </c>
      <c r="E943" s="1">
        <f ca="1">IFERROR(__xludf.DUMMYFUNCTION("""COMPUTED_VALUE"""),225.5)</f>
        <v>225.5</v>
      </c>
      <c r="F943">
        <f t="shared" ca="1" si="117"/>
        <v>3.091323570047108E-3</v>
      </c>
      <c r="G943">
        <f t="shared" ca="1" si="118"/>
        <v>8.599455511862102E-3</v>
      </c>
      <c r="H943">
        <f t="shared" ca="1" si="119"/>
        <v>-3.6435828564755396E-3</v>
      </c>
      <c r="I943">
        <f t="shared" ca="1" si="120"/>
        <v>1.4349332013854518E-2</v>
      </c>
      <c r="O943">
        <f t="shared" ca="1" si="121"/>
        <v>1.5438162825930928</v>
      </c>
      <c r="P943">
        <f t="shared" ca="1" si="122"/>
        <v>1.7797773371968917</v>
      </c>
      <c r="Q943">
        <f t="shared" ca="1" si="123"/>
        <v>1.7800542457750907</v>
      </c>
      <c r="R943">
        <f t="shared" ca="1" si="124"/>
        <v>1.7397006634778596</v>
      </c>
    </row>
    <row r="944" spans="1:18" x14ac:dyDescent="0.3">
      <c r="A944" s="2">
        <f ca="1">IFERROR(__xludf.DUMMYFUNCTION("""COMPUTED_VALUE"""),45594.6666666666)</f>
        <v>45594.666666666599</v>
      </c>
      <c r="B944" s="1">
        <f ca="1">IFERROR(__xludf.DUMMYFUNCTION("""COMPUTED_VALUE"""),581.77)</f>
        <v>581.77</v>
      </c>
      <c r="C944" s="1">
        <f ca="1">IFERROR(__xludf.DUMMYFUNCTION("""COMPUTED_VALUE"""),233.67)</f>
        <v>233.67</v>
      </c>
      <c r="D944" s="1">
        <f ca="1">IFERROR(__xludf.DUMMYFUNCTION("""COMPUTED_VALUE"""),431.95)</f>
        <v>431.95</v>
      </c>
      <c r="E944" s="1">
        <f ca="1">IFERROR(__xludf.DUMMYFUNCTION("""COMPUTED_VALUE"""),224.41)</f>
        <v>224.41</v>
      </c>
      <c r="F944">
        <f t="shared" ca="1" si="117"/>
        <v>1.6183737065921884E-3</v>
      </c>
      <c r="G944">
        <f t="shared" ca="1" si="118"/>
        <v>1.1568123393315415E-3</v>
      </c>
      <c r="H944">
        <f t="shared" ca="1" si="119"/>
        <v>1.2564757729904626E-2</v>
      </c>
      <c r="I944">
        <f t="shared" ca="1" si="120"/>
        <v>-4.8337028824833855E-3</v>
      </c>
      <c r="O944">
        <f t="shared" ca="1" si="121"/>
        <v>1.5463147542726503</v>
      </c>
      <c r="P944">
        <f t="shared" ca="1" si="122"/>
        <v>1.7818362055818235</v>
      </c>
      <c r="Q944">
        <f t="shared" ca="1" si="123"/>
        <v>1.8024201961193429</v>
      </c>
      <c r="R944">
        <f t="shared" ca="1" si="124"/>
        <v>1.7312914673661484</v>
      </c>
    </row>
    <row r="945" spans="1:18" x14ac:dyDescent="0.3">
      <c r="A945" s="2">
        <f ca="1">IFERROR(__xludf.DUMMYFUNCTION("""COMPUTED_VALUE"""),45595.6666666666)</f>
        <v>45595.666666666599</v>
      </c>
      <c r="B945" s="1">
        <f ca="1">IFERROR(__xludf.DUMMYFUNCTION("""COMPUTED_VALUE"""),580.01)</f>
        <v>580.01</v>
      </c>
      <c r="C945" s="1">
        <f ca="1">IFERROR(__xludf.DUMMYFUNCTION("""COMPUTED_VALUE"""),230.1)</f>
        <v>230.1</v>
      </c>
      <c r="D945" s="1">
        <f ca="1">IFERROR(__xludf.DUMMYFUNCTION("""COMPUTED_VALUE"""),432.53)</f>
        <v>432.53</v>
      </c>
      <c r="E945" s="1">
        <f ca="1">IFERROR(__xludf.DUMMYFUNCTION("""COMPUTED_VALUE"""),221.92)</f>
        <v>221.92</v>
      </c>
      <c r="F945">
        <f t="shared" ca="1" si="117"/>
        <v>-3.0252505285593809E-3</v>
      </c>
      <c r="G945">
        <f t="shared" ca="1" si="118"/>
        <v>-1.5277956091924481E-2</v>
      </c>
      <c r="H945">
        <f t="shared" ca="1" si="119"/>
        <v>1.342748003241079E-3</v>
      </c>
      <c r="I945">
        <f t="shared" ca="1" si="120"/>
        <v>-1.1095762220934937E-2</v>
      </c>
      <c r="O945">
        <f t="shared" ca="1" si="121"/>
        <v>1.5416367647449678</v>
      </c>
      <c r="P945">
        <f t="shared" ca="1" si="122"/>
        <v>1.754613390269943</v>
      </c>
      <c r="Q945">
        <f t="shared" ca="1" si="123"/>
        <v>1.8048403922386835</v>
      </c>
      <c r="R945">
        <f t="shared" ca="1" si="124"/>
        <v>1.7120814689091202</v>
      </c>
    </row>
    <row r="946" spans="1:18" x14ac:dyDescent="0.3">
      <c r="A946" s="2">
        <f ca="1">IFERROR(__xludf.DUMMYFUNCTION("""COMPUTED_VALUE"""),45596.6666666666)</f>
        <v>45596.666666666599</v>
      </c>
      <c r="B946" s="1">
        <f ca="1">IFERROR(__xludf.DUMMYFUNCTION("""COMPUTED_VALUE"""),568.64)</f>
        <v>568.64</v>
      </c>
      <c r="C946" s="1">
        <f ca="1">IFERROR(__xludf.DUMMYFUNCTION("""COMPUTED_VALUE"""),225.91)</f>
        <v>225.91</v>
      </c>
      <c r="D946" s="1">
        <f ca="1">IFERROR(__xludf.DUMMYFUNCTION("""COMPUTED_VALUE"""),406.35)</f>
        <v>406.35</v>
      </c>
      <c r="E946" s="1">
        <f ca="1">IFERROR(__xludf.DUMMYFUNCTION("""COMPUTED_VALUE"""),222.94)</f>
        <v>222.94</v>
      </c>
      <c r="F946">
        <f t="shared" ca="1" si="117"/>
        <v>-1.9603110291201886E-2</v>
      </c>
      <c r="G946">
        <f t="shared" ca="1" si="118"/>
        <v>-1.8209474141677524E-2</v>
      </c>
      <c r="H946">
        <f t="shared" ca="1" si="119"/>
        <v>-6.0527593461725086E-2</v>
      </c>
      <c r="I946">
        <f t="shared" ca="1" si="120"/>
        <v>4.5962509012257135E-3</v>
      </c>
      <c r="O946">
        <f t="shared" ca="1" si="121"/>
        <v>1.5114158892167007</v>
      </c>
      <c r="P946">
        <f t="shared" ca="1" si="122"/>
        <v>1.7226628031111815</v>
      </c>
      <c r="Q946">
        <f t="shared" ca="1" si="123"/>
        <v>1.69559774671396</v>
      </c>
      <c r="R946">
        <f t="shared" ca="1" si="124"/>
        <v>1.7199506249035654</v>
      </c>
    </row>
    <row r="947" spans="1:18" x14ac:dyDescent="0.3">
      <c r="A947" s="2">
        <f ca="1">IFERROR(__xludf.DUMMYFUNCTION("""COMPUTED_VALUE"""),45597.6666666666)</f>
        <v>45597.666666666599</v>
      </c>
      <c r="B947" s="1">
        <f ca="1">IFERROR(__xludf.DUMMYFUNCTION("""COMPUTED_VALUE"""),571.04)</f>
        <v>571.04</v>
      </c>
      <c r="C947" s="1">
        <f ca="1">IFERROR(__xludf.DUMMYFUNCTION("""COMPUTED_VALUE"""),222.91)</f>
        <v>222.91</v>
      </c>
      <c r="D947" s="1">
        <f ca="1">IFERROR(__xludf.DUMMYFUNCTION("""COMPUTED_VALUE"""),410.37)</f>
        <v>410.37</v>
      </c>
      <c r="E947" s="1">
        <f ca="1">IFERROR(__xludf.DUMMYFUNCTION("""COMPUTED_VALUE"""),219.78)</f>
        <v>219.78</v>
      </c>
      <c r="F947">
        <f t="shared" ca="1" si="117"/>
        <v>4.220596510973511E-3</v>
      </c>
      <c r="G947">
        <f t="shared" ca="1" si="118"/>
        <v>-1.3279624629277146E-2</v>
      </c>
      <c r="H947">
        <f t="shared" ca="1" si="119"/>
        <v>9.8929494278331039E-3</v>
      </c>
      <c r="I947">
        <f t="shared" ca="1" si="120"/>
        <v>-1.4174217278191426E-2</v>
      </c>
      <c r="O947">
        <f t="shared" ca="1" si="121"/>
        <v>1.5177949658453587</v>
      </c>
      <c r="P947">
        <f t="shared" ca="1" si="122"/>
        <v>1.6997864877230466</v>
      </c>
      <c r="Q947">
        <f t="shared" ca="1" si="123"/>
        <v>1.712372209472149</v>
      </c>
      <c r="R947">
        <f t="shared" ca="1" si="124"/>
        <v>1.6955716710384212</v>
      </c>
    </row>
    <row r="948" spans="1:18" x14ac:dyDescent="0.3">
      <c r="A948" s="2">
        <f ca="1">IFERROR(__xludf.DUMMYFUNCTION("""COMPUTED_VALUE"""),45600.6666666666)</f>
        <v>45600.666666666599</v>
      </c>
      <c r="B948" s="1">
        <f ca="1">IFERROR(__xludf.DUMMYFUNCTION("""COMPUTED_VALUE"""),569.81)</f>
        <v>569.80999999999995</v>
      </c>
      <c r="C948" s="1">
        <f ca="1">IFERROR(__xludf.DUMMYFUNCTION("""COMPUTED_VALUE"""),222.01)</f>
        <v>222.01</v>
      </c>
      <c r="D948" s="1">
        <f ca="1">IFERROR(__xludf.DUMMYFUNCTION("""COMPUTED_VALUE"""),408.46)</f>
        <v>408.46</v>
      </c>
      <c r="E948" s="1">
        <f ca="1">IFERROR(__xludf.DUMMYFUNCTION("""COMPUTED_VALUE"""),221.49)</f>
        <v>221.49</v>
      </c>
      <c r="F948">
        <f t="shared" ca="1" si="117"/>
        <v>-2.1539646959933072E-3</v>
      </c>
      <c r="G948">
        <f t="shared" ca="1" si="118"/>
        <v>-4.0375039253510644E-3</v>
      </c>
      <c r="H948">
        <f t="shared" ca="1" si="119"/>
        <v>-4.6543363306285179E-3</v>
      </c>
      <c r="I948">
        <f t="shared" ca="1" si="120"/>
        <v>7.7805077805078171E-3</v>
      </c>
      <c r="O948">
        <f t="shared" ca="1" si="121"/>
        <v>1.5145256890731715</v>
      </c>
      <c r="P948">
        <f t="shared" ca="1" si="122"/>
        <v>1.6929235931066062</v>
      </c>
      <c r="Q948">
        <f t="shared" ca="1" si="123"/>
        <v>1.7044022532860441</v>
      </c>
      <c r="R948">
        <f t="shared" ca="1" si="124"/>
        <v>1.7087640796173442</v>
      </c>
    </row>
    <row r="949" spans="1:18" x14ac:dyDescent="0.3">
      <c r="A949" s="2">
        <f ca="1">IFERROR(__xludf.DUMMYFUNCTION("""COMPUTED_VALUE"""),45601.6666666666)</f>
        <v>45601.666666666599</v>
      </c>
      <c r="B949" s="1">
        <f ca="1">IFERROR(__xludf.DUMMYFUNCTION("""COMPUTED_VALUE"""),576.7)</f>
        <v>576.70000000000005</v>
      </c>
      <c r="C949" s="1">
        <f ca="1">IFERROR(__xludf.DUMMYFUNCTION("""COMPUTED_VALUE"""),223.45)</f>
        <v>223.45</v>
      </c>
      <c r="D949" s="1">
        <f ca="1">IFERROR(__xludf.DUMMYFUNCTION("""COMPUTED_VALUE"""),411.46)</f>
        <v>411.46</v>
      </c>
      <c r="E949" s="1">
        <f ca="1">IFERROR(__xludf.DUMMYFUNCTION("""COMPUTED_VALUE"""),247.06)</f>
        <v>247.06</v>
      </c>
      <c r="F949">
        <f t="shared" ca="1" si="117"/>
        <v>1.2091749881539637E-2</v>
      </c>
      <c r="G949">
        <f t="shared" ca="1" si="118"/>
        <v>6.4861943155713605E-3</v>
      </c>
      <c r="H949">
        <f t="shared" ca="1" si="119"/>
        <v>7.3446604318660336E-3</v>
      </c>
      <c r="I949">
        <f t="shared" ca="1" si="120"/>
        <v>0.11544539256851322</v>
      </c>
      <c r="O949">
        <f t="shared" ca="1" si="121"/>
        <v>1.5328389548946106</v>
      </c>
      <c r="P949">
        <f t="shared" ca="1" si="122"/>
        <v>1.703904224492911</v>
      </c>
      <c r="Q949">
        <f t="shared" ca="1" si="123"/>
        <v>1.7169205090757376</v>
      </c>
      <c r="R949">
        <f t="shared" ca="1" si="124"/>
        <v>1.9060330195957429</v>
      </c>
    </row>
    <row r="950" spans="1:18" x14ac:dyDescent="0.3">
      <c r="A950" s="2">
        <f ca="1">IFERROR(__xludf.DUMMYFUNCTION("""COMPUTED_VALUE"""),45602.6666666666)</f>
        <v>45602.666666666599</v>
      </c>
      <c r="B950" s="1">
        <f ca="1">IFERROR(__xludf.DUMMYFUNCTION("""COMPUTED_VALUE"""),591.04)</f>
        <v>591.04</v>
      </c>
      <c r="C950" s="1">
        <f ca="1">IFERROR(__xludf.DUMMYFUNCTION("""COMPUTED_VALUE"""),222.72)</f>
        <v>222.72</v>
      </c>
      <c r="D950" s="1">
        <f ca="1">IFERROR(__xludf.DUMMYFUNCTION("""COMPUTED_VALUE"""),420.18)</f>
        <v>420.18</v>
      </c>
      <c r="E950" s="1">
        <f ca="1">IFERROR(__xludf.DUMMYFUNCTION("""COMPUTED_VALUE"""),236.38)</f>
        <v>236.38</v>
      </c>
      <c r="F950">
        <f t="shared" ca="1" si="117"/>
        <v>2.4865614704352206E-2</v>
      </c>
      <c r="G950">
        <f t="shared" ca="1" si="118"/>
        <v>-3.2669501006936221E-3</v>
      </c>
      <c r="H950">
        <f t="shared" ca="1" si="119"/>
        <v>2.119282554804848E-2</v>
      </c>
      <c r="I950">
        <f t="shared" ca="1" si="120"/>
        <v>-4.3228365579211551E-2</v>
      </c>
      <c r="O950">
        <f t="shared" ca="1" si="121"/>
        <v>1.5709539377508419</v>
      </c>
      <c r="P950">
        <f t="shared" ca="1" si="122"/>
        <v>1.6983376544151316</v>
      </c>
      <c r="Q950">
        <f t="shared" ca="1" si="123"/>
        <v>1.7533069059044462</v>
      </c>
      <c r="R950">
        <f t="shared" ca="1" si="124"/>
        <v>1.8236383274186097</v>
      </c>
    </row>
    <row r="951" spans="1:18" x14ac:dyDescent="0.3">
      <c r="A951" s="2">
        <f ca="1">IFERROR(__xludf.DUMMYFUNCTION("""COMPUTED_VALUE"""),45603.6666666666)</f>
        <v>45603.666666666599</v>
      </c>
      <c r="B951" s="1">
        <f ca="1">IFERROR(__xludf.DUMMYFUNCTION("""COMPUTED_VALUE"""),595.61)</f>
        <v>595.61</v>
      </c>
      <c r="C951" s="1">
        <f ca="1">IFERROR(__xludf.DUMMYFUNCTION("""COMPUTED_VALUE"""),227.48)</f>
        <v>227.48</v>
      </c>
      <c r="D951" s="1">
        <f ca="1">IFERROR(__xludf.DUMMYFUNCTION("""COMPUTED_VALUE"""),425.43)</f>
        <v>425.43</v>
      </c>
      <c r="E951" s="1">
        <f ca="1">IFERROR(__xludf.DUMMYFUNCTION("""COMPUTED_VALUE"""),236.98)</f>
        <v>236.98</v>
      </c>
      <c r="F951">
        <f t="shared" ca="1" si="117"/>
        <v>7.7321331889551471E-3</v>
      </c>
      <c r="G951">
        <f t="shared" ca="1" si="118"/>
        <v>2.1372126436781567E-2</v>
      </c>
      <c r="H951">
        <f t="shared" ca="1" si="119"/>
        <v>1.2494645152077681E-2</v>
      </c>
      <c r="I951">
        <f t="shared" ca="1" si="120"/>
        <v>2.5382858109822925E-3</v>
      </c>
      <c r="O951">
        <f t="shared" ca="1" si="121"/>
        <v>1.5831007628312448</v>
      </c>
      <c r="P951">
        <f t="shared" ca="1" si="122"/>
        <v>1.7346347414976391</v>
      </c>
      <c r="Q951">
        <f t="shared" ca="1" si="123"/>
        <v>1.7752138535364097</v>
      </c>
      <c r="R951">
        <f t="shared" ca="1" si="124"/>
        <v>1.8282672427094599</v>
      </c>
    </row>
    <row r="952" spans="1:18" x14ac:dyDescent="0.3">
      <c r="A952" s="2">
        <f ca="1">IFERROR(__xludf.DUMMYFUNCTION("""COMPUTED_VALUE"""),45604.6666666666)</f>
        <v>45604.666666666599</v>
      </c>
      <c r="B952" s="1">
        <f ca="1">IFERROR(__xludf.DUMMYFUNCTION("""COMPUTED_VALUE"""),598.19)</f>
        <v>598.19000000000005</v>
      </c>
      <c r="C952" s="1">
        <f ca="1">IFERROR(__xludf.DUMMYFUNCTION("""COMPUTED_VALUE"""),226.96)</f>
        <v>226.96</v>
      </c>
      <c r="D952" s="1">
        <f ca="1">IFERROR(__xludf.DUMMYFUNCTION("""COMPUTED_VALUE"""),422.54)</f>
        <v>422.54</v>
      </c>
      <c r="E952" s="1">
        <f ca="1">IFERROR(__xludf.DUMMYFUNCTION("""COMPUTED_VALUE"""),239.29)</f>
        <v>239.29</v>
      </c>
      <c r="F952">
        <f t="shared" ca="1" si="117"/>
        <v>4.3316935578651145E-3</v>
      </c>
      <c r="G952">
        <f t="shared" ca="1" si="118"/>
        <v>-2.2859152452962099E-3</v>
      </c>
      <c r="H952">
        <f t="shared" ca="1" si="119"/>
        <v>-6.7931269539054278E-3</v>
      </c>
      <c r="I952">
        <f t="shared" ca="1" si="120"/>
        <v>9.7476580302135307E-3</v>
      </c>
      <c r="O952">
        <f t="shared" ca="1" si="121"/>
        <v>1.5899582702070525</v>
      </c>
      <c r="P952">
        <f t="shared" ca="1" si="122"/>
        <v>1.7306695134970291</v>
      </c>
      <c r="Q952">
        <f t="shared" ca="1" si="123"/>
        <v>1.7631546004590051</v>
      </c>
      <c r="R952">
        <f t="shared" ca="1" si="124"/>
        <v>1.8460885665792333</v>
      </c>
    </row>
    <row r="953" spans="1:18" x14ac:dyDescent="0.3">
      <c r="A953" s="2">
        <f ca="1">IFERROR(__xludf.DUMMYFUNCTION("""COMPUTED_VALUE"""),45607.6666666666)</f>
        <v>45607.666666666599</v>
      </c>
      <c r="B953" s="1">
        <f ca="1">IFERROR(__xludf.DUMMYFUNCTION("""COMPUTED_VALUE"""),598.76)</f>
        <v>598.76</v>
      </c>
      <c r="C953" s="1">
        <f ca="1">IFERROR(__xludf.DUMMYFUNCTION("""COMPUTED_VALUE"""),224.23)</f>
        <v>224.23</v>
      </c>
      <c r="D953" s="1">
        <f ca="1">IFERROR(__xludf.DUMMYFUNCTION("""COMPUTED_VALUE"""),418.01)</f>
        <v>418.01</v>
      </c>
      <c r="E953" s="1">
        <f ca="1">IFERROR(__xludf.DUMMYFUNCTION("""COMPUTED_VALUE"""),239.56)</f>
        <v>239.56</v>
      </c>
      <c r="F953">
        <f t="shared" ca="1" si="117"/>
        <v>9.5287450475590747E-4</v>
      </c>
      <c r="G953">
        <f t="shared" ca="1" si="118"/>
        <v>-1.2028551286570401E-2</v>
      </c>
      <c r="H953">
        <f t="shared" ca="1" si="119"/>
        <v>-1.072087849671044E-2</v>
      </c>
      <c r="I953">
        <f t="shared" ca="1" si="120"/>
        <v>1.1283379999164622E-3</v>
      </c>
      <c r="O953">
        <f t="shared" ca="1" si="121"/>
        <v>1.5914733009063589</v>
      </c>
      <c r="P953">
        <f t="shared" ca="1" si="122"/>
        <v>1.7098520664938262</v>
      </c>
      <c r="Q953">
        <f t="shared" ca="1" si="123"/>
        <v>1.7442520342165679</v>
      </c>
      <c r="R953">
        <f t="shared" ca="1" si="124"/>
        <v>1.848171578460116</v>
      </c>
    </row>
    <row r="954" spans="1:18" x14ac:dyDescent="0.3">
      <c r="A954" s="2">
        <f ca="1">IFERROR(__xludf.DUMMYFUNCTION("""COMPUTED_VALUE"""),45608.6666666666)</f>
        <v>45608.666666666599</v>
      </c>
      <c r="B954" s="1">
        <f ca="1">IFERROR(__xludf.DUMMYFUNCTION("""COMPUTED_VALUE"""),596.9)</f>
        <v>596.9</v>
      </c>
      <c r="C954" s="1">
        <f ca="1">IFERROR(__xludf.DUMMYFUNCTION("""COMPUTED_VALUE"""),224.23)</f>
        <v>224.23</v>
      </c>
      <c r="D954" s="1">
        <f ca="1">IFERROR(__xludf.DUMMYFUNCTION("""COMPUTED_VALUE"""),423.03)</f>
        <v>423.03</v>
      </c>
      <c r="E954" s="1">
        <f ca="1">IFERROR(__xludf.DUMMYFUNCTION("""COMPUTED_VALUE"""),241.16)</f>
        <v>241.16</v>
      </c>
      <c r="F954">
        <f t="shared" ca="1" si="117"/>
        <v>-3.1064199345313876E-3</v>
      </c>
      <c r="G954">
        <f t="shared" ca="1" si="118"/>
        <v>0</v>
      </c>
      <c r="H954">
        <f t="shared" ca="1" si="119"/>
        <v>1.2009282074591473E-2</v>
      </c>
      <c r="I954">
        <f t="shared" ca="1" si="120"/>
        <v>6.6789113374519718E-3</v>
      </c>
      <c r="O954">
        <f t="shared" ca="1" si="121"/>
        <v>1.5865295165191489</v>
      </c>
      <c r="P954">
        <f t="shared" ca="1" si="122"/>
        <v>1.7098520664938262</v>
      </c>
      <c r="Q954">
        <f t="shared" ca="1" si="123"/>
        <v>1.7651992489046546</v>
      </c>
      <c r="R954">
        <f t="shared" ca="1" si="124"/>
        <v>1.8605153525690497</v>
      </c>
    </row>
    <row r="955" spans="1:18" x14ac:dyDescent="0.3">
      <c r="A955" s="2">
        <f ca="1">IFERROR(__xludf.DUMMYFUNCTION("""COMPUTED_VALUE"""),45609.6666666666)</f>
        <v>45609.666666666599</v>
      </c>
      <c r="B955" s="1">
        <f ca="1">IFERROR(__xludf.DUMMYFUNCTION("""COMPUTED_VALUE"""),597.19)</f>
        <v>597.19000000000005</v>
      </c>
      <c r="C955" s="1">
        <f ca="1">IFERROR(__xludf.DUMMYFUNCTION("""COMPUTED_VALUE"""),225.12)</f>
        <v>225.12</v>
      </c>
      <c r="D955" s="1">
        <f ca="1">IFERROR(__xludf.DUMMYFUNCTION("""COMPUTED_VALUE"""),425.2)</f>
        <v>425.2</v>
      </c>
      <c r="E955" s="1">
        <f ca="1">IFERROR(__xludf.DUMMYFUNCTION("""COMPUTED_VALUE"""),241.87)</f>
        <v>241.87</v>
      </c>
      <c r="F955">
        <f t="shared" ca="1" si="117"/>
        <v>4.8584352487866865E-4</v>
      </c>
      <c r="G955">
        <f t="shared" ca="1" si="118"/>
        <v>3.9691388306650087E-3</v>
      </c>
      <c r="H955">
        <f t="shared" ca="1" si="119"/>
        <v>5.1296598349999199E-3</v>
      </c>
      <c r="I955">
        <f t="shared" ca="1" si="120"/>
        <v>2.9441034997512356E-3</v>
      </c>
      <c r="O955">
        <f t="shared" ca="1" si="121"/>
        <v>1.5873003216117787</v>
      </c>
      <c r="P955">
        <f t="shared" ca="1" si="122"/>
        <v>1.7166387067256397</v>
      </c>
      <c r="Q955">
        <f t="shared" ca="1" si="123"/>
        <v>1.7742541205925328</v>
      </c>
      <c r="R955">
        <f t="shared" ca="1" si="124"/>
        <v>1.8659929023298891</v>
      </c>
    </row>
    <row r="956" spans="1:18" x14ac:dyDescent="0.3">
      <c r="A956" s="2">
        <f ca="1">IFERROR(__xludf.DUMMYFUNCTION("""COMPUTED_VALUE"""),45610.6666666666)</f>
        <v>45610.666666666599</v>
      </c>
      <c r="B956" s="1">
        <f ca="1">IFERROR(__xludf.DUMMYFUNCTION("""COMPUTED_VALUE"""),593.35)</f>
        <v>593.35</v>
      </c>
      <c r="C956" s="1">
        <f ca="1">IFERROR(__xludf.DUMMYFUNCTION("""COMPUTED_VALUE"""),228.22)</f>
        <v>228.22</v>
      </c>
      <c r="D956" s="1">
        <f ca="1">IFERROR(__xludf.DUMMYFUNCTION("""COMPUTED_VALUE"""),426.89)</f>
        <v>426.89</v>
      </c>
      <c r="E956" s="1">
        <f ca="1">IFERROR(__xludf.DUMMYFUNCTION("""COMPUTED_VALUE"""),245.31)</f>
        <v>245.31</v>
      </c>
      <c r="F956">
        <f t="shared" ca="1" si="117"/>
        <v>-6.4301143689613552E-3</v>
      </c>
      <c r="G956">
        <f t="shared" ca="1" si="118"/>
        <v>1.3770433546552925E-2</v>
      </c>
      <c r="H956">
        <f t="shared" ca="1" si="119"/>
        <v>3.9746001881467491E-3</v>
      </c>
      <c r="I956">
        <f t="shared" ca="1" si="120"/>
        <v>1.4222516227725628E-2</v>
      </c>
      <c r="O956">
        <f t="shared" ca="1" si="121"/>
        <v>1.5770937990059257</v>
      </c>
      <c r="P956">
        <f t="shared" ca="1" si="122"/>
        <v>1.7402775659600456</v>
      </c>
      <c r="Q956">
        <f t="shared" ca="1" si="123"/>
        <v>1.7813060713540598</v>
      </c>
      <c r="R956">
        <f t="shared" ca="1" si="124"/>
        <v>1.8925320166640969</v>
      </c>
    </row>
    <row r="957" spans="1:18" x14ac:dyDescent="0.3">
      <c r="A957" s="2">
        <f ca="1">IFERROR(__xludf.DUMMYFUNCTION("""COMPUTED_VALUE"""),45611.6666666666)</f>
        <v>45611.666666666599</v>
      </c>
      <c r="B957" s="1">
        <f ca="1">IFERROR(__xludf.DUMMYFUNCTION("""COMPUTED_VALUE"""),585.75)</f>
        <v>585.75</v>
      </c>
      <c r="C957" s="1">
        <f ca="1">IFERROR(__xludf.DUMMYFUNCTION("""COMPUTED_VALUE"""),225)</f>
        <v>225</v>
      </c>
      <c r="D957" s="1">
        <f ca="1">IFERROR(__xludf.DUMMYFUNCTION("""COMPUTED_VALUE"""),415)</f>
        <v>415</v>
      </c>
      <c r="E957" s="1">
        <f ca="1">IFERROR(__xludf.DUMMYFUNCTION("""COMPUTED_VALUE"""),245.03)</f>
        <v>245.03</v>
      </c>
      <c r="F957">
        <f t="shared" ca="1" si="117"/>
        <v>-1.2808628971096355E-2</v>
      </c>
      <c r="G957">
        <f t="shared" ca="1" si="118"/>
        <v>-1.4109192884059237E-2</v>
      </c>
      <c r="H957">
        <f t="shared" ca="1" si="119"/>
        <v>-2.7852608400290441E-2</v>
      </c>
      <c r="I957">
        <f t="shared" ca="1" si="120"/>
        <v>-1.1414129061187931E-3</v>
      </c>
      <c r="O957">
        <f t="shared" ca="1" si="121"/>
        <v>1.556893389681842</v>
      </c>
      <c r="P957">
        <f t="shared" ca="1" si="122"/>
        <v>1.7157236541101142</v>
      </c>
      <c r="Q957">
        <f t="shared" ca="1" si="123"/>
        <v>1.7316920509075753</v>
      </c>
      <c r="R957">
        <f t="shared" ca="1" si="124"/>
        <v>1.8903718561950333</v>
      </c>
    </row>
    <row r="958" spans="1:18" x14ac:dyDescent="0.3">
      <c r="A958" s="2">
        <f ca="1">IFERROR(__xludf.DUMMYFUNCTION("""COMPUTED_VALUE"""),45614.6666666666)</f>
        <v>45614.666666666599</v>
      </c>
      <c r="B958" s="1">
        <f ca="1">IFERROR(__xludf.DUMMYFUNCTION("""COMPUTED_VALUE"""),588.15)</f>
        <v>588.15</v>
      </c>
      <c r="C958" s="1">
        <f ca="1">IFERROR(__xludf.DUMMYFUNCTION("""COMPUTED_VALUE"""),228.02)</f>
        <v>228.02</v>
      </c>
      <c r="D958" s="1">
        <f ca="1">IFERROR(__xludf.DUMMYFUNCTION("""COMPUTED_VALUE"""),415.76)</f>
        <v>415.76</v>
      </c>
      <c r="E958" s="1">
        <f ca="1">IFERROR(__xludf.DUMMYFUNCTION("""COMPUTED_VALUE"""),243.09)</f>
        <v>243.09</v>
      </c>
      <c r="F958">
        <f t="shared" ca="1" si="117"/>
        <v>4.0973111395646222E-3</v>
      </c>
      <c r="G958">
        <f t="shared" ca="1" si="118"/>
        <v>1.3422222222222268E-2</v>
      </c>
      <c r="H958">
        <f t="shared" ca="1" si="119"/>
        <v>1.8313253012047974E-3</v>
      </c>
      <c r="I958">
        <f t="shared" ca="1" si="120"/>
        <v>-7.9173978696486045E-3</v>
      </c>
      <c r="O958">
        <f t="shared" ca="1" si="121"/>
        <v>1.5632724663104998</v>
      </c>
      <c r="P958">
        <f t="shared" ca="1" si="122"/>
        <v>1.7387524782675032</v>
      </c>
      <c r="Q958">
        <f t="shared" ca="1" si="123"/>
        <v>1.7348633423742974</v>
      </c>
      <c r="R958">
        <f t="shared" ca="1" si="124"/>
        <v>1.875405030087951</v>
      </c>
    </row>
    <row r="959" spans="1:18" x14ac:dyDescent="0.3">
      <c r="A959" s="2">
        <f ca="1">IFERROR(__xludf.DUMMYFUNCTION("""COMPUTED_VALUE"""),45615.6666666666)</f>
        <v>45615.666666666599</v>
      </c>
      <c r="B959" s="1">
        <f ca="1">IFERROR(__xludf.DUMMYFUNCTION("""COMPUTED_VALUE"""),590.3)</f>
        <v>590.29999999999995</v>
      </c>
      <c r="C959" s="1">
        <f ca="1">IFERROR(__xludf.DUMMYFUNCTION("""COMPUTED_VALUE"""),228.28)</f>
        <v>228.28</v>
      </c>
      <c r="D959" s="1">
        <f ca="1">IFERROR(__xludf.DUMMYFUNCTION("""COMPUTED_VALUE"""),417.79)</f>
        <v>417.79</v>
      </c>
      <c r="E959" s="1">
        <f ca="1">IFERROR(__xludf.DUMMYFUNCTION("""COMPUTED_VALUE"""),240.78)</f>
        <v>240.78</v>
      </c>
      <c r="F959">
        <f t="shared" ca="1" si="117"/>
        <v>3.6555300518574807E-3</v>
      </c>
      <c r="G959">
        <f t="shared" ca="1" si="118"/>
        <v>1.1402508551881015E-3</v>
      </c>
      <c r="H959">
        <f t="shared" ca="1" si="119"/>
        <v>4.8826245911103268E-3</v>
      </c>
      <c r="I959">
        <f t="shared" ca="1" si="120"/>
        <v>-9.5026533382697852E-3</v>
      </c>
      <c r="O959">
        <f t="shared" ca="1" si="121"/>
        <v>1.5689870557903391</v>
      </c>
      <c r="P959">
        <f t="shared" ca="1" si="122"/>
        <v>1.7407350922678082</v>
      </c>
      <c r="Q959">
        <f t="shared" ca="1" si="123"/>
        <v>1.7433340287919898</v>
      </c>
      <c r="R959">
        <f t="shared" ca="1" si="124"/>
        <v>1.8575837062181777</v>
      </c>
    </row>
    <row r="960" spans="1:18" x14ac:dyDescent="0.3">
      <c r="A960" s="2">
        <f ca="1">IFERROR(__xludf.DUMMYFUNCTION("""COMPUTED_VALUE"""),45616.6666666666)</f>
        <v>45616.666666666599</v>
      </c>
      <c r="B960" s="1">
        <f ca="1">IFERROR(__xludf.DUMMYFUNCTION("""COMPUTED_VALUE"""),590.5)</f>
        <v>590.5</v>
      </c>
      <c r="C960" s="1">
        <f ca="1">IFERROR(__xludf.DUMMYFUNCTION("""COMPUTED_VALUE"""),229)</f>
        <v>229</v>
      </c>
      <c r="D960" s="1">
        <f ca="1">IFERROR(__xludf.DUMMYFUNCTION("""COMPUTED_VALUE"""),415.49)</f>
        <v>415.49</v>
      </c>
      <c r="E960" s="1">
        <f ca="1">IFERROR(__xludf.DUMMYFUNCTION("""COMPUTED_VALUE"""),244.76)</f>
        <v>244.76</v>
      </c>
      <c r="F960">
        <f t="shared" ca="1" si="117"/>
        <v>3.3881077418269608E-4</v>
      </c>
      <c r="G960">
        <f t="shared" ca="1" si="118"/>
        <v>3.1540213772559963E-3</v>
      </c>
      <c r="H960">
        <f t="shared" ca="1" si="119"/>
        <v>-5.5051580937791984E-3</v>
      </c>
      <c r="I960">
        <f t="shared" ca="1" si="120"/>
        <v>1.6529612094027701E-2</v>
      </c>
      <c r="O960">
        <f t="shared" ca="1" si="121"/>
        <v>1.5695186455093939</v>
      </c>
      <c r="P960">
        <f t="shared" ca="1" si="122"/>
        <v>1.7462254079609607</v>
      </c>
      <c r="Q960">
        <f t="shared" ca="1" si="123"/>
        <v>1.7337366993532251</v>
      </c>
      <c r="R960">
        <f t="shared" ca="1" si="124"/>
        <v>1.8882888443141506</v>
      </c>
    </row>
    <row r="961" spans="1:18" x14ac:dyDescent="0.3">
      <c r="A961" s="2">
        <f ca="1">IFERROR(__xludf.DUMMYFUNCTION("""COMPUTED_VALUE"""),45617.6666666666)</f>
        <v>45617.666666666599</v>
      </c>
      <c r="B961" s="1">
        <f ca="1">IFERROR(__xludf.DUMMYFUNCTION("""COMPUTED_VALUE"""),593.67)</f>
        <v>593.66999999999996</v>
      </c>
      <c r="C961" s="1">
        <f ca="1">IFERROR(__xludf.DUMMYFUNCTION("""COMPUTED_VALUE"""),228.52)</f>
        <v>228.52</v>
      </c>
      <c r="D961" s="1">
        <f ca="1">IFERROR(__xludf.DUMMYFUNCTION("""COMPUTED_VALUE"""),412.87)</f>
        <v>412.87</v>
      </c>
      <c r="E961" s="1">
        <f ca="1">IFERROR(__xludf.DUMMYFUNCTION("""COMPUTED_VALUE"""),248.55)</f>
        <v>248.55</v>
      </c>
      <c r="F961">
        <f t="shared" ca="1" si="117"/>
        <v>5.3683319220998458E-3</v>
      </c>
      <c r="G961">
        <f t="shared" ca="1" si="118"/>
        <v>-2.0960698689955885E-3</v>
      </c>
      <c r="H961">
        <f t="shared" ca="1" si="119"/>
        <v>-6.3058076006642866E-3</v>
      </c>
      <c r="I961">
        <f t="shared" ca="1" si="120"/>
        <v>1.5484556300049112E-2</v>
      </c>
      <c r="O961">
        <f t="shared" ca="1" si="121"/>
        <v>1.5779443425564128</v>
      </c>
      <c r="P961">
        <f t="shared" ca="1" si="122"/>
        <v>1.7425651974988592</v>
      </c>
      <c r="Q961">
        <f t="shared" ca="1" si="123"/>
        <v>1.722804089296893</v>
      </c>
      <c r="R961">
        <f t="shared" ca="1" si="124"/>
        <v>1.9175281592346878</v>
      </c>
    </row>
    <row r="962" spans="1:18" x14ac:dyDescent="0.3">
      <c r="A962" s="2">
        <f ca="1">IFERROR(__xludf.DUMMYFUNCTION("""COMPUTED_VALUE"""),45618.6666666666)</f>
        <v>45618.666666666599</v>
      </c>
      <c r="B962" s="1">
        <f ca="1">IFERROR(__xludf.DUMMYFUNCTION("""COMPUTED_VALUE"""),595.51)</f>
        <v>595.51</v>
      </c>
      <c r="C962" s="1">
        <f ca="1">IFERROR(__xludf.DUMMYFUNCTION("""COMPUTED_VALUE"""),229.87)</f>
        <v>229.87</v>
      </c>
      <c r="D962" s="1">
        <f ca="1">IFERROR(__xludf.DUMMYFUNCTION("""COMPUTED_VALUE"""),417)</f>
        <v>417</v>
      </c>
      <c r="E962" s="1">
        <f ca="1">IFERROR(__xludf.DUMMYFUNCTION("""COMPUTED_VALUE"""),250.29)</f>
        <v>250.29</v>
      </c>
      <c r="F962">
        <f t="shared" ca="1" si="117"/>
        <v>3.0993649670693012E-3</v>
      </c>
      <c r="G962">
        <f t="shared" ca="1" si="118"/>
        <v>5.907579205321172E-3</v>
      </c>
      <c r="H962">
        <f t="shared" ca="1" si="119"/>
        <v>1.0003148690871207E-2</v>
      </c>
      <c r="I962">
        <f t="shared" ca="1" si="120"/>
        <v>7.0006035003016718E-3</v>
      </c>
      <c r="O962">
        <f t="shared" ca="1" si="121"/>
        <v>1.5828349679717171</v>
      </c>
      <c r="P962">
        <f t="shared" ca="1" si="122"/>
        <v>1.7528595394235198</v>
      </c>
      <c r="Q962">
        <f t="shared" ca="1" si="123"/>
        <v>1.7400375547673708</v>
      </c>
      <c r="R962">
        <f t="shared" ca="1" si="124"/>
        <v>1.930952013578153</v>
      </c>
    </row>
    <row r="963" spans="1:18" x14ac:dyDescent="0.3">
      <c r="A963" s="2">
        <f ca="1">IFERROR(__xludf.DUMMYFUNCTION("""COMPUTED_VALUE"""),45621.6666666666)</f>
        <v>45621.666666666599</v>
      </c>
      <c r="B963" s="1">
        <f ca="1">IFERROR(__xludf.DUMMYFUNCTION("""COMPUTED_VALUE"""),597.53)</f>
        <v>597.53</v>
      </c>
      <c r="C963" s="1">
        <f ca="1">IFERROR(__xludf.DUMMYFUNCTION("""COMPUTED_VALUE"""),232.87)</f>
        <v>232.87</v>
      </c>
      <c r="D963" s="1">
        <f ca="1">IFERROR(__xludf.DUMMYFUNCTION("""COMPUTED_VALUE"""),418.79)</f>
        <v>418.79</v>
      </c>
      <c r="E963" s="1">
        <f ca="1">IFERROR(__xludf.DUMMYFUNCTION("""COMPUTED_VALUE"""),249.97)</f>
        <v>249.97</v>
      </c>
      <c r="F963">
        <f t="shared" ca="1" si="117"/>
        <v>3.3920505113263955E-3</v>
      </c>
      <c r="G963">
        <f t="shared" ca="1" si="118"/>
        <v>1.3050854830991429E-2</v>
      </c>
      <c r="H963">
        <f t="shared" ca="1" si="119"/>
        <v>4.292565947242255E-3</v>
      </c>
      <c r="I963">
        <f t="shared" ca="1" si="120"/>
        <v>-1.2785169203723408E-3</v>
      </c>
      <c r="O963">
        <f t="shared" ca="1" si="121"/>
        <v>1.5882040241341706</v>
      </c>
      <c r="P963">
        <f t="shared" ca="1" si="122"/>
        <v>1.7757358548116544</v>
      </c>
      <c r="Q963">
        <f t="shared" ca="1" si="123"/>
        <v>1.747506780721888</v>
      </c>
      <c r="R963">
        <f t="shared" ca="1" si="124"/>
        <v>1.9284832587563665</v>
      </c>
    </row>
    <row r="964" spans="1:18" x14ac:dyDescent="0.3">
      <c r="A964" s="2">
        <f ca="1">IFERROR(__xludf.DUMMYFUNCTION("""COMPUTED_VALUE"""),45622.6666666666)</f>
        <v>45622.666666666599</v>
      </c>
      <c r="B964" s="1">
        <f ca="1">IFERROR(__xludf.DUMMYFUNCTION("""COMPUTED_VALUE"""),600.65)</f>
        <v>600.65</v>
      </c>
      <c r="C964" s="1">
        <f ca="1">IFERROR(__xludf.DUMMYFUNCTION("""COMPUTED_VALUE"""),235.06)</f>
        <v>235.06</v>
      </c>
      <c r="D964" s="1">
        <f ca="1">IFERROR(__xludf.DUMMYFUNCTION("""COMPUTED_VALUE"""),427.99)</f>
        <v>427.99</v>
      </c>
      <c r="E964" s="1">
        <f ca="1">IFERROR(__xludf.DUMMYFUNCTION("""COMPUTED_VALUE"""),249.79)</f>
        <v>249.79</v>
      </c>
      <c r="F964">
        <f t="shared" ref="F964:F1027" ca="1" si="125">(B964-B963)/B963</f>
        <v>5.2214951550549841E-3</v>
      </c>
      <c r="G964">
        <f t="shared" ref="G964:G1027" ca="1" si="126">(C964-C963)/C963</f>
        <v>9.4043887147335324E-3</v>
      </c>
      <c r="H964">
        <f t="shared" ref="H964:H1027" ca="1" si="127">(D964-D963)/D963</f>
        <v>2.1968050813056635E-2</v>
      </c>
      <c r="I964">
        <f t="shared" ref="I964:I1027" ca="1" si="128">(E964-E963)/E963</f>
        <v>-7.2008641036927165E-4</v>
      </c>
      <c r="O964">
        <f t="shared" ref="O964:O1027" ca="1" si="129">O963*(1+F964)</f>
        <v>1.5964968237514259</v>
      </c>
      <c r="P964">
        <f t="shared" ref="P964:P1027" ca="1" si="130">P963*(1+G964)</f>
        <v>1.7924355650449928</v>
      </c>
      <c r="Q964">
        <f t="shared" ref="Q964:Q1027" ca="1" si="131">Q963*(1+H964)</f>
        <v>1.7858960984769474</v>
      </c>
      <c r="R964">
        <f t="shared" ref="R964:R1027" ca="1" si="132">R963*(1+I964)</f>
        <v>1.9270945841691114</v>
      </c>
    </row>
    <row r="965" spans="1:18" x14ac:dyDescent="0.3">
      <c r="A965" s="2">
        <f ca="1">IFERROR(__xludf.DUMMYFUNCTION("""COMPUTED_VALUE"""),45623.6666666666)</f>
        <v>45623.666666666599</v>
      </c>
      <c r="B965" s="1">
        <f ca="1">IFERROR(__xludf.DUMMYFUNCTION("""COMPUTED_VALUE"""),598.83)</f>
        <v>598.83000000000004</v>
      </c>
      <c r="C965" s="1">
        <f ca="1">IFERROR(__xludf.DUMMYFUNCTION("""COMPUTED_VALUE"""),234.93)</f>
        <v>234.93</v>
      </c>
      <c r="D965" s="1">
        <f ca="1">IFERROR(__xludf.DUMMYFUNCTION("""COMPUTED_VALUE"""),422.99)</f>
        <v>422.99</v>
      </c>
      <c r="E965" s="1">
        <f ca="1">IFERROR(__xludf.DUMMYFUNCTION("""COMPUTED_VALUE"""),249.72)</f>
        <v>249.72</v>
      </c>
      <c r="F965">
        <f t="shared" ca="1" si="125"/>
        <v>-3.0300507783233769E-3</v>
      </c>
      <c r="G965">
        <f t="shared" ca="1" si="126"/>
        <v>-5.530502850335891E-4</v>
      </c>
      <c r="H965">
        <f t="shared" ca="1" si="127"/>
        <v>-1.1682515946634267E-2</v>
      </c>
      <c r="I965">
        <f t="shared" ca="1" si="128"/>
        <v>-2.8023539773406936E-4</v>
      </c>
      <c r="O965">
        <f t="shared" ca="1" si="129"/>
        <v>1.5916593573080271</v>
      </c>
      <c r="P965">
        <f t="shared" ca="1" si="130"/>
        <v>1.7914442580448402</v>
      </c>
      <c r="Q965">
        <f t="shared" ca="1" si="131"/>
        <v>1.7650323388274585</v>
      </c>
      <c r="R965">
        <f t="shared" ca="1" si="132"/>
        <v>1.9265545440518457</v>
      </c>
    </row>
    <row r="966" spans="1:18" x14ac:dyDescent="0.3">
      <c r="A966" s="2">
        <f ca="1">IFERROR(__xludf.DUMMYFUNCTION("""COMPUTED_VALUE"""),45625.5520833333)</f>
        <v>45625.552083333299</v>
      </c>
      <c r="B966" s="1">
        <f ca="1">IFERROR(__xludf.DUMMYFUNCTION("""COMPUTED_VALUE"""),602.55)</f>
        <v>602.54999999999995</v>
      </c>
      <c r="C966" s="1">
        <f ca="1">IFERROR(__xludf.DUMMYFUNCTION("""COMPUTED_VALUE"""),237.33)</f>
        <v>237.33</v>
      </c>
      <c r="D966" s="1">
        <f ca="1">IFERROR(__xludf.DUMMYFUNCTION("""COMPUTED_VALUE"""),423.46)</f>
        <v>423.46</v>
      </c>
      <c r="E966" s="1">
        <f ca="1">IFERROR(__xludf.DUMMYFUNCTION("""COMPUTED_VALUE"""),246.25)</f>
        <v>246.25</v>
      </c>
      <c r="F966">
        <f t="shared" ca="1" si="125"/>
        <v>6.2121136215619009E-3</v>
      </c>
      <c r="G966">
        <f t="shared" ca="1" si="126"/>
        <v>1.0215808964372391E-2</v>
      </c>
      <c r="H966">
        <f t="shared" ca="1" si="127"/>
        <v>1.1111373791341886E-3</v>
      </c>
      <c r="I966">
        <f t="shared" ca="1" si="128"/>
        <v>-1.3895563030594261E-2</v>
      </c>
      <c r="O966">
        <f t="shared" ca="1" si="129"/>
        <v>1.6015469260824466</v>
      </c>
      <c r="P966">
        <f t="shared" ca="1" si="130"/>
        <v>1.8097453103553482</v>
      </c>
      <c r="Q966">
        <f t="shared" ca="1" si="131"/>
        <v>1.7669935322345103</v>
      </c>
      <c r="R966">
        <f t="shared" ca="1" si="132"/>
        <v>1.8997839839530954</v>
      </c>
    </row>
    <row r="967" spans="1:18" x14ac:dyDescent="0.3">
      <c r="A967" s="2">
        <f ca="1">IFERROR(__xludf.DUMMYFUNCTION("""COMPUTED_VALUE"""),45628.6666666666)</f>
        <v>45628.666666666599</v>
      </c>
      <c r="B967" s="1">
        <f ca="1">IFERROR(__xludf.DUMMYFUNCTION("""COMPUTED_VALUE"""),603.63)</f>
        <v>603.63</v>
      </c>
      <c r="C967" s="1">
        <f ca="1">IFERROR(__xludf.DUMMYFUNCTION("""COMPUTED_VALUE"""),239.59)</f>
        <v>239.59</v>
      </c>
      <c r="D967" s="1">
        <f ca="1">IFERROR(__xludf.DUMMYFUNCTION("""COMPUTED_VALUE"""),430.98)</f>
        <v>430.98</v>
      </c>
      <c r="E967" s="1">
        <f ca="1">IFERROR(__xludf.DUMMYFUNCTION("""COMPUTED_VALUE"""),244.82)</f>
        <v>244.82</v>
      </c>
      <c r="F967">
        <f t="shared" ca="1" si="125"/>
        <v>1.7923823749067147E-3</v>
      </c>
      <c r="G967">
        <f t="shared" ca="1" si="126"/>
        <v>9.5226056545737615E-3</v>
      </c>
      <c r="H967">
        <f t="shared" ca="1" si="127"/>
        <v>1.7758465970811974E-2</v>
      </c>
      <c r="I967">
        <f t="shared" ca="1" si="128"/>
        <v>-5.8071065989847995E-3</v>
      </c>
      <c r="O967">
        <f t="shared" ca="1" si="129"/>
        <v>1.6044175105653427</v>
      </c>
      <c r="P967">
        <f t="shared" ca="1" si="130"/>
        <v>1.8269788012810766</v>
      </c>
      <c r="Q967">
        <f t="shared" ca="1" si="131"/>
        <v>1.7983726267473414</v>
      </c>
      <c r="R967">
        <f t="shared" ca="1" si="132"/>
        <v>1.888751735843236</v>
      </c>
    </row>
    <row r="968" spans="1:18" x14ac:dyDescent="0.3">
      <c r="A968" s="2">
        <f ca="1">IFERROR(__xludf.DUMMYFUNCTION("""COMPUTED_VALUE"""),45629.6666666666)</f>
        <v>45629.666666666599</v>
      </c>
      <c r="B968" s="1">
        <f ca="1">IFERROR(__xludf.DUMMYFUNCTION("""COMPUTED_VALUE"""),603.91)</f>
        <v>603.91</v>
      </c>
      <c r="C968" s="1">
        <f ca="1">IFERROR(__xludf.DUMMYFUNCTION("""COMPUTED_VALUE"""),242.65)</f>
        <v>242.65</v>
      </c>
      <c r="D968" s="1">
        <f ca="1">IFERROR(__xludf.DUMMYFUNCTION("""COMPUTED_VALUE"""),431.2)</f>
        <v>431.2</v>
      </c>
      <c r="E968" s="1">
        <f ca="1">IFERROR(__xludf.DUMMYFUNCTION("""COMPUTED_VALUE"""),243.4)</f>
        <v>243.4</v>
      </c>
      <c r="F968">
        <f t="shared" ca="1" si="125"/>
        <v>4.6386031178035009E-4</v>
      </c>
      <c r="G968">
        <f t="shared" ca="1" si="126"/>
        <v>1.2771818523310665E-2</v>
      </c>
      <c r="H968">
        <f t="shared" ca="1" si="127"/>
        <v>5.1046452271560265E-4</v>
      </c>
      <c r="I968">
        <f t="shared" ca="1" si="128"/>
        <v>-5.8001797238787173E-3</v>
      </c>
      <c r="O968">
        <f t="shared" ca="1" si="129"/>
        <v>1.6051617361720194</v>
      </c>
      <c r="P968">
        <f t="shared" ca="1" si="130"/>
        <v>1.8503126429769743</v>
      </c>
      <c r="Q968">
        <f t="shared" ca="1" si="131"/>
        <v>1.7992906321719189</v>
      </c>
      <c r="R968">
        <f t="shared" ca="1" si="132"/>
        <v>1.8777966363215572</v>
      </c>
    </row>
    <row r="969" spans="1:18" x14ac:dyDescent="0.3">
      <c r="A969" s="2">
        <f ca="1">IFERROR(__xludf.DUMMYFUNCTION("""COMPUTED_VALUE"""),45630.6666666666)</f>
        <v>45630.666666666599</v>
      </c>
      <c r="B969" s="1">
        <f ca="1">IFERROR(__xludf.DUMMYFUNCTION("""COMPUTED_VALUE"""),607.66)</f>
        <v>607.66</v>
      </c>
      <c r="C969" s="1">
        <f ca="1">IFERROR(__xludf.DUMMYFUNCTION("""COMPUTED_VALUE"""),243.01)</f>
        <v>243.01</v>
      </c>
      <c r="D969" s="1">
        <f ca="1">IFERROR(__xludf.DUMMYFUNCTION("""COMPUTED_VALUE"""),437.42)</f>
        <v>437.42</v>
      </c>
      <c r="E969" s="1">
        <f ca="1">IFERROR(__xludf.DUMMYFUNCTION("""COMPUTED_VALUE"""),245.48)</f>
        <v>245.48</v>
      </c>
      <c r="F969">
        <f t="shared" ca="1" si="125"/>
        <v>6.2095345332913851E-3</v>
      </c>
      <c r="G969">
        <f t="shared" ca="1" si="126"/>
        <v>1.4836183803832071E-3</v>
      </c>
      <c r="H969">
        <f t="shared" ca="1" si="127"/>
        <v>1.4424860853432345E-2</v>
      </c>
      <c r="I969">
        <f t="shared" ca="1" si="128"/>
        <v>8.545603944124831E-3</v>
      </c>
      <c r="O969">
        <f t="shared" ca="1" si="129"/>
        <v>1.6151290434042973</v>
      </c>
      <c r="P969">
        <f t="shared" ca="1" si="130"/>
        <v>1.8530578008235503</v>
      </c>
      <c r="Q969">
        <f t="shared" ca="1" si="131"/>
        <v>1.825245149175883</v>
      </c>
      <c r="R969">
        <f t="shared" ca="1" si="132"/>
        <v>1.893843542663171</v>
      </c>
    </row>
    <row r="970" spans="1:18" x14ac:dyDescent="0.3">
      <c r="A970" s="2">
        <f ca="1">IFERROR(__xludf.DUMMYFUNCTION("""COMPUTED_VALUE"""),45631.6666666666)</f>
        <v>45631.666666666599</v>
      </c>
      <c r="B970" s="1">
        <f ca="1">IFERROR(__xludf.DUMMYFUNCTION("""COMPUTED_VALUE"""),606.66)</f>
        <v>606.66</v>
      </c>
      <c r="C970" s="1">
        <f ca="1">IFERROR(__xludf.DUMMYFUNCTION("""COMPUTED_VALUE"""),243.04)</f>
        <v>243.04</v>
      </c>
      <c r="D970" s="1">
        <f ca="1">IFERROR(__xludf.DUMMYFUNCTION("""COMPUTED_VALUE"""),442.62)</f>
        <v>442.62</v>
      </c>
      <c r="E970" s="1">
        <f ca="1">IFERROR(__xludf.DUMMYFUNCTION("""COMPUTED_VALUE"""),247.36)</f>
        <v>247.36</v>
      </c>
      <c r="F970">
        <f t="shared" ca="1" si="125"/>
        <v>-1.6456571108843761E-3</v>
      </c>
      <c r="G970">
        <f t="shared" ca="1" si="126"/>
        <v>1.2345170980618549E-4</v>
      </c>
      <c r="H970">
        <f t="shared" ca="1" si="127"/>
        <v>1.1887888070961521E-2</v>
      </c>
      <c r="I970">
        <f t="shared" ca="1" si="128"/>
        <v>7.6584650480691864E-3</v>
      </c>
      <c r="O970">
        <f t="shared" ca="1" si="129"/>
        <v>1.6124710948090231</v>
      </c>
      <c r="P970">
        <f t="shared" ca="1" si="130"/>
        <v>1.8532865639774314</v>
      </c>
      <c r="Q970">
        <f t="shared" ca="1" si="131"/>
        <v>1.8469434592113512</v>
      </c>
      <c r="R970">
        <f t="shared" ca="1" si="132"/>
        <v>1.9083474772411684</v>
      </c>
    </row>
    <row r="971" spans="1:18" x14ac:dyDescent="0.3">
      <c r="A971" s="2">
        <f ca="1">IFERROR(__xludf.DUMMYFUNCTION("""COMPUTED_VALUE"""),45632.6666666666)</f>
        <v>45632.666666666599</v>
      </c>
      <c r="B971" s="1">
        <f ca="1">IFERROR(__xludf.DUMMYFUNCTION("""COMPUTED_VALUE"""),607.81)</f>
        <v>607.80999999999995</v>
      </c>
      <c r="C971" s="1">
        <f ca="1">IFERROR(__xludf.DUMMYFUNCTION("""COMPUTED_VALUE"""),242.84)</f>
        <v>242.84</v>
      </c>
      <c r="D971" s="1">
        <f ca="1">IFERROR(__xludf.DUMMYFUNCTION("""COMPUTED_VALUE"""),443.57)</f>
        <v>443.57</v>
      </c>
      <c r="E971" s="1">
        <f ca="1">IFERROR(__xludf.DUMMYFUNCTION("""COMPUTED_VALUE"""),243.81)</f>
        <v>243.81</v>
      </c>
      <c r="F971">
        <f t="shared" ca="1" si="125"/>
        <v>1.8956252266508049E-3</v>
      </c>
      <c r="G971">
        <f t="shared" ca="1" si="126"/>
        <v>-8.2290980908487758E-4</v>
      </c>
      <c r="H971">
        <f t="shared" ca="1" si="127"/>
        <v>2.1463106050336376E-3</v>
      </c>
      <c r="I971">
        <f t="shared" ca="1" si="128"/>
        <v>-1.4351552393273008E-2</v>
      </c>
      <c r="O971">
        <f t="shared" ca="1" si="129"/>
        <v>1.6155277356935884</v>
      </c>
      <c r="P971">
        <f t="shared" ca="1" si="130"/>
        <v>1.8517614762848893</v>
      </c>
      <c r="Q971">
        <f t="shared" ca="1" si="131"/>
        <v>1.850907573544754</v>
      </c>
      <c r="R971">
        <f t="shared" ca="1" si="132"/>
        <v>1.8809597284369715</v>
      </c>
    </row>
    <row r="972" spans="1:18" x14ac:dyDescent="0.3">
      <c r="A972" s="2">
        <f ca="1">IFERROR(__xludf.DUMMYFUNCTION("""COMPUTED_VALUE"""),45635.6666666666)</f>
        <v>45635.666666666599</v>
      </c>
      <c r="B972" s="1">
        <f ca="1">IFERROR(__xludf.DUMMYFUNCTION("""COMPUTED_VALUE"""),604.68)</f>
        <v>604.67999999999995</v>
      </c>
      <c r="C972" s="1">
        <f ca="1">IFERROR(__xludf.DUMMYFUNCTION("""COMPUTED_VALUE"""),246.75)</f>
        <v>246.75</v>
      </c>
      <c r="D972" s="1">
        <f ca="1">IFERROR(__xludf.DUMMYFUNCTION("""COMPUTED_VALUE"""),446.02)</f>
        <v>446.02</v>
      </c>
      <c r="E972" s="1">
        <f ca="1">IFERROR(__xludf.DUMMYFUNCTION("""COMPUTED_VALUE"""),242.86)</f>
        <v>242.86</v>
      </c>
      <c r="F972">
        <f t="shared" ca="1" si="125"/>
        <v>-5.1496355769072499E-3</v>
      </c>
      <c r="G972">
        <f t="shared" ca="1" si="126"/>
        <v>1.6101136550815336E-2</v>
      </c>
      <c r="H972">
        <f t="shared" ca="1" si="127"/>
        <v>5.5233672250151918E-3</v>
      </c>
      <c r="I972">
        <f t="shared" ca="1" si="128"/>
        <v>-3.8964767646937721E-3</v>
      </c>
      <c r="O972">
        <f t="shared" ca="1" si="129"/>
        <v>1.6072083565903803</v>
      </c>
      <c r="P972">
        <f t="shared" ca="1" si="130"/>
        <v>1.8815769406740914</v>
      </c>
      <c r="Q972">
        <f t="shared" ca="1" si="131"/>
        <v>1.8611308157730035</v>
      </c>
      <c r="R972">
        <f t="shared" ca="1" si="132"/>
        <v>1.8736306125597921</v>
      </c>
    </row>
    <row r="973" spans="1:18" x14ac:dyDescent="0.3">
      <c r="A973" s="2">
        <f ca="1">IFERROR(__xludf.DUMMYFUNCTION("""COMPUTED_VALUE"""),45636.6666666666)</f>
        <v>45636.666666666599</v>
      </c>
      <c r="B973" s="1">
        <f ca="1">IFERROR(__xludf.DUMMYFUNCTION("""COMPUTED_VALUE"""),602.8)</f>
        <v>602.79999999999995</v>
      </c>
      <c r="C973" s="1">
        <f ca="1">IFERROR(__xludf.DUMMYFUNCTION("""COMPUTED_VALUE"""),247.77)</f>
        <v>247.77</v>
      </c>
      <c r="D973" s="1">
        <f ca="1">IFERROR(__xludf.DUMMYFUNCTION("""COMPUTED_VALUE"""),443.33)</f>
        <v>443.33</v>
      </c>
      <c r="E973" s="1">
        <f ca="1">IFERROR(__xludf.DUMMYFUNCTION("""COMPUTED_VALUE"""),243.53)</f>
        <v>243.53</v>
      </c>
      <c r="F973">
        <f t="shared" ca="1" si="125"/>
        <v>-3.1090824899120124E-3</v>
      </c>
      <c r="G973">
        <f t="shared" ca="1" si="126"/>
        <v>4.1337386018237493E-3</v>
      </c>
      <c r="H973">
        <f t="shared" ca="1" si="127"/>
        <v>-6.0311196807318005E-3</v>
      </c>
      <c r="I973">
        <f t="shared" ca="1" si="128"/>
        <v>2.7587910730461477E-3</v>
      </c>
      <c r="O973">
        <f t="shared" ca="1" si="129"/>
        <v>1.6022114132312648</v>
      </c>
      <c r="P973">
        <f t="shared" ca="1" si="130"/>
        <v>1.8893548879060571</v>
      </c>
      <c r="Q973">
        <f t="shared" ca="1" si="131"/>
        <v>1.8499061130815786</v>
      </c>
      <c r="R973">
        <f t="shared" ca="1" si="132"/>
        <v>1.8787995679679081</v>
      </c>
    </row>
    <row r="974" spans="1:18" x14ac:dyDescent="0.3">
      <c r="A974" s="2">
        <f ca="1">IFERROR(__xludf.DUMMYFUNCTION("""COMPUTED_VALUE"""),45637.6666666666)</f>
        <v>45637.666666666599</v>
      </c>
      <c r="B974" s="1">
        <f ca="1">IFERROR(__xludf.DUMMYFUNCTION("""COMPUTED_VALUE"""),607.46)</f>
        <v>607.46</v>
      </c>
      <c r="C974" s="1">
        <f ca="1">IFERROR(__xludf.DUMMYFUNCTION("""COMPUTED_VALUE"""),246.49)</f>
        <v>246.49</v>
      </c>
      <c r="D974" s="1">
        <f ca="1">IFERROR(__xludf.DUMMYFUNCTION("""COMPUTED_VALUE"""),448.99)</f>
        <v>448.99</v>
      </c>
      <c r="E974" s="1">
        <f ca="1">IFERROR(__xludf.DUMMYFUNCTION("""COMPUTED_VALUE"""),241.53)</f>
        <v>241.53</v>
      </c>
      <c r="F974">
        <f t="shared" ca="1" si="125"/>
        <v>7.7305905773060422E-3</v>
      </c>
      <c r="G974">
        <f t="shared" ca="1" si="126"/>
        <v>-5.166081446502809E-3</v>
      </c>
      <c r="H974">
        <f t="shared" ca="1" si="127"/>
        <v>1.2767013285814236E-2</v>
      </c>
      <c r="I974">
        <f t="shared" ca="1" si="128"/>
        <v>-8.2125405494189625E-3</v>
      </c>
      <c r="O974">
        <f t="shared" ca="1" si="129"/>
        <v>1.6145974536852425</v>
      </c>
      <c r="P974">
        <f t="shared" ca="1" si="130"/>
        <v>1.8795943266737862</v>
      </c>
      <c r="Q974">
        <f t="shared" ca="1" si="131"/>
        <v>1.8735238890048</v>
      </c>
      <c r="R974">
        <f t="shared" ca="1" si="132"/>
        <v>1.8633698503317409</v>
      </c>
    </row>
    <row r="975" spans="1:18" x14ac:dyDescent="0.3">
      <c r="A975" s="2">
        <f ca="1">IFERROR(__xludf.DUMMYFUNCTION("""COMPUTED_VALUE"""),45638.6666666666)</f>
        <v>45638.666666666599</v>
      </c>
      <c r="B975" s="1">
        <f ca="1">IFERROR(__xludf.DUMMYFUNCTION("""COMPUTED_VALUE"""),604.33)</f>
        <v>604.33000000000004</v>
      </c>
      <c r="C975" s="1">
        <f ca="1">IFERROR(__xludf.DUMMYFUNCTION("""COMPUTED_VALUE"""),247.96)</f>
        <v>247.96</v>
      </c>
      <c r="D975" s="1">
        <f ca="1">IFERROR(__xludf.DUMMYFUNCTION("""COMPUTED_VALUE"""),449.56)</f>
        <v>449.56</v>
      </c>
      <c r="E975" s="1">
        <f ca="1">IFERROR(__xludf.DUMMYFUNCTION("""COMPUTED_VALUE"""),239.94)</f>
        <v>239.94</v>
      </c>
      <c r="F975">
        <f t="shared" ca="1" si="125"/>
        <v>-5.1526026405030708E-3</v>
      </c>
      <c r="G975">
        <f t="shared" ca="1" si="126"/>
        <v>5.9637307801533486E-3</v>
      </c>
      <c r="H975">
        <f t="shared" ca="1" si="127"/>
        <v>1.2695160248557722E-3</v>
      </c>
      <c r="I975">
        <f t="shared" ca="1" si="128"/>
        <v>-6.5830331635821776E-3</v>
      </c>
      <c r="O975">
        <f t="shared" ca="1" si="129"/>
        <v>1.6062780745820344</v>
      </c>
      <c r="P975">
        <f t="shared" ca="1" si="130"/>
        <v>1.8908037212139726</v>
      </c>
      <c r="Q975">
        <f t="shared" ca="1" si="131"/>
        <v>1.8759023576048417</v>
      </c>
      <c r="R975">
        <f t="shared" ca="1" si="132"/>
        <v>1.8511032248109878</v>
      </c>
    </row>
    <row r="976" spans="1:18" x14ac:dyDescent="0.3">
      <c r="A976" s="2">
        <f ca="1">IFERROR(__xludf.DUMMYFUNCTION("""COMPUTED_VALUE"""),45639.6666666666)</f>
        <v>45639.666666666599</v>
      </c>
      <c r="B976" s="1">
        <f ca="1">IFERROR(__xludf.DUMMYFUNCTION("""COMPUTED_VALUE"""),604.21)</f>
        <v>604.21</v>
      </c>
      <c r="C976" s="1">
        <f ca="1">IFERROR(__xludf.DUMMYFUNCTION("""COMPUTED_VALUE"""),248.13)</f>
        <v>248.13</v>
      </c>
      <c r="D976" s="1">
        <f ca="1">IFERROR(__xludf.DUMMYFUNCTION("""COMPUTED_VALUE"""),447.27)</f>
        <v>447.27</v>
      </c>
      <c r="E976" s="1">
        <f ca="1">IFERROR(__xludf.DUMMYFUNCTION("""COMPUTED_VALUE"""),239.58)</f>
        <v>239.58</v>
      </c>
      <c r="F976">
        <f t="shared" ca="1" si="125"/>
        <v>-1.985670080916131E-4</v>
      </c>
      <c r="G976">
        <f t="shared" ca="1" si="126"/>
        <v>6.8559445071780724E-4</v>
      </c>
      <c r="H976">
        <f t="shared" ca="1" si="127"/>
        <v>-5.0938695613489196E-3</v>
      </c>
      <c r="I976">
        <f t="shared" ca="1" si="128"/>
        <v>-1.5003750937733818E-3</v>
      </c>
      <c r="O976">
        <f t="shared" ca="1" si="129"/>
        <v>1.6059591207506014</v>
      </c>
      <c r="P976">
        <f t="shared" ca="1" si="130"/>
        <v>1.8921000457526334</v>
      </c>
      <c r="Q976">
        <f t="shared" ca="1" si="131"/>
        <v>1.8663467556853757</v>
      </c>
      <c r="R976">
        <f t="shared" ca="1" si="132"/>
        <v>1.8483258756364778</v>
      </c>
    </row>
    <row r="977" spans="1:18" x14ac:dyDescent="0.3">
      <c r="A977" s="2">
        <f ca="1">IFERROR(__xludf.DUMMYFUNCTION("""COMPUTED_VALUE"""),45642.6666666666)</f>
        <v>45642.666666666599</v>
      </c>
      <c r="B977" s="1">
        <f ca="1">IFERROR(__xludf.DUMMYFUNCTION("""COMPUTED_VALUE"""),606.79)</f>
        <v>606.79</v>
      </c>
      <c r="C977" s="1">
        <f ca="1">IFERROR(__xludf.DUMMYFUNCTION("""COMPUTED_VALUE"""),251.04)</f>
        <v>251.04</v>
      </c>
      <c r="D977" s="1">
        <f ca="1">IFERROR(__xludf.DUMMYFUNCTION("""COMPUTED_VALUE"""),451.59)</f>
        <v>451.59</v>
      </c>
      <c r="E977" s="1">
        <f ca="1">IFERROR(__xludf.DUMMYFUNCTION("""COMPUTED_VALUE"""),238.36)</f>
        <v>238.36</v>
      </c>
      <c r="F977">
        <f t="shared" ca="1" si="125"/>
        <v>4.2700385627512409E-3</v>
      </c>
      <c r="G977">
        <f t="shared" ca="1" si="126"/>
        <v>1.1727723370813672E-2</v>
      </c>
      <c r="H977">
        <f t="shared" ca="1" si="127"/>
        <v>9.6585954792407121E-3</v>
      </c>
      <c r="I977">
        <f t="shared" ca="1" si="128"/>
        <v>-5.0922447616662441E-3</v>
      </c>
      <c r="O977">
        <f t="shared" ca="1" si="129"/>
        <v>1.6128166281264085</v>
      </c>
      <c r="P977">
        <f t="shared" ca="1" si="130"/>
        <v>1.9142900716791242</v>
      </c>
      <c r="Q977">
        <f t="shared" ca="1" si="131"/>
        <v>1.8843730440225341</v>
      </c>
      <c r="R977">
        <f t="shared" ca="1" si="132"/>
        <v>1.8389137478784157</v>
      </c>
    </row>
    <row r="978" spans="1:18" x14ac:dyDescent="0.3">
      <c r="A978" s="2">
        <f ca="1">IFERROR(__xludf.DUMMYFUNCTION("""COMPUTED_VALUE"""),45643.6666666666)</f>
        <v>45643.666666666599</v>
      </c>
      <c r="B978" s="1">
        <f ca="1">IFERROR(__xludf.DUMMYFUNCTION("""COMPUTED_VALUE"""),604.29)</f>
        <v>604.29</v>
      </c>
      <c r="C978" s="1">
        <f ca="1">IFERROR(__xludf.DUMMYFUNCTION("""COMPUTED_VALUE"""),253.48)</f>
        <v>253.48</v>
      </c>
      <c r="D978" s="1">
        <f ca="1">IFERROR(__xludf.DUMMYFUNCTION("""COMPUTED_VALUE"""),454.46)</f>
        <v>454.46</v>
      </c>
      <c r="E978" s="1">
        <f ca="1">IFERROR(__xludf.DUMMYFUNCTION("""COMPUTED_VALUE"""),230.37)</f>
        <v>230.37</v>
      </c>
      <c r="F978">
        <f t="shared" ca="1" si="125"/>
        <v>-4.1200415300186232E-3</v>
      </c>
      <c r="G978">
        <f t="shared" ca="1" si="126"/>
        <v>9.7195666029317954E-3</v>
      </c>
      <c r="H978">
        <f t="shared" ca="1" si="127"/>
        <v>6.3553223056312244E-3</v>
      </c>
      <c r="I978">
        <f t="shared" ca="1" si="128"/>
        <v>-3.3520724953851354E-2</v>
      </c>
      <c r="O978">
        <f t="shared" ca="1" si="129"/>
        <v>1.606171756638223</v>
      </c>
      <c r="P978">
        <f t="shared" ca="1" si="130"/>
        <v>1.9328961415281405</v>
      </c>
      <c r="Q978">
        <f t="shared" ca="1" si="131"/>
        <v>1.8963488420613406</v>
      </c>
      <c r="R978">
        <f t="shared" ca="1" si="132"/>
        <v>1.7772720259219272</v>
      </c>
    </row>
    <row r="979" spans="1:18" x14ac:dyDescent="0.3">
      <c r="A979" s="2">
        <f ca="1">IFERROR(__xludf.DUMMYFUNCTION("""COMPUTED_VALUE"""),45644.6666666666)</f>
        <v>45644.666666666599</v>
      </c>
      <c r="B979" s="1">
        <f ca="1">IFERROR(__xludf.DUMMYFUNCTION("""COMPUTED_VALUE"""),586.28)</f>
        <v>586.28</v>
      </c>
      <c r="C979" s="1">
        <f ca="1">IFERROR(__xludf.DUMMYFUNCTION("""COMPUTED_VALUE"""),248.05)</f>
        <v>248.05</v>
      </c>
      <c r="D979" s="1">
        <f ca="1">IFERROR(__xludf.DUMMYFUNCTION("""COMPUTED_VALUE"""),437.39)</f>
        <v>437.39</v>
      </c>
      <c r="E979" s="1">
        <f ca="1">IFERROR(__xludf.DUMMYFUNCTION("""COMPUTED_VALUE"""),232.96)</f>
        <v>232.96</v>
      </c>
      <c r="F979">
        <f t="shared" ca="1" si="125"/>
        <v>-2.9803571133065237E-2</v>
      </c>
      <c r="G979">
        <f t="shared" ca="1" si="126"/>
        <v>-2.1421808426700249E-2</v>
      </c>
      <c r="H979">
        <f t="shared" ca="1" si="127"/>
        <v>-3.7561061479558143E-2</v>
      </c>
      <c r="I979">
        <f t="shared" ca="1" si="128"/>
        <v>1.1242783348526299E-2</v>
      </c>
      <c r="O979">
        <f t="shared" ca="1" si="129"/>
        <v>1.5583021024373354</v>
      </c>
      <c r="P979">
        <f t="shared" ca="1" si="130"/>
        <v>1.8914900106756165</v>
      </c>
      <c r="Q979">
        <f t="shared" ca="1" si="131"/>
        <v>1.8251199666179856</v>
      </c>
      <c r="R979">
        <f t="shared" ca="1" si="132"/>
        <v>1.7972535102607639</v>
      </c>
    </row>
    <row r="980" spans="1:18" x14ac:dyDescent="0.3">
      <c r="A980" s="2">
        <f ca="1">IFERROR(__xludf.DUMMYFUNCTION("""COMPUTED_VALUE"""),45645.6666666666)</f>
        <v>45645.666666666599</v>
      </c>
      <c r="B980" s="1">
        <f ca="1">IFERROR(__xludf.DUMMYFUNCTION("""COMPUTED_VALUE"""),586.1)</f>
        <v>586.1</v>
      </c>
      <c r="C980" s="1">
        <f ca="1">IFERROR(__xludf.DUMMYFUNCTION("""COMPUTED_VALUE"""),249.79)</f>
        <v>249.79</v>
      </c>
      <c r="D980" s="1">
        <f ca="1">IFERROR(__xludf.DUMMYFUNCTION("""COMPUTED_VALUE"""),437.03)</f>
        <v>437.03</v>
      </c>
      <c r="E980" s="1">
        <f ca="1">IFERROR(__xludf.DUMMYFUNCTION("""COMPUTED_VALUE"""),237.6)</f>
        <v>237.6</v>
      </c>
      <c r="F980">
        <f t="shared" ca="1" si="125"/>
        <v>-3.0702053626245135E-4</v>
      </c>
      <c r="G980">
        <f t="shared" ca="1" si="126"/>
        <v>7.0147147752468476E-3</v>
      </c>
      <c r="H980">
        <f t="shared" ca="1" si="127"/>
        <v>-8.2306408468418033E-4</v>
      </c>
      <c r="I980">
        <f t="shared" ca="1" si="128"/>
        <v>1.9917582417582357E-2</v>
      </c>
      <c r="O980">
        <f t="shared" ca="1" si="129"/>
        <v>1.5578236716901861</v>
      </c>
      <c r="P980">
        <f t="shared" ca="1" si="130"/>
        <v>1.9047582736007345</v>
      </c>
      <c r="Q980">
        <f t="shared" ca="1" si="131"/>
        <v>1.8236177759232224</v>
      </c>
      <c r="R980">
        <f t="shared" ca="1" si="132"/>
        <v>1.8330504551766718</v>
      </c>
    </row>
    <row r="981" spans="1:18" x14ac:dyDescent="0.3">
      <c r="A981" s="2">
        <f ca="1">IFERROR(__xludf.DUMMYFUNCTION("""COMPUTED_VALUE"""),45646.6666666666)</f>
        <v>45646.666666666599</v>
      </c>
      <c r="B981" s="1">
        <f ca="1">IFERROR(__xludf.DUMMYFUNCTION("""COMPUTED_VALUE"""),591.15)</f>
        <v>591.15</v>
      </c>
      <c r="C981" s="1">
        <f ca="1">IFERROR(__xludf.DUMMYFUNCTION("""COMPUTED_VALUE"""),254.49)</f>
        <v>254.49</v>
      </c>
      <c r="D981" s="1">
        <f ca="1">IFERROR(__xludf.DUMMYFUNCTION("""COMPUTED_VALUE"""),436.6)</f>
        <v>436.6</v>
      </c>
      <c r="E981" s="1">
        <f ca="1">IFERROR(__xludf.DUMMYFUNCTION("""COMPUTED_VALUE"""),238.39)</f>
        <v>238.39</v>
      </c>
      <c r="F981">
        <f t="shared" ca="1" si="125"/>
        <v>8.6162770858214544E-3</v>
      </c>
      <c r="G981">
        <f t="shared" ca="1" si="126"/>
        <v>1.8815805276432271E-2</v>
      </c>
      <c r="H981">
        <f t="shared" ca="1" si="127"/>
        <v>-9.8391414777006161E-4</v>
      </c>
      <c r="I981">
        <f t="shared" ca="1" si="128"/>
        <v>3.3249158249157914E-3</v>
      </c>
      <c r="O981">
        <f t="shared" ca="1" si="129"/>
        <v>1.5712463120963203</v>
      </c>
      <c r="P981">
        <f t="shared" ca="1" si="130"/>
        <v>1.9405978343754791</v>
      </c>
      <c r="Q981">
        <f t="shared" ca="1" si="131"/>
        <v>1.8218234925933665</v>
      </c>
      <c r="R981">
        <f t="shared" ca="1" si="132"/>
        <v>1.8391451936429577</v>
      </c>
    </row>
    <row r="982" spans="1:18" x14ac:dyDescent="0.3">
      <c r="A982" s="2">
        <f ca="1">IFERROR(__xludf.DUMMYFUNCTION("""COMPUTED_VALUE"""),45649.6666666666)</f>
        <v>45649.666666666599</v>
      </c>
      <c r="B982" s="1">
        <f ca="1">IFERROR(__xludf.DUMMYFUNCTION("""COMPUTED_VALUE"""),594.69)</f>
        <v>594.69000000000005</v>
      </c>
      <c r="C982" s="1">
        <f ca="1">IFERROR(__xludf.DUMMYFUNCTION("""COMPUTED_VALUE"""),255.27)</f>
        <v>255.27</v>
      </c>
      <c r="D982" s="1">
        <f ca="1">IFERROR(__xludf.DUMMYFUNCTION("""COMPUTED_VALUE"""),435.25)</f>
        <v>435.25</v>
      </c>
      <c r="E982" s="1">
        <f ca="1">IFERROR(__xludf.DUMMYFUNCTION("""COMPUTED_VALUE"""),242.31)</f>
        <v>242.31</v>
      </c>
      <c r="F982">
        <f t="shared" ca="1" si="125"/>
        <v>5.9883278355748583E-3</v>
      </c>
      <c r="G982">
        <f t="shared" ca="1" si="126"/>
        <v>3.0649534362843377E-3</v>
      </c>
      <c r="H982">
        <f t="shared" ca="1" si="127"/>
        <v>-3.0920751259734831E-3</v>
      </c>
      <c r="I982">
        <f t="shared" ca="1" si="128"/>
        <v>1.6443642770250497E-2</v>
      </c>
      <c r="O982">
        <f t="shared" ca="1" si="129"/>
        <v>1.580655450123591</v>
      </c>
      <c r="P982">
        <f t="shared" ca="1" si="130"/>
        <v>1.9465456763763942</v>
      </c>
      <c r="Q982">
        <f t="shared" ca="1" si="131"/>
        <v>1.8161902774880043</v>
      </c>
      <c r="R982">
        <f t="shared" ca="1" si="132"/>
        <v>1.8693874402098458</v>
      </c>
    </row>
    <row r="983" spans="1:18" x14ac:dyDescent="0.3">
      <c r="A983" s="2">
        <f ca="1">IFERROR(__xludf.DUMMYFUNCTION("""COMPUTED_VALUE"""),45650.5416666666)</f>
        <v>45650.541666666599</v>
      </c>
      <c r="B983" s="1">
        <f ca="1">IFERROR(__xludf.DUMMYFUNCTION("""COMPUTED_VALUE"""),601.3)</f>
        <v>601.29999999999995</v>
      </c>
      <c r="C983" s="1">
        <f ca="1">IFERROR(__xludf.DUMMYFUNCTION("""COMPUTED_VALUE"""),258.2)</f>
        <v>258.2</v>
      </c>
      <c r="D983" s="1">
        <f ca="1">IFERROR(__xludf.DUMMYFUNCTION("""COMPUTED_VALUE"""),439.33)</f>
        <v>439.33</v>
      </c>
      <c r="E983" s="1">
        <f ca="1">IFERROR(__xludf.DUMMYFUNCTION("""COMPUTED_VALUE"""),243.14)</f>
        <v>243.14</v>
      </c>
      <c r="F983">
        <f t="shared" ca="1" si="125"/>
        <v>1.1115034723973665E-2</v>
      </c>
      <c r="G983">
        <f t="shared" ca="1" si="126"/>
        <v>1.147804285658314E-2</v>
      </c>
      <c r="H983">
        <f t="shared" ca="1" si="127"/>
        <v>9.3739230327397685E-3</v>
      </c>
      <c r="I983">
        <f t="shared" ca="1" si="128"/>
        <v>3.425364202880542E-3</v>
      </c>
      <c r="O983">
        <f t="shared" ca="1" si="129"/>
        <v>1.5982244903383529</v>
      </c>
      <c r="P983">
        <f t="shared" ca="1" si="130"/>
        <v>1.9688882110721388</v>
      </c>
      <c r="Q983">
        <f t="shared" ca="1" si="131"/>
        <v>1.8332151053619874</v>
      </c>
      <c r="R983">
        <f t="shared" ca="1" si="132"/>
        <v>1.875790773028855</v>
      </c>
    </row>
    <row r="984" spans="1:18" x14ac:dyDescent="0.3">
      <c r="A984" s="2">
        <f ca="1">IFERROR(__xludf.DUMMYFUNCTION("""COMPUTED_VALUE"""),45652.6666666666)</f>
        <v>45652.666666666599</v>
      </c>
      <c r="B984" s="1">
        <f ca="1">IFERROR(__xludf.DUMMYFUNCTION("""COMPUTED_VALUE"""),601.34)</f>
        <v>601.34</v>
      </c>
      <c r="C984" s="1">
        <f ca="1">IFERROR(__xludf.DUMMYFUNCTION("""COMPUTED_VALUE"""),259.02)</f>
        <v>259.02</v>
      </c>
      <c r="D984" s="1">
        <f ca="1">IFERROR(__xludf.DUMMYFUNCTION("""COMPUTED_VALUE"""),438.11)</f>
        <v>438.11</v>
      </c>
      <c r="E984" s="1">
        <f ca="1">IFERROR(__xludf.DUMMYFUNCTION("""COMPUTED_VALUE"""),241.17)</f>
        <v>241.17</v>
      </c>
      <c r="F984">
        <f t="shared" ca="1" si="125"/>
        <v>6.6522534508693353E-5</v>
      </c>
      <c r="G984">
        <f t="shared" ca="1" si="126"/>
        <v>3.1758326878388583E-3</v>
      </c>
      <c r="H984">
        <f t="shared" ca="1" si="127"/>
        <v>-2.7769558190880897E-3</v>
      </c>
      <c r="I984">
        <f t="shared" ca="1" si="128"/>
        <v>-8.1023278769433212E-3</v>
      </c>
      <c r="O984">
        <f t="shared" ca="1" si="129"/>
        <v>1.5983308082821641</v>
      </c>
      <c r="P984">
        <f t="shared" ca="1" si="130"/>
        <v>1.9751410706115622</v>
      </c>
      <c r="Q984">
        <f t="shared" ca="1" si="131"/>
        <v>1.8281243480075122</v>
      </c>
      <c r="R984">
        <f t="shared" ca="1" si="132"/>
        <v>1.8605925011572302</v>
      </c>
    </row>
    <row r="985" spans="1:18" x14ac:dyDescent="0.3">
      <c r="A985" s="2">
        <f ca="1">IFERROR(__xludf.DUMMYFUNCTION("""COMPUTED_VALUE"""),45653.6666666666)</f>
        <v>45653.666666666599</v>
      </c>
      <c r="B985" s="1">
        <f ca="1">IFERROR(__xludf.DUMMYFUNCTION("""COMPUTED_VALUE"""),595.01)</f>
        <v>595.01</v>
      </c>
      <c r="C985" s="1">
        <f ca="1">IFERROR(__xludf.DUMMYFUNCTION("""COMPUTED_VALUE"""),255.59)</f>
        <v>255.59</v>
      </c>
      <c r="D985" s="1">
        <f ca="1">IFERROR(__xludf.DUMMYFUNCTION("""COMPUTED_VALUE"""),430.53)</f>
        <v>430.53</v>
      </c>
      <c r="E985" s="1">
        <f ca="1">IFERROR(__xludf.DUMMYFUNCTION("""COMPUTED_VALUE"""),239.32)</f>
        <v>239.32</v>
      </c>
      <c r="F985">
        <f t="shared" ca="1" si="125"/>
        <v>-1.0526490837130476E-2</v>
      </c>
      <c r="G985">
        <f t="shared" ca="1" si="126"/>
        <v>-1.3242220677939846E-2</v>
      </c>
      <c r="H985">
        <f t="shared" ca="1" si="127"/>
        <v>-1.730159092465372E-2</v>
      </c>
      <c r="I985">
        <f t="shared" ca="1" si="128"/>
        <v>-7.6709375129576417E-3</v>
      </c>
      <c r="O985">
        <f t="shared" ca="1" si="129"/>
        <v>1.5815059936740785</v>
      </c>
      <c r="P985">
        <f t="shared" ca="1" si="130"/>
        <v>1.9489858166844614</v>
      </c>
      <c r="Q985">
        <f t="shared" ca="1" si="131"/>
        <v>1.7964948883788872</v>
      </c>
      <c r="R985">
        <f t="shared" ca="1" si="132"/>
        <v>1.8463200123437755</v>
      </c>
    </row>
    <row r="986" spans="1:18" x14ac:dyDescent="0.3">
      <c r="A986" s="2">
        <f ca="1">IFERROR(__xludf.DUMMYFUNCTION("""COMPUTED_VALUE"""),45656.6666666666)</f>
        <v>45656.666666666599</v>
      </c>
      <c r="B986" s="1">
        <f ca="1">IFERROR(__xludf.DUMMYFUNCTION("""COMPUTED_VALUE"""),588.22)</f>
        <v>588.22</v>
      </c>
      <c r="C986" s="1">
        <f ca="1">IFERROR(__xludf.DUMMYFUNCTION("""COMPUTED_VALUE"""),252.2)</f>
        <v>252.2</v>
      </c>
      <c r="D986" s="1">
        <f ca="1">IFERROR(__xludf.DUMMYFUNCTION("""COMPUTED_VALUE"""),424.83)</f>
        <v>424.83</v>
      </c>
      <c r="E986" s="1">
        <f ca="1">IFERROR(__xludf.DUMMYFUNCTION("""COMPUTED_VALUE"""),239.71)</f>
        <v>239.71</v>
      </c>
      <c r="F986">
        <f t="shared" ca="1" si="125"/>
        <v>-1.1411572914740868E-2</v>
      </c>
      <c r="G986">
        <f t="shared" ca="1" si="126"/>
        <v>-1.3263429711647618E-2</v>
      </c>
      <c r="H986">
        <f t="shared" ca="1" si="127"/>
        <v>-1.3239495505539657E-2</v>
      </c>
      <c r="I986">
        <f t="shared" ca="1" si="128"/>
        <v>1.6296172488718653E-3</v>
      </c>
      <c r="O986">
        <f t="shared" ca="1" si="129"/>
        <v>1.5634585227121671</v>
      </c>
      <c r="P986">
        <f t="shared" ca="1" si="130"/>
        <v>1.923135580295869</v>
      </c>
      <c r="Q986">
        <f t="shared" ca="1" si="131"/>
        <v>1.7727102023784698</v>
      </c>
      <c r="R986">
        <f t="shared" ca="1" si="132"/>
        <v>1.8493288072828282</v>
      </c>
    </row>
    <row r="987" spans="1:18" x14ac:dyDescent="0.3">
      <c r="A987" s="2">
        <f ca="1">IFERROR(__xludf.DUMMYFUNCTION("""COMPUTED_VALUE"""),45657.6666666666)</f>
        <v>45657.666666666599</v>
      </c>
      <c r="B987" s="1">
        <f ca="1">IFERROR(__xludf.DUMMYFUNCTION("""COMPUTED_VALUE"""),586.08)</f>
        <v>586.08000000000004</v>
      </c>
      <c r="C987" s="1">
        <f ca="1">IFERROR(__xludf.DUMMYFUNCTION("""COMPUTED_VALUE"""),250.42)</f>
        <v>250.42</v>
      </c>
      <c r="D987" s="1">
        <f ca="1">IFERROR(__xludf.DUMMYFUNCTION("""COMPUTED_VALUE"""),421.5)</f>
        <v>421.5</v>
      </c>
      <c r="E987" s="1">
        <f ca="1">IFERROR(__xludf.DUMMYFUNCTION("""COMPUTED_VALUE"""),240)</f>
        <v>240</v>
      </c>
      <c r="F987">
        <f t="shared" ca="1" si="125"/>
        <v>-3.6380945904593287E-3</v>
      </c>
      <c r="G987">
        <f t="shared" ca="1" si="126"/>
        <v>-7.0578905630452066E-3</v>
      </c>
      <c r="H987">
        <f t="shared" ca="1" si="127"/>
        <v>-7.838429489442798E-3</v>
      </c>
      <c r="I987">
        <f t="shared" ca="1" si="128"/>
        <v>1.2097951691627052E-3</v>
      </c>
      <c r="O987">
        <f t="shared" ca="1" si="129"/>
        <v>1.5577705127182806</v>
      </c>
      <c r="P987">
        <f t="shared" ca="1" si="130"/>
        <v>1.9095622998322423</v>
      </c>
      <c r="Q987">
        <f t="shared" ca="1" si="131"/>
        <v>1.7588149384519103</v>
      </c>
      <c r="R987">
        <f t="shared" ca="1" si="132"/>
        <v>1.8515661163400725</v>
      </c>
    </row>
    <row r="988" spans="1:18" x14ac:dyDescent="0.3">
      <c r="A988" s="2">
        <f ca="1">IFERROR(__xludf.DUMMYFUNCTION("""COMPUTED_VALUE"""),45659.6666666666)</f>
        <v>45659.666666666599</v>
      </c>
      <c r="B988" s="1">
        <f ca="1">IFERROR(__xludf.DUMMYFUNCTION("""COMPUTED_VALUE"""),584.64)</f>
        <v>584.64</v>
      </c>
      <c r="C988" s="1">
        <f ca="1">IFERROR(__xludf.DUMMYFUNCTION("""COMPUTED_VALUE"""),243.85)</f>
        <v>243.85</v>
      </c>
      <c r="D988" s="1">
        <f ca="1">IFERROR(__xludf.DUMMYFUNCTION("""COMPUTED_VALUE"""),418.58)</f>
        <v>418.58</v>
      </c>
      <c r="E988" s="1">
        <f ca="1">IFERROR(__xludf.DUMMYFUNCTION("""COMPUTED_VALUE"""),243.28)</f>
        <v>243.28</v>
      </c>
      <c r="F988">
        <f t="shared" ca="1" si="125"/>
        <v>-2.4570024570025497E-3</v>
      </c>
      <c r="G988">
        <f t="shared" ca="1" si="126"/>
        <v>-2.6235923648270879E-2</v>
      </c>
      <c r="H988">
        <f t="shared" ca="1" si="127"/>
        <v>-6.9276393831554355E-3</v>
      </c>
      <c r="I988">
        <f t="shared" ca="1" si="128"/>
        <v>1.3666666666666671E-2</v>
      </c>
      <c r="O988">
        <f t="shared" ca="1" si="129"/>
        <v>1.5539430667410856</v>
      </c>
      <c r="P988">
        <f t="shared" ca="1" si="130"/>
        <v>1.8594631691322272</v>
      </c>
      <c r="Q988">
        <f t="shared" ca="1" si="131"/>
        <v>1.7466305028166087</v>
      </c>
      <c r="R988">
        <f t="shared" ca="1" si="132"/>
        <v>1.8768708532633869</v>
      </c>
    </row>
    <row r="989" spans="1:18" x14ac:dyDescent="0.3">
      <c r="A989" s="2">
        <f ca="1">IFERROR(__xludf.DUMMYFUNCTION("""COMPUTED_VALUE"""),45660.6666666666)</f>
        <v>45660.666666666599</v>
      </c>
      <c r="B989" s="1">
        <f ca="1">IFERROR(__xludf.DUMMYFUNCTION("""COMPUTED_VALUE"""),591.95)</f>
        <v>591.95000000000005</v>
      </c>
      <c r="C989" s="1">
        <f ca="1">IFERROR(__xludf.DUMMYFUNCTION("""COMPUTED_VALUE"""),243.36)</f>
        <v>243.36</v>
      </c>
      <c r="D989" s="1">
        <f ca="1">IFERROR(__xludf.DUMMYFUNCTION("""COMPUTED_VALUE"""),423.35)</f>
        <v>423.35</v>
      </c>
      <c r="E989" s="1">
        <f ca="1">IFERROR(__xludf.DUMMYFUNCTION("""COMPUTED_VALUE"""),240.85)</f>
        <v>240.85</v>
      </c>
      <c r="F989">
        <f t="shared" ca="1" si="125"/>
        <v>1.2503420908593424E-2</v>
      </c>
      <c r="G989">
        <f t="shared" ca="1" si="126"/>
        <v>-2.0094320278859165E-3</v>
      </c>
      <c r="H989">
        <f t="shared" ca="1" si="127"/>
        <v>1.1395671078408044E-2</v>
      </c>
      <c r="I989">
        <f t="shared" ca="1" si="128"/>
        <v>-9.9884906280828956E-3</v>
      </c>
      <c r="O989">
        <f t="shared" ca="1" si="129"/>
        <v>1.57337267097254</v>
      </c>
      <c r="P989">
        <f t="shared" ca="1" si="130"/>
        <v>1.8557267042854986</v>
      </c>
      <c r="Q989">
        <f t="shared" ca="1" si="131"/>
        <v>1.7665345295222212</v>
      </c>
      <c r="R989">
        <f t="shared" ca="1" si="132"/>
        <v>1.8581237463354434</v>
      </c>
    </row>
    <row r="990" spans="1:18" x14ac:dyDescent="0.3">
      <c r="A990" s="2">
        <f ca="1">IFERROR(__xludf.DUMMYFUNCTION("""COMPUTED_VALUE"""),45663.6666666666)</f>
        <v>45663.666666666599</v>
      </c>
      <c r="B990" s="1">
        <f ca="1">IFERROR(__xludf.DUMMYFUNCTION("""COMPUTED_VALUE"""),595.36)</f>
        <v>595.36</v>
      </c>
      <c r="C990" s="1">
        <f ca="1">IFERROR(__xludf.DUMMYFUNCTION("""COMPUTED_VALUE"""),245)</f>
        <v>245</v>
      </c>
      <c r="D990" s="1">
        <f ca="1">IFERROR(__xludf.DUMMYFUNCTION("""COMPUTED_VALUE"""),427.85)</f>
        <v>427.85</v>
      </c>
      <c r="E990" s="1">
        <f ca="1">IFERROR(__xludf.DUMMYFUNCTION("""COMPUTED_VALUE"""),243.17)</f>
        <v>243.17</v>
      </c>
      <c r="F990">
        <f t="shared" ca="1" si="125"/>
        <v>5.7606216741278278E-3</v>
      </c>
      <c r="G990">
        <f t="shared" ca="1" si="126"/>
        <v>6.7389875082182211E-3</v>
      </c>
      <c r="H990">
        <f t="shared" ca="1" si="127"/>
        <v>1.0629502775481279E-2</v>
      </c>
      <c r="I990">
        <f t="shared" ca="1" si="128"/>
        <v>9.6325513805272708E-3</v>
      </c>
      <c r="O990">
        <f t="shared" ca="1" si="129"/>
        <v>1.5824362756824246</v>
      </c>
      <c r="P990">
        <f t="shared" ca="1" si="130"/>
        <v>1.8682324233643455</v>
      </c>
      <c r="Q990">
        <f t="shared" ca="1" si="131"/>
        <v>1.7853119132067612</v>
      </c>
      <c r="R990">
        <f t="shared" ca="1" si="132"/>
        <v>1.8760222187933975</v>
      </c>
    </row>
    <row r="991" spans="1:18" x14ac:dyDescent="0.3">
      <c r="A991" s="2">
        <f ca="1">IFERROR(__xludf.DUMMYFUNCTION("""COMPUTED_VALUE"""),45664.6666666666)</f>
        <v>45664.666666666599</v>
      </c>
      <c r="B991" s="1">
        <f ca="1">IFERROR(__xludf.DUMMYFUNCTION("""COMPUTED_VALUE"""),588.63)</f>
        <v>588.63</v>
      </c>
      <c r="C991" s="1">
        <f ca="1">IFERROR(__xludf.DUMMYFUNCTION("""COMPUTED_VALUE"""),242.21)</f>
        <v>242.21</v>
      </c>
      <c r="D991" s="1">
        <f ca="1">IFERROR(__xludf.DUMMYFUNCTION("""COMPUTED_VALUE"""),422.37)</f>
        <v>422.37</v>
      </c>
      <c r="E991" s="1">
        <f ca="1">IFERROR(__xludf.DUMMYFUNCTION("""COMPUTED_VALUE"""),243.13)</f>
        <v>243.13</v>
      </c>
      <c r="F991">
        <f t="shared" ca="1" si="125"/>
        <v>-1.1304084923407716E-2</v>
      </c>
      <c r="G991">
        <f t="shared" ca="1" si="126"/>
        <v>-1.1387755102040783E-2</v>
      </c>
      <c r="H991">
        <f t="shared" ca="1" si="127"/>
        <v>-1.2808227182423788E-2</v>
      </c>
      <c r="I991">
        <f t="shared" ca="1" si="128"/>
        <v>-1.6449397540811795E-4</v>
      </c>
      <c r="O991">
        <f t="shared" ca="1" si="129"/>
        <v>1.5645482816362295</v>
      </c>
      <c r="P991">
        <f t="shared" ca="1" si="130"/>
        <v>1.8469574500533801</v>
      </c>
      <c r="Q991">
        <f t="shared" ca="1" si="131"/>
        <v>1.7624452326309212</v>
      </c>
      <c r="R991">
        <f t="shared" ca="1" si="132"/>
        <v>1.8757136244406742</v>
      </c>
    </row>
    <row r="992" spans="1:18" x14ac:dyDescent="0.3">
      <c r="A992" s="2">
        <f ca="1">IFERROR(__xludf.DUMMYFUNCTION("""COMPUTED_VALUE"""),45665.6666666666)</f>
        <v>45665.666666666599</v>
      </c>
      <c r="B992" s="1">
        <f ca="1">IFERROR(__xludf.DUMMYFUNCTION("""COMPUTED_VALUE"""),589.49)</f>
        <v>589.49</v>
      </c>
      <c r="C992" s="1">
        <f ca="1">IFERROR(__xludf.DUMMYFUNCTION("""COMPUTED_VALUE"""),242.7)</f>
        <v>242.7</v>
      </c>
      <c r="D992" s="1">
        <f ca="1">IFERROR(__xludf.DUMMYFUNCTION("""COMPUTED_VALUE"""),424.56)</f>
        <v>424.56</v>
      </c>
      <c r="E992" s="1">
        <f ca="1">IFERROR(__xludf.DUMMYFUNCTION("""COMPUTED_VALUE"""),239.87)</f>
        <v>239.87</v>
      </c>
      <c r="F992">
        <f t="shared" ca="1" si="125"/>
        <v>1.4610196558109741E-3</v>
      </c>
      <c r="G992">
        <f t="shared" ca="1" si="126"/>
        <v>2.0230378597084374E-3</v>
      </c>
      <c r="H992">
        <f t="shared" ca="1" si="127"/>
        <v>5.1850273456921598E-3</v>
      </c>
      <c r="I992">
        <f t="shared" ca="1" si="128"/>
        <v>-1.3408464607411635E-2</v>
      </c>
      <c r="O992">
        <f t="shared" ca="1" si="129"/>
        <v>1.5668341174281653</v>
      </c>
      <c r="P992">
        <f t="shared" ca="1" si="130"/>
        <v>1.8506939149001085</v>
      </c>
      <c r="Q992">
        <f t="shared" ca="1" si="131"/>
        <v>1.7715835593573974</v>
      </c>
      <c r="R992">
        <f t="shared" ca="1" si="132"/>
        <v>1.8505631846937216</v>
      </c>
    </row>
    <row r="993" spans="1:18" x14ac:dyDescent="0.3">
      <c r="A993" s="2">
        <f ca="1">IFERROR(__xludf.DUMMYFUNCTION("""COMPUTED_VALUE"""),45667.6666666666)</f>
        <v>45667.666666666599</v>
      </c>
      <c r="B993" s="1">
        <f ca="1">IFERROR(__xludf.DUMMYFUNCTION("""COMPUTED_VALUE"""),580.49)</f>
        <v>580.49</v>
      </c>
      <c r="C993" s="1">
        <f ca="1">IFERROR(__xludf.DUMMYFUNCTION("""COMPUTED_VALUE"""),236.85)</f>
        <v>236.85</v>
      </c>
      <c r="D993" s="1">
        <f ca="1">IFERROR(__xludf.DUMMYFUNCTION("""COMPUTED_VALUE"""),418.95)</f>
        <v>418.95</v>
      </c>
      <c r="E993" s="1">
        <f ca="1">IFERROR(__xludf.DUMMYFUNCTION("""COMPUTED_VALUE"""),244.21)</f>
        <v>244.21</v>
      </c>
      <c r="F993">
        <f t="shared" ca="1" si="125"/>
        <v>-1.5267434562079085E-2</v>
      </c>
      <c r="G993">
        <f t="shared" ca="1" si="126"/>
        <v>-2.4103831891223712E-2</v>
      </c>
      <c r="H993">
        <f t="shared" ca="1" si="127"/>
        <v>-1.3213680045223322E-2</v>
      </c>
      <c r="I993">
        <f t="shared" ca="1" si="128"/>
        <v>1.8093133780797944E-2</v>
      </c>
      <c r="O993">
        <f t="shared" ca="1" si="129"/>
        <v>1.5429125800706978</v>
      </c>
      <c r="P993">
        <f t="shared" ca="1" si="130"/>
        <v>1.8060850998932456</v>
      </c>
      <c r="Q993">
        <f t="shared" ca="1" si="131"/>
        <v>1.7481744210306709</v>
      </c>
      <c r="R993">
        <f t="shared" ca="1" si="132"/>
        <v>1.8840456719642045</v>
      </c>
    </row>
    <row r="994" spans="1:18" x14ac:dyDescent="0.3">
      <c r="A994" s="2">
        <f ca="1">IFERROR(__xludf.DUMMYFUNCTION("""COMPUTED_VALUE"""),45670.6666666666)</f>
        <v>45670.666666666599</v>
      </c>
      <c r="B994" s="1">
        <f ca="1">IFERROR(__xludf.DUMMYFUNCTION("""COMPUTED_VALUE"""),581.39)</f>
        <v>581.39</v>
      </c>
      <c r="C994" s="1">
        <f ca="1">IFERROR(__xludf.DUMMYFUNCTION("""COMPUTED_VALUE"""),234.4)</f>
        <v>234.4</v>
      </c>
      <c r="D994" s="1">
        <f ca="1">IFERROR(__xludf.DUMMYFUNCTION("""COMPUTED_VALUE"""),417.19)</f>
        <v>417.19</v>
      </c>
      <c r="E994" s="1">
        <f ca="1">IFERROR(__xludf.DUMMYFUNCTION("""COMPUTED_VALUE"""),247.47)</f>
        <v>247.47</v>
      </c>
      <c r="F994">
        <f t="shared" ca="1" si="125"/>
        <v>1.5504143051559497E-3</v>
      </c>
      <c r="G994">
        <f t="shared" ca="1" si="126"/>
        <v>-1.0344099641123025E-2</v>
      </c>
      <c r="H994">
        <f t="shared" ca="1" si="127"/>
        <v>-4.2009786370688414E-3</v>
      </c>
      <c r="I994">
        <f t="shared" ca="1" si="128"/>
        <v>1.3349166700790265E-2</v>
      </c>
      <c r="O994">
        <f t="shared" ca="1" si="129"/>
        <v>1.5453047338064443</v>
      </c>
      <c r="P994">
        <f t="shared" ca="1" si="130"/>
        <v>1.7874027756596023</v>
      </c>
      <c r="Q994">
        <f t="shared" ca="1" si="131"/>
        <v>1.740830377634051</v>
      </c>
      <c r="R994">
        <f t="shared" ca="1" si="132"/>
        <v>1.9091961117111571</v>
      </c>
    </row>
    <row r="995" spans="1:18" x14ac:dyDescent="0.3">
      <c r="A995" s="2">
        <f ca="1">IFERROR(__xludf.DUMMYFUNCTION("""COMPUTED_VALUE"""),45671.6666666666)</f>
        <v>45671.666666666599</v>
      </c>
      <c r="B995" s="1">
        <f ca="1">IFERROR(__xludf.DUMMYFUNCTION("""COMPUTED_VALUE"""),582.19)</f>
        <v>582.19000000000005</v>
      </c>
      <c r="C995" s="1">
        <f ca="1">IFERROR(__xludf.DUMMYFUNCTION("""COMPUTED_VALUE"""),233.28)</f>
        <v>233.28</v>
      </c>
      <c r="D995" s="1">
        <f ca="1">IFERROR(__xludf.DUMMYFUNCTION("""COMPUTED_VALUE"""),415.67)</f>
        <v>415.67</v>
      </c>
      <c r="E995" s="1">
        <f ca="1">IFERROR(__xludf.DUMMYFUNCTION("""COMPUTED_VALUE"""),252.35)</f>
        <v>252.35</v>
      </c>
      <c r="F995">
        <f t="shared" ca="1" si="125"/>
        <v>1.3760126593165831E-3</v>
      </c>
      <c r="G995">
        <f t="shared" ca="1" si="126"/>
        <v>-4.7781569965870503E-3</v>
      </c>
      <c r="H995">
        <f t="shared" ca="1" si="127"/>
        <v>-3.6434238596322584E-3</v>
      </c>
      <c r="I995">
        <f t="shared" ca="1" si="128"/>
        <v>1.9719561967107106E-2</v>
      </c>
      <c r="O995">
        <f t="shared" ca="1" si="129"/>
        <v>1.5474310926826638</v>
      </c>
      <c r="P995">
        <f t="shared" ca="1" si="130"/>
        <v>1.7788622845813653</v>
      </c>
      <c r="Q995">
        <f t="shared" ca="1" si="131"/>
        <v>1.7344877947006065</v>
      </c>
      <c r="R995">
        <f t="shared" ca="1" si="132"/>
        <v>1.9468446227434053</v>
      </c>
    </row>
    <row r="996" spans="1:18" x14ac:dyDescent="0.3">
      <c r="A996" s="2">
        <f ca="1">IFERROR(__xludf.DUMMYFUNCTION("""COMPUTED_VALUE"""),45672.6666666666)</f>
        <v>45672.666666666599</v>
      </c>
      <c r="B996" s="1">
        <f ca="1">IFERROR(__xludf.DUMMYFUNCTION("""COMPUTED_VALUE"""),592.78)</f>
        <v>592.78</v>
      </c>
      <c r="C996" s="1">
        <f ca="1">IFERROR(__xludf.DUMMYFUNCTION("""COMPUTED_VALUE"""),237.87)</f>
        <v>237.87</v>
      </c>
      <c r="D996" s="1">
        <f ca="1">IFERROR(__xludf.DUMMYFUNCTION("""COMPUTED_VALUE"""),426.31)</f>
        <v>426.31</v>
      </c>
      <c r="E996" s="1">
        <f ca="1">IFERROR(__xludf.DUMMYFUNCTION("""COMPUTED_VALUE"""),254.27)</f>
        <v>254.27</v>
      </c>
      <c r="F996">
        <f t="shared" ca="1" si="125"/>
        <v>1.8189937992751364E-2</v>
      </c>
      <c r="G996">
        <f t="shared" ca="1" si="126"/>
        <v>1.967592592592594E-2</v>
      </c>
      <c r="H996">
        <f t="shared" ca="1" si="127"/>
        <v>2.559722857074118E-2</v>
      </c>
      <c r="I996">
        <f t="shared" ca="1" si="128"/>
        <v>7.6084802853180738E-3</v>
      </c>
      <c r="O996">
        <f t="shared" ca="1" si="129"/>
        <v>1.5755787683066167</v>
      </c>
      <c r="P996">
        <f t="shared" ca="1" si="130"/>
        <v>1.8138630471252117</v>
      </c>
      <c r="Q996">
        <f t="shared" ca="1" si="131"/>
        <v>1.7788858752347185</v>
      </c>
      <c r="R996">
        <f t="shared" ca="1" si="132"/>
        <v>1.9616571516741259</v>
      </c>
    </row>
    <row r="997" spans="1:18" x14ac:dyDescent="0.3">
      <c r="A997" s="2">
        <f ca="1">IFERROR(__xludf.DUMMYFUNCTION("""COMPUTED_VALUE"""),45673.6666666666)</f>
        <v>45673.666666666599</v>
      </c>
      <c r="B997" s="1">
        <f ca="1">IFERROR(__xludf.DUMMYFUNCTION("""COMPUTED_VALUE"""),591.64)</f>
        <v>591.64</v>
      </c>
      <c r="C997" s="1">
        <f ca="1">IFERROR(__xludf.DUMMYFUNCTION("""COMPUTED_VALUE"""),228.26)</f>
        <v>228.26</v>
      </c>
      <c r="D997" s="1">
        <f ca="1">IFERROR(__xludf.DUMMYFUNCTION("""COMPUTED_VALUE"""),424.58)</f>
        <v>424.58</v>
      </c>
      <c r="E997" s="1">
        <f ca="1">IFERROR(__xludf.DUMMYFUNCTION("""COMPUTED_VALUE"""),259.16)</f>
        <v>259.16000000000003</v>
      </c>
      <c r="F997">
        <f t="shared" ca="1" si="125"/>
        <v>-1.9231418064037018E-3</v>
      </c>
      <c r="G997">
        <f t="shared" ca="1" si="126"/>
        <v>-4.0400218606802089E-2</v>
      </c>
      <c r="H997">
        <f t="shared" ca="1" si="127"/>
        <v>-4.058079801083761E-3</v>
      </c>
      <c r="I997">
        <f t="shared" ca="1" si="128"/>
        <v>1.9231525543713431E-2</v>
      </c>
      <c r="O997">
        <f t="shared" ca="1" si="129"/>
        <v>1.5725487069080042</v>
      </c>
      <c r="P997">
        <f t="shared" ca="1" si="130"/>
        <v>1.7405825834985531</v>
      </c>
      <c r="Q997">
        <f t="shared" ca="1" si="131"/>
        <v>1.7716670143959954</v>
      </c>
      <c r="R997">
        <f t="shared" ca="1" si="132"/>
        <v>1.9993828112945551</v>
      </c>
    </row>
    <row r="998" spans="1:18" x14ac:dyDescent="0.3">
      <c r="A998" s="2">
        <f ca="1">IFERROR(__xludf.DUMMYFUNCTION("""COMPUTED_VALUE"""),45674.6666666666)</f>
        <v>45674.666666666599</v>
      </c>
      <c r="B998" s="1">
        <f ca="1">IFERROR(__xludf.DUMMYFUNCTION("""COMPUTED_VALUE"""),597.58)</f>
        <v>597.58000000000004</v>
      </c>
      <c r="C998" s="1">
        <f ca="1">IFERROR(__xludf.DUMMYFUNCTION("""COMPUTED_VALUE"""),229.98)</f>
        <v>229.98</v>
      </c>
      <c r="D998" s="1">
        <f ca="1">IFERROR(__xludf.DUMMYFUNCTION("""COMPUTED_VALUE"""),429.03)</f>
        <v>429.03</v>
      </c>
      <c r="E998" s="1">
        <f ca="1">IFERROR(__xludf.DUMMYFUNCTION("""COMPUTED_VALUE"""),263.03)</f>
        <v>263.02999999999997</v>
      </c>
      <c r="F998">
        <f t="shared" ca="1" si="125"/>
        <v>1.0039889121763327E-2</v>
      </c>
      <c r="G998">
        <f t="shared" ca="1" si="126"/>
        <v>7.5352668010163805E-3</v>
      </c>
      <c r="H998">
        <f t="shared" ca="1" si="127"/>
        <v>1.0480945875924417E-2</v>
      </c>
      <c r="I998">
        <f t="shared" ca="1" si="128"/>
        <v>1.4932860009260486E-2</v>
      </c>
      <c r="O998">
        <f t="shared" ca="1" si="129"/>
        <v>1.5883369215639327</v>
      </c>
      <c r="P998">
        <f t="shared" ca="1" si="130"/>
        <v>1.7536983376544173</v>
      </c>
      <c r="Q998">
        <f t="shared" ca="1" si="131"/>
        <v>1.7902357604840407</v>
      </c>
      <c r="R998">
        <f t="shared" ca="1" si="132"/>
        <v>2.0292393149205381</v>
      </c>
    </row>
    <row r="999" spans="1:18" x14ac:dyDescent="0.3">
      <c r="A999" s="2">
        <f ca="1">IFERROR(__xludf.DUMMYFUNCTION("""COMPUTED_VALUE"""),45678.6666666666)</f>
        <v>45678.666666666599</v>
      </c>
      <c r="B999" s="1">
        <f ca="1">IFERROR(__xludf.DUMMYFUNCTION("""COMPUTED_VALUE"""),603.05)</f>
        <v>603.04999999999995</v>
      </c>
      <c r="C999" s="1">
        <f ca="1">IFERROR(__xludf.DUMMYFUNCTION("""COMPUTED_VALUE"""),222.64)</f>
        <v>222.64</v>
      </c>
      <c r="D999" s="1">
        <f ca="1">IFERROR(__xludf.DUMMYFUNCTION("""COMPUTED_VALUE"""),428.5)</f>
        <v>428.5</v>
      </c>
      <c r="E999" s="1">
        <f ca="1">IFERROR(__xludf.DUMMYFUNCTION("""COMPUTED_VALUE"""),262.84)</f>
        <v>262.83999999999997</v>
      </c>
      <c r="F999">
        <f t="shared" ca="1" si="125"/>
        <v>9.1535861307271219E-3</v>
      </c>
      <c r="G999">
        <f t="shared" ca="1" si="126"/>
        <v>-3.1915818766849305E-2</v>
      </c>
      <c r="H999">
        <f t="shared" ca="1" si="127"/>
        <v>-1.235344847679586E-3</v>
      </c>
      <c r="I999">
        <f t="shared" ca="1" si="128"/>
        <v>-7.2235106261642299E-4</v>
      </c>
      <c r="O999">
        <f t="shared" ca="1" si="129"/>
        <v>1.6028759003800819</v>
      </c>
      <c r="P999">
        <f t="shared" ca="1" si="130"/>
        <v>1.6977276193381139</v>
      </c>
      <c r="Q999">
        <f t="shared" ca="1" si="131"/>
        <v>1.7880242019611949</v>
      </c>
      <c r="R999">
        <f t="shared" ca="1" si="132"/>
        <v>2.0277734917451022</v>
      </c>
    </row>
    <row r="1000" spans="1:18" x14ac:dyDescent="0.3">
      <c r="A1000" s="2">
        <f ca="1">IFERROR(__xludf.DUMMYFUNCTION("""COMPUTED_VALUE"""),45679.6666666666)</f>
        <v>45679.666666666599</v>
      </c>
      <c r="B1000" s="1">
        <f ca="1">IFERROR(__xludf.DUMMYFUNCTION("""COMPUTED_VALUE"""),606.44)</f>
        <v>606.44000000000005</v>
      </c>
      <c r="C1000" s="1">
        <f ca="1">IFERROR(__xludf.DUMMYFUNCTION("""COMPUTED_VALUE"""),223.83)</f>
        <v>223.83</v>
      </c>
      <c r="D1000" s="1">
        <f ca="1">IFERROR(__xludf.DUMMYFUNCTION("""COMPUTED_VALUE"""),446.2)</f>
        <v>446.2</v>
      </c>
      <c r="E1000" s="1">
        <f ca="1">IFERROR(__xludf.DUMMYFUNCTION("""COMPUTED_VALUE"""),265.95)</f>
        <v>265.95</v>
      </c>
      <c r="F1000">
        <f t="shared" ca="1" si="125"/>
        <v>5.621424425835503E-3</v>
      </c>
      <c r="G1000">
        <f t="shared" ca="1" si="126"/>
        <v>5.3449514911966681E-3</v>
      </c>
      <c r="H1000">
        <f t="shared" ca="1" si="127"/>
        <v>4.1306884480746764E-2</v>
      </c>
      <c r="I1000">
        <f t="shared" ca="1" si="128"/>
        <v>1.1832293410439865E-2</v>
      </c>
      <c r="O1000">
        <f t="shared" ca="1" si="129"/>
        <v>1.6118863461180615</v>
      </c>
      <c r="P1000">
        <f t="shared" ca="1" si="130"/>
        <v>1.706801891108741</v>
      </c>
      <c r="Q1000">
        <f t="shared" ca="1" si="131"/>
        <v>1.8618819111203853</v>
      </c>
      <c r="R1000">
        <f t="shared" ca="1" si="132"/>
        <v>2.0517667026693425</v>
      </c>
    </row>
    <row r="1001" spans="1:18" x14ac:dyDescent="0.3">
      <c r="A1001" s="2">
        <f ca="1">IFERROR(__xludf.DUMMYFUNCTION("""COMPUTED_VALUE"""),45680.6666666666)</f>
        <v>45680.666666666599</v>
      </c>
      <c r="B1001" s="1">
        <f ca="1">IFERROR(__xludf.DUMMYFUNCTION("""COMPUTED_VALUE"""),609.75)</f>
        <v>609.75</v>
      </c>
      <c r="C1001" s="1">
        <f ca="1">IFERROR(__xludf.DUMMYFUNCTION("""COMPUTED_VALUE"""),223.66)</f>
        <v>223.66</v>
      </c>
      <c r="D1001" s="1">
        <f ca="1">IFERROR(__xludf.DUMMYFUNCTION("""COMPUTED_VALUE"""),446.71)</f>
        <v>446.71</v>
      </c>
      <c r="E1001" s="1">
        <f ca="1">IFERROR(__xludf.DUMMYFUNCTION("""COMPUTED_VALUE"""),264.84)</f>
        <v>264.83999999999997</v>
      </c>
      <c r="F1001">
        <f t="shared" ca="1" si="125"/>
        <v>5.4580832398917374E-3</v>
      </c>
      <c r="G1001">
        <f t="shared" ca="1" si="126"/>
        <v>-7.5950498145921418E-4</v>
      </c>
      <c r="H1001">
        <f t="shared" ca="1" si="127"/>
        <v>1.1429852084266941E-3</v>
      </c>
      <c r="I1001">
        <f t="shared" ca="1" si="128"/>
        <v>-4.1737168640722452E-3</v>
      </c>
      <c r="O1001">
        <f t="shared" ca="1" si="129"/>
        <v>1.6206841559684189</v>
      </c>
      <c r="P1001">
        <f t="shared" ca="1" si="130"/>
        <v>1.7055055665700798</v>
      </c>
      <c r="Q1001">
        <f t="shared" ca="1" si="131"/>
        <v>1.864010014604633</v>
      </c>
      <c r="R1001">
        <f t="shared" ca="1" si="132"/>
        <v>2.0432032093812698</v>
      </c>
    </row>
    <row r="1002" spans="1:18" x14ac:dyDescent="0.3">
      <c r="A1002" s="2">
        <f ca="1">IFERROR(__xludf.DUMMYFUNCTION("""COMPUTED_VALUE"""),45681.6666666666)</f>
        <v>45681.666666666599</v>
      </c>
      <c r="B1002" s="1">
        <f ca="1">IFERROR(__xludf.DUMMYFUNCTION("""COMPUTED_VALUE"""),607.97)</f>
        <v>607.97</v>
      </c>
      <c r="C1002" s="1">
        <f ca="1">IFERROR(__xludf.DUMMYFUNCTION("""COMPUTED_VALUE"""),222.78)</f>
        <v>222.78</v>
      </c>
      <c r="D1002" s="1">
        <f ca="1">IFERROR(__xludf.DUMMYFUNCTION("""COMPUTED_VALUE"""),444.06)</f>
        <v>444.06</v>
      </c>
      <c r="E1002" s="1">
        <f ca="1">IFERROR(__xludf.DUMMYFUNCTION("""COMPUTED_VALUE"""),265.85)</f>
        <v>265.85000000000002</v>
      </c>
      <c r="F1002">
        <f t="shared" ca="1" si="125"/>
        <v>-2.9192291922918783E-3</v>
      </c>
      <c r="G1002">
        <f t="shared" ca="1" si="126"/>
        <v>-3.934543503532127E-3</v>
      </c>
      <c r="H1002">
        <f t="shared" ca="1" si="127"/>
        <v>-5.9322603031048719E-3</v>
      </c>
      <c r="I1002">
        <f t="shared" ca="1" si="128"/>
        <v>3.8136233197404012E-3</v>
      </c>
      <c r="O1002">
        <f t="shared" ca="1" si="129"/>
        <v>1.6159530074688309</v>
      </c>
      <c r="P1002">
        <f t="shared" ca="1" si="130"/>
        <v>1.6987951807228936</v>
      </c>
      <c r="Q1002">
        <f t="shared" ca="1" si="131"/>
        <v>1.852952221990404</v>
      </c>
      <c r="R1002">
        <f t="shared" ca="1" si="132"/>
        <v>2.0509952167875345</v>
      </c>
    </row>
    <row r="1003" spans="1:18" x14ac:dyDescent="0.3">
      <c r="A1003" s="2">
        <f ca="1">IFERROR(__xludf.DUMMYFUNCTION("""COMPUTED_VALUE"""),45684.6666666666)</f>
        <v>45684.666666666599</v>
      </c>
      <c r="B1003" s="1">
        <f ca="1">IFERROR(__xludf.DUMMYFUNCTION("""COMPUTED_VALUE"""),599.37)</f>
        <v>599.37</v>
      </c>
      <c r="C1003" s="1">
        <f ca="1">IFERROR(__xludf.DUMMYFUNCTION("""COMPUTED_VALUE"""),229.86)</f>
        <v>229.86</v>
      </c>
      <c r="D1003" s="1">
        <f ca="1">IFERROR(__xludf.DUMMYFUNCTION("""COMPUTED_VALUE"""),434.56)</f>
        <v>434.56</v>
      </c>
      <c r="E1003" s="1">
        <f ca="1">IFERROR(__xludf.DUMMYFUNCTION("""COMPUTED_VALUE"""),267.14)</f>
        <v>267.14</v>
      </c>
      <c r="F1003">
        <f t="shared" ca="1" si="125"/>
        <v>-1.4145434807638571E-2</v>
      </c>
      <c r="G1003">
        <f t="shared" ca="1" si="126"/>
        <v>3.1780231618637279E-2</v>
      </c>
      <c r="H1003">
        <f t="shared" ca="1" si="127"/>
        <v>-2.1393505382155564E-2</v>
      </c>
      <c r="I1003">
        <f t="shared" ca="1" si="128"/>
        <v>4.85236035358271E-3</v>
      </c>
      <c r="O1003">
        <f t="shared" ca="1" si="129"/>
        <v>1.5930946495494731</v>
      </c>
      <c r="P1003">
        <f t="shared" ca="1" si="130"/>
        <v>1.752783285038892</v>
      </c>
      <c r="Q1003">
        <f t="shared" ca="1" si="131"/>
        <v>1.8133110786563751</v>
      </c>
      <c r="R1003">
        <f t="shared" ca="1" si="132"/>
        <v>2.0609473846628621</v>
      </c>
    </row>
    <row r="1004" spans="1:18" x14ac:dyDescent="0.3">
      <c r="A1004" s="2">
        <f ca="1">IFERROR(__xludf.DUMMYFUNCTION("""COMPUTED_VALUE"""),45685.6666666666)</f>
        <v>45685.666666666599</v>
      </c>
      <c r="B1004" s="1">
        <f ca="1">IFERROR(__xludf.DUMMYFUNCTION("""COMPUTED_VALUE"""),604.52)</f>
        <v>604.52</v>
      </c>
      <c r="C1004" s="1">
        <f ca="1">IFERROR(__xludf.DUMMYFUNCTION("""COMPUTED_VALUE"""),238.26)</f>
        <v>238.26</v>
      </c>
      <c r="D1004" s="1">
        <f ca="1">IFERROR(__xludf.DUMMYFUNCTION("""COMPUTED_VALUE"""),447.2)</f>
        <v>447.2</v>
      </c>
      <c r="E1004" s="1">
        <f ca="1">IFERROR(__xludf.DUMMYFUNCTION("""COMPUTED_VALUE"""),266.58)</f>
        <v>266.58</v>
      </c>
      <c r="F1004">
        <f t="shared" ca="1" si="125"/>
        <v>8.5923553064050206E-3</v>
      </c>
      <c r="G1004">
        <f t="shared" ca="1" si="126"/>
        <v>3.6543983294178961E-2</v>
      </c>
      <c r="H1004">
        <f t="shared" ca="1" si="127"/>
        <v>2.9086892488954314E-2</v>
      </c>
      <c r="I1004">
        <f t="shared" ca="1" si="128"/>
        <v>-2.0962791045893627E-3</v>
      </c>
      <c r="O1004">
        <f t="shared" ca="1" si="129"/>
        <v>1.6067830848151352</v>
      </c>
      <c r="P1004">
        <f t="shared" ca="1" si="130"/>
        <v>1.8168369681256693</v>
      </c>
      <c r="Q1004">
        <f t="shared" ca="1" si="131"/>
        <v>1.8660546630502828</v>
      </c>
      <c r="R1004">
        <f t="shared" ca="1" si="132"/>
        <v>2.0566270637247355</v>
      </c>
    </row>
    <row r="1005" spans="1:18" x14ac:dyDescent="0.3">
      <c r="A1005" s="2">
        <f ca="1">IFERROR(__xludf.DUMMYFUNCTION("""COMPUTED_VALUE"""),45686.6666666666)</f>
        <v>45686.666666666599</v>
      </c>
      <c r="B1005" s="1">
        <f ca="1">IFERROR(__xludf.DUMMYFUNCTION("""COMPUTED_VALUE"""),601.81)</f>
        <v>601.80999999999995</v>
      </c>
      <c r="C1005" s="1">
        <f ca="1">IFERROR(__xludf.DUMMYFUNCTION("""COMPUTED_VALUE"""),239.36)</f>
        <v>239.36</v>
      </c>
      <c r="D1005" s="1">
        <f ca="1">IFERROR(__xludf.DUMMYFUNCTION("""COMPUTED_VALUE"""),442.33)</f>
        <v>442.33</v>
      </c>
      <c r="E1005" s="1">
        <f ca="1">IFERROR(__xludf.DUMMYFUNCTION("""COMPUTED_VALUE"""),268.23)</f>
        <v>268.23</v>
      </c>
      <c r="F1005">
        <f t="shared" ca="1" si="125"/>
        <v>-4.4828955204129495E-3</v>
      </c>
      <c r="G1005">
        <f t="shared" ca="1" si="126"/>
        <v>4.6168051708218869E-3</v>
      </c>
      <c r="H1005">
        <f t="shared" ca="1" si="127"/>
        <v>-1.0889982110912353E-2</v>
      </c>
      <c r="I1005">
        <f t="shared" ca="1" si="128"/>
        <v>6.1895115912672903E-3</v>
      </c>
      <c r="O1005">
        <f t="shared" ca="1" si="129"/>
        <v>1.5995800441219421</v>
      </c>
      <c r="P1005">
        <f t="shared" ca="1" si="130"/>
        <v>1.8252249504346525</v>
      </c>
      <c r="Q1005">
        <f t="shared" ca="1" si="131"/>
        <v>1.8457333611516806</v>
      </c>
      <c r="R1005">
        <f t="shared" ca="1" si="132"/>
        <v>2.0693565807745737</v>
      </c>
    </row>
    <row r="1006" spans="1:18" x14ac:dyDescent="0.3">
      <c r="A1006" s="2">
        <f ca="1">IFERROR(__xludf.DUMMYFUNCTION("""COMPUTED_VALUE"""),45687.6666666666)</f>
        <v>45687.666666666599</v>
      </c>
      <c r="B1006" s="1">
        <f ca="1">IFERROR(__xludf.DUMMYFUNCTION("""COMPUTED_VALUE"""),605.04)</f>
        <v>605.04</v>
      </c>
      <c r="C1006" s="1">
        <f ca="1">IFERROR(__xludf.DUMMYFUNCTION("""COMPUTED_VALUE"""),237.59)</f>
        <v>237.59</v>
      </c>
      <c r="D1006" s="1">
        <f ca="1">IFERROR(__xludf.DUMMYFUNCTION("""COMPUTED_VALUE"""),414.99)</f>
        <v>414.99</v>
      </c>
      <c r="E1006" s="1">
        <f ca="1">IFERROR(__xludf.DUMMYFUNCTION("""COMPUTED_VALUE"""),267.3)</f>
        <v>267.3</v>
      </c>
      <c r="F1006">
        <f t="shared" ca="1" si="125"/>
        <v>5.3671424535983421E-3</v>
      </c>
      <c r="G1006">
        <f t="shared" ca="1" si="126"/>
        <v>-7.394719251336941E-3</v>
      </c>
      <c r="H1006">
        <f t="shared" ca="1" si="127"/>
        <v>-6.1809056586711222E-2</v>
      </c>
      <c r="I1006">
        <f t="shared" ca="1" si="128"/>
        <v>-3.4671736942176743E-3</v>
      </c>
      <c r="O1006">
        <f t="shared" ca="1" si="129"/>
        <v>1.6081652180846777</v>
      </c>
      <c r="P1006">
        <f t="shared" ca="1" si="130"/>
        <v>1.8117279243556528</v>
      </c>
      <c r="Q1006">
        <f t="shared" ca="1" si="131"/>
        <v>1.7316503233882756</v>
      </c>
      <c r="R1006">
        <f t="shared" ca="1" si="132"/>
        <v>2.0621817620737559</v>
      </c>
    </row>
    <row r="1007" spans="1:18" x14ac:dyDescent="0.3">
      <c r="A1007" s="2">
        <f ca="1">IFERROR(__xludf.DUMMYFUNCTION("""COMPUTED_VALUE"""),45688.6666666666)</f>
        <v>45688.666666666599</v>
      </c>
      <c r="B1007" s="1">
        <f ca="1">IFERROR(__xludf.DUMMYFUNCTION("""COMPUTED_VALUE"""),601.82)</f>
        <v>601.82000000000005</v>
      </c>
      <c r="C1007" s="1">
        <f ca="1">IFERROR(__xludf.DUMMYFUNCTION("""COMPUTED_VALUE"""),236)</f>
        <v>236</v>
      </c>
      <c r="D1007" s="1">
        <f ca="1">IFERROR(__xludf.DUMMYFUNCTION("""COMPUTED_VALUE"""),415.06)</f>
        <v>415.06</v>
      </c>
      <c r="E1007" s="1">
        <f ca="1">IFERROR(__xludf.DUMMYFUNCTION("""COMPUTED_VALUE"""),266.81)</f>
        <v>266.81</v>
      </c>
      <c r="F1007">
        <f t="shared" ca="1" si="125"/>
        <v>-5.3219621843182494E-3</v>
      </c>
      <c r="G1007">
        <f t="shared" ca="1" si="126"/>
        <v>-6.6922008502041472E-3</v>
      </c>
      <c r="H1007">
        <f t="shared" ca="1" si="127"/>
        <v>1.6867876334367859E-4</v>
      </c>
      <c r="I1007">
        <f t="shared" ca="1" si="128"/>
        <v>-1.8331462775907561E-3</v>
      </c>
      <c r="O1007">
        <f t="shared" ca="1" si="129"/>
        <v>1.5996066236078952</v>
      </c>
      <c r="P1007">
        <f t="shared" ca="1" si="130"/>
        <v>1.7996034771999412</v>
      </c>
      <c r="Q1007">
        <f t="shared" ca="1" si="131"/>
        <v>1.7319424160233685</v>
      </c>
      <c r="R1007">
        <f t="shared" ca="1" si="132"/>
        <v>2.0584014812528948</v>
      </c>
    </row>
    <row r="1008" spans="1:18" x14ac:dyDescent="0.3">
      <c r="A1008" s="2">
        <f ca="1">IFERROR(__xludf.DUMMYFUNCTION("""COMPUTED_VALUE"""),45691.6666666666)</f>
        <v>45691.666666666599</v>
      </c>
      <c r="B1008" s="1">
        <f ca="1">IFERROR(__xludf.DUMMYFUNCTION("""COMPUTED_VALUE"""),597.77)</f>
        <v>597.77</v>
      </c>
      <c r="C1008" s="1">
        <f ca="1">IFERROR(__xludf.DUMMYFUNCTION("""COMPUTED_VALUE"""),228.01)</f>
        <v>228.01</v>
      </c>
      <c r="D1008" s="1">
        <f ca="1">IFERROR(__xludf.DUMMYFUNCTION("""COMPUTED_VALUE"""),410.92)</f>
        <v>410.92</v>
      </c>
      <c r="E1008" s="1">
        <f ca="1">IFERROR(__xludf.DUMMYFUNCTION("""COMPUTED_VALUE"""),267.94)</f>
        <v>267.94</v>
      </c>
      <c r="F1008">
        <f t="shared" ca="1" si="125"/>
        <v>-6.7295869196770924E-3</v>
      </c>
      <c r="G1008">
        <f t="shared" ca="1" si="126"/>
        <v>-3.3855932203389866E-2</v>
      </c>
      <c r="H1008">
        <f t="shared" ca="1" si="127"/>
        <v>-9.9744615236351045E-3</v>
      </c>
      <c r="I1008">
        <f t="shared" ca="1" si="128"/>
        <v>4.2352235673325418E-3</v>
      </c>
      <c r="O1008">
        <f t="shared" ca="1" si="129"/>
        <v>1.5888419317970346</v>
      </c>
      <c r="P1008">
        <f t="shared" ca="1" si="130"/>
        <v>1.7386762238828752</v>
      </c>
      <c r="Q1008">
        <f t="shared" ca="1" si="131"/>
        <v>1.7146672230335918</v>
      </c>
      <c r="R1008">
        <f t="shared" ca="1" si="132"/>
        <v>2.0671192717173295</v>
      </c>
    </row>
    <row r="1009" spans="1:18" x14ac:dyDescent="0.3">
      <c r="A1009" s="2">
        <f ca="1">IFERROR(__xludf.DUMMYFUNCTION("""COMPUTED_VALUE"""),45692.6666666666)</f>
        <v>45692.666666666599</v>
      </c>
      <c r="B1009" s="1">
        <f ca="1">IFERROR(__xludf.DUMMYFUNCTION("""COMPUTED_VALUE"""),601.78)</f>
        <v>601.78</v>
      </c>
      <c r="C1009" s="1">
        <f ca="1">IFERROR(__xludf.DUMMYFUNCTION("""COMPUTED_VALUE"""),232.8)</f>
        <v>232.8</v>
      </c>
      <c r="D1009" s="1">
        <f ca="1">IFERROR(__xludf.DUMMYFUNCTION("""COMPUTED_VALUE"""),412.37)</f>
        <v>412.37</v>
      </c>
      <c r="E1009" s="1">
        <f ca="1">IFERROR(__xludf.DUMMYFUNCTION("""COMPUTED_VALUE"""),270.43)</f>
        <v>270.43</v>
      </c>
      <c r="F1009">
        <f t="shared" ca="1" si="125"/>
        <v>6.7082657209294391E-3</v>
      </c>
      <c r="G1009">
        <f t="shared" ca="1" si="126"/>
        <v>2.1007850532871457E-2</v>
      </c>
      <c r="H1009">
        <f t="shared" ca="1" si="127"/>
        <v>3.528667380511994E-3</v>
      </c>
      <c r="I1009">
        <f t="shared" ca="1" si="128"/>
        <v>9.2931253265656835E-3</v>
      </c>
      <c r="O1009">
        <f t="shared" ca="1" si="129"/>
        <v>1.599500305664084</v>
      </c>
      <c r="P1009">
        <f t="shared" ca="1" si="130"/>
        <v>1.775202074119264</v>
      </c>
      <c r="Q1009">
        <f t="shared" ca="1" si="131"/>
        <v>1.7207177133319433</v>
      </c>
      <c r="R1009">
        <f t="shared" ca="1" si="132"/>
        <v>2.0863292701743581</v>
      </c>
    </row>
    <row r="1010" spans="1:18" x14ac:dyDescent="0.3">
      <c r="A1010" s="2">
        <f ca="1">IFERROR(__xludf.DUMMYFUNCTION("""COMPUTED_VALUE"""),45693.6666666666)</f>
        <v>45693.666666666599</v>
      </c>
      <c r="B1010" s="1">
        <f ca="1">IFERROR(__xludf.DUMMYFUNCTION("""COMPUTED_VALUE"""),604.22)</f>
        <v>604.22</v>
      </c>
      <c r="C1010" s="1">
        <f ca="1">IFERROR(__xludf.DUMMYFUNCTION("""COMPUTED_VALUE"""),232.47)</f>
        <v>232.47</v>
      </c>
      <c r="D1010" s="1">
        <f ca="1">IFERROR(__xludf.DUMMYFUNCTION("""COMPUTED_VALUE"""),413.29)</f>
        <v>413.29</v>
      </c>
      <c r="E1010" s="1">
        <f ca="1">IFERROR(__xludf.DUMMYFUNCTION("""COMPUTED_VALUE"""),276.9)</f>
        <v>276.89999999999998</v>
      </c>
      <c r="F1010">
        <f t="shared" ca="1" si="125"/>
        <v>4.0546379075410525E-3</v>
      </c>
      <c r="G1010">
        <f t="shared" ca="1" si="126"/>
        <v>-1.41752577319593E-3</v>
      </c>
      <c r="H1010">
        <f t="shared" ca="1" si="127"/>
        <v>2.2310061352669107E-3</v>
      </c>
      <c r="I1010">
        <f t="shared" ca="1" si="128"/>
        <v>2.3924860407499058E-2</v>
      </c>
      <c r="O1010">
        <f t="shared" ca="1" si="129"/>
        <v>1.605985700236553</v>
      </c>
      <c r="P1010">
        <f t="shared" ca="1" si="130"/>
        <v>1.7726856794265691</v>
      </c>
      <c r="Q1010">
        <f t="shared" ca="1" si="131"/>
        <v>1.7245566451074492</v>
      </c>
      <c r="R1010">
        <f t="shared" ca="1" si="132"/>
        <v>2.1362444067273589</v>
      </c>
    </row>
    <row r="1011" spans="1:18" x14ac:dyDescent="0.3">
      <c r="A1011" s="2">
        <f ca="1">IFERROR(__xludf.DUMMYFUNCTION("""COMPUTED_VALUE"""),45694.6666666666)</f>
        <v>45694.666666666599</v>
      </c>
      <c r="B1011" s="1">
        <f ca="1">IFERROR(__xludf.DUMMYFUNCTION("""COMPUTED_VALUE"""),606.32)</f>
        <v>606.32000000000005</v>
      </c>
      <c r="C1011" s="1">
        <f ca="1">IFERROR(__xludf.DUMMYFUNCTION("""COMPUTED_VALUE"""),233.22)</f>
        <v>233.22</v>
      </c>
      <c r="D1011" s="1">
        <f ca="1">IFERROR(__xludf.DUMMYFUNCTION("""COMPUTED_VALUE"""),415.82)</f>
        <v>415.82</v>
      </c>
      <c r="E1011" s="1">
        <f ca="1">IFERROR(__xludf.DUMMYFUNCTION("""COMPUTED_VALUE"""),275.8)</f>
        <v>275.8</v>
      </c>
      <c r="F1011">
        <f t="shared" ca="1" si="125"/>
        <v>3.4755552613286926E-3</v>
      </c>
      <c r="G1011">
        <f t="shared" ca="1" si="126"/>
        <v>3.2262227384178602E-3</v>
      </c>
      <c r="H1011">
        <f t="shared" ca="1" si="127"/>
        <v>6.1216095235790188E-3</v>
      </c>
      <c r="I1011">
        <f t="shared" ca="1" si="128"/>
        <v>-3.9725532683277933E-3</v>
      </c>
      <c r="O1011">
        <f t="shared" ca="1" si="129"/>
        <v>1.6115673922866285</v>
      </c>
      <c r="P1011">
        <f t="shared" ca="1" si="130"/>
        <v>1.7784047582736029</v>
      </c>
      <c r="Q1011">
        <f t="shared" ca="1" si="131"/>
        <v>1.7351137074900904</v>
      </c>
      <c r="R1011">
        <f t="shared" ca="1" si="132"/>
        <v>2.1277580620274672</v>
      </c>
    </row>
    <row r="1012" spans="1:18" x14ac:dyDescent="0.3">
      <c r="A1012" s="2">
        <f ca="1">IFERROR(__xludf.DUMMYFUNCTION("""COMPUTED_VALUE"""),45695.6666666666)</f>
        <v>45695.666666666599</v>
      </c>
      <c r="B1012" s="1">
        <f ca="1">IFERROR(__xludf.DUMMYFUNCTION("""COMPUTED_VALUE"""),600.77)</f>
        <v>600.77</v>
      </c>
      <c r="C1012" s="1">
        <f ca="1">IFERROR(__xludf.DUMMYFUNCTION("""COMPUTED_VALUE"""),227.63)</f>
        <v>227.63</v>
      </c>
      <c r="D1012" s="1">
        <f ca="1">IFERROR(__xludf.DUMMYFUNCTION("""COMPUTED_VALUE"""),409.75)</f>
        <v>409.75</v>
      </c>
      <c r="E1012" s="1">
        <f ca="1">IFERROR(__xludf.DUMMYFUNCTION("""COMPUTED_VALUE"""),271.04)</f>
        <v>271.04000000000002</v>
      </c>
      <c r="F1012">
        <f t="shared" ca="1" si="125"/>
        <v>-9.1535822667899256E-3</v>
      </c>
      <c r="G1012">
        <f t="shared" ca="1" si="126"/>
        <v>-2.396878483835007E-2</v>
      </c>
      <c r="H1012">
        <f t="shared" ca="1" si="127"/>
        <v>-1.4597662450098584E-2</v>
      </c>
      <c r="I1012">
        <f t="shared" ca="1" si="128"/>
        <v>-1.7258883248730931E-2</v>
      </c>
      <c r="O1012">
        <f t="shared" ca="1" si="129"/>
        <v>1.5968157775828566</v>
      </c>
      <c r="P1012">
        <f t="shared" ca="1" si="130"/>
        <v>1.735778557267045</v>
      </c>
      <c r="Q1012">
        <f t="shared" ca="1" si="131"/>
        <v>1.7097851032756108</v>
      </c>
      <c r="R1012">
        <f t="shared" ca="1" si="132"/>
        <v>2.0910353340533891</v>
      </c>
    </row>
    <row r="1013" spans="1:18" x14ac:dyDescent="0.3">
      <c r="A1013" s="2">
        <f ca="1">IFERROR(__xludf.DUMMYFUNCTION("""COMPUTED_VALUE"""),45698.6666666666)</f>
        <v>45698.666666666599</v>
      </c>
      <c r="B1013" s="1">
        <f ca="1">IFERROR(__xludf.DUMMYFUNCTION("""COMPUTED_VALUE"""),604.85)</f>
        <v>604.85</v>
      </c>
      <c r="C1013" s="1">
        <f ca="1">IFERROR(__xludf.DUMMYFUNCTION("""COMPUTED_VALUE"""),227.65)</f>
        <v>227.65</v>
      </c>
      <c r="D1013" s="1">
        <f ca="1">IFERROR(__xludf.DUMMYFUNCTION("""COMPUTED_VALUE"""),412.22)</f>
        <v>412.22</v>
      </c>
      <c r="E1013" s="1">
        <f ca="1">IFERROR(__xludf.DUMMYFUNCTION("""COMPUTED_VALUE"""),274.99)</f>
        <v>274.99</v>
      </c>
      <c r="F1013">
        <f t="shared" ca="1" si="125"/>
        <v>6.7912845182017097E-3</v>
      </c>
      <c r="G1013">
        <f t="shared" ca="1" si="126"/>
        <v>8.7861881122919789E-5</v>
      </c>
      <c r="H1013">
        <f t="shared" ca="1" si="127"/>
        <v>6.0280658938377729E-3</v>
      </c>
      <c r="I1013">
        <f t="shared" ca="1" si="128"/>
        <v>1.4573494687131008E-2</v>
      </c>
      <c r="O1013">
        <f t="shared" ca="1" si="129"/>
        <v>1.6076602078515752</v>
      </c>
      <c r="P1013">
        <f t="shared" ca="1" si="130"/>
        <v>1.7359310660362992</v>
      </c>
      <c r="Q1013">
        <f t="shared" ca="1" si="131"/>
        <v>1.7200918005424586</v>
      </c>
      <c r="R1013">
        <f t="shared" ca="1" si="132"/>
        <v>2.1215090263848193</v>
      </c>
    </row>
    <row r="1014" spans="1:18" x14ac:dyDescent="0.3">
      <c r="A1014" s="2">
        <f ca="1">IFERROR(__xludf.DUMMYFUNCTION("""COMPUTED_VALUE"""),45699.6666666666)</f>
        <v>45699.666666666599</v>
      </c>
      <c r="B1014" s="1">
        <f ca="1">IFERROR(__xludf.DUMMYFUNCTION("""COMPUTED_VALUE"""),605.31)</f>
        <v>605.30999999999995</v>
      </c>
      <c r="C1014" s="1">
        <f ca="1">IFERROR(__xludf.DUMMYFUNCTION("""COMPUTED_VALUE"""),232.62)</f>
        <v>232.62</v>
      </c>
      <c r="D1014" s="1">
        <f ca="1">IFERROR(__xludf.DUMMYFUNCTION("""COMPUTED_VALUE"""),411.44)</f>
        <v>411.44</v>
      </c>
      <c r="E1014" s="1">
        <f ca="1">IFERROR(__xludf.DUMMYFUNCTION("""COMPUTED_VALUE"""),275.45)</f>
        <v>275.45</v>
      </c>
      <c r="F1014">
        <f t="shared" ca="1" si="125"/>
        <v>7.6051913697598196E-4</v>
      </c>
      <c r="G1014">
        <f t="shared" ca="1" si="126"/>
        <v>2.1831759279595866E-2</v>
      </c>
      <c r="H1014">
        <f t="shared" ca="1" si="127"/>
        <v>-1.8921934889137584E-3</v>
      </c>
      <c r="I1014">
        <f t="shared" ca="1" si="128"/>
        <v>1.6727881013854304E-3</v>
      </c>
      <c r="O1014">
        <f t="shared" ca="1" si="129"/>
        <v>1.6088828642054009</v>
      </c>
      <c r="P1014">
        <f t="shared" ca="1" si="130"/>
        <v>1.7738294951959759</v>
      </c>
      <c r="Q1014">
        <f t="shared" ca="1" si="131"/>
        <v>1.716837054037138</v>
      </c>
      <c r="R1014">
        <f t="shared" ca="1" si="132"/>
        <v>2.1250578614411375</v>
      </c>
    </row>
    <row r="1015" spans="1:18" x14ac:dyDescent="0.3">
      <c r="A1015" s="2">
        <f ca="1">IFERROR(__xludf.DUMMYFUNCTION("""COMPUTED_VALUE"""),45700.6666666666)</f>
        <v>45700.666666666599</v>
      </c>
      <c r="B1015" s="1">
        <f ca="1">IFERROR(__xludf.DUMMYFUNCTION("""COMPUTED_VALUE"""),603.36)</f>
        <v>603.36</v>
      </c>
      <c r="C1015" s="1">
        <f ca="1">IFERROR(__xludf.DUMMYFUNCTION("""COMPUTED_VALUE"""),236.87)</f>
        <v>236.87</v>
      </c>
      <c r="D1015" s="1">
        <f ca="1">IFERROR(__xludf.DUMMYFUNCTION("""COMPUTED_VALUE"""),409.04)</f>
        <v>409.04</v>
      </c>
      <c r="E1015" s="1">
        <f ca="1">IFERROR(__xludf.DUMMYFUNCTION("""COMPUTED_VALUE"""),276.32)</f>
        <v>276.32</v>
      </c>
      <c r="F1015">
        <f t="shared" ca="1" si="125"/>
        <v>-3.2214898151359337E-3</v>
      </c>
      <c r="G1015">
        <f t="shared" ca="1" si="126"/>
        <v>1.8270140142722036E-2</v>
      </c>
      <c r="H1015">
        <f t="shared" ca="1" si="127"/>
        <v>-5.8331713007971448E-3</v>
      </c>
      <c r="I1015">
        <f t="shared" ca="1" si="128"/>
        <v>3.1584679615175334E-3</v>
      </c>
      <c r="O1015">
        <f t="shared" ca="1" si="129"/>
        <v>1.6036998644446165</v>
      </c>
      <c r="P1015">
        <f t="shared" ca="1" si="130"/>
        <v>1.8062376086625003</v>
      </c>
      <c r="Q1015">
        <f t="shared" ca="1" si="131"/>
        <v>1.7068224494053834</v>
      </c>
      <c r="R1015">
        <f t="shared" ca="1" si="132"/>
        <v>2.1317697886128704</v>
      </c>
    </row>
    <row r="1016" spans="1:18" x14ac:dyDescent="0.3">
      <c r="A1016" s="2">
        <f ca="1">IFERROR(__xludf.DUMMYFUNCTION("""COMPUTED_VALUE"""),45701.6666666666)</f>
        <v>45701.666666666599</v>
      </c>
      <c r="B1016" s="1">
        <f ca="1">IFERROR(__xludf.DUMMYFUNCTION("""COMPUTED_VALUE"""),609.73)</f>
        <v>609.73</v>
      </c>
      <c r="C1016" s="1">
        <f ca="1">IFERROR(__xludf.DUMMYFUNCTION("""COMPUTED_VALUE"""),241.53)</f>
        <v>241.53</v>
      </c>
      <c r="D1016" s="1">
        <f ca="1">IFERROR(__xludf.DUMMYFUNCTION("""COMPUTED_VALUE"""),410.54)</f>
        <v>410.54</v>
      </c>
      <c r="E1016" s="1">
        <f ca="1">IFERROR(__xludf.DUMMYFUNCTION("""COMPUTED_VALUE"""),276.59)</f>
        <v>276.58999999999997</v>
      </c>
      <c r="F1016">
        <f t="shared" ca="1" si="125"/>
        <v>1.0557544417926288E-2</v>
      </c>
      <c r="G1016">
        <f t="shared" ca="1" si="126"/>
        <v>1.9673238485245055E-2</v>
      </c>
      <c r="H1016">
        <f t="shared" ca="1" si="127"/>
        <v>3.667123019753569E-3</v>
      </c>
      <c r="I1016">
        <f t="shared" ca="1" si="128"/>
        <v>9.7712796757376172E-4</v>
      </c>
      <c r="O1016">
        <f t="shared" ca="1" si="129"/>
        <v>1.6206309969965129</v>
      </c>
      <c r="P1016">
        <f t="shared" ca="1" si="130"/>
        <v>1.8417721518987367</v>
      </c>
      <c r="Q1016">
        <f t="shared" ca="1" si="131"/>
        <v>1.7130815773002301</v>
      </c>
      <c r="R1016">
        <f t="shared" ca="1" si="132"/>
        <v>2.1338528004937527</v>
      </c>
    </row>
    <row r="1017" spans="1:18" x14ac:dyDescent="0.3">
      <c r="A1017" s="2">
        <f ca="1">IFERROR(__xludf.DUMMYFUNCTION("""COMPUTED_VALUE"""),45702.6666666666)</f>
        <v>45702.666666666599</v>
      </c>
      <c r="B1017" s="1">
        <f ca="1">IFERROR(__xludf.DUMMYFUNCTION("""COMPUTED_VALUE"""),609.7)</f>
        <v>609.70000000000005</v>
      </c>
      <c r="C1017" s="1">
        <f ca="1">IFERROR(__xludf.DUMMYFUNCTION("""COMPUTED_VALUE"""),244.6)</f>
        <v>244.6</v>
      </c>
      <c r="D1017" s="1">
        <f ca="1">IFERROR(__xludf.DUMMYFUNCTION("""COMPUTED_VALUE"""),408.43)</f>
        <v>408.43</v>
      </c>
      <c r="E1017" s="1">
        <f ca="1">IFERROR(__xludf.DUMMYFUNCTION("""COMPUTED_VALUE"""),279.95)</f>
        <v>279.95</v>
      </c>
      <c r="F1017">
        <f t="shared" ca="1" si="125"/>
        <v>-4.9202105850085635E-5</v>
      </c>
      <c r="G1017">
        <f t="shared" ca="1" si="126"/>
        <v>1.2710636359872452E-2</v>
      </c>
      <c r="H1017">
        <f t="shared" ca="1" si="127"/>
        <v>-5.1395722706679336E-3</v>
      </c>
      <c r="I1017">
        <f t="shared" ca="1" si="128"/>
        <v>1.214794461115736E-2</v>
      </c>
      <c r="O1017">
        <f t="shared" ca="1" si="129"/>
        <v>1.6205512585386548</v>
      </c>
      <c r="P1017">
        <f t="shared" ca="1" si="130"/>
        <v>1.865182247979261</v>
      </c>
      <c r="Q1017">
        <f t="shared" ca="1" si="131"/>
        <v>1.7042770707281458</v>
      </c>
      <c r="R1017">
        <f t="shared" ca="1" si="132"/>
        <v>2.1597747261225138</v>
      </c>
    </row>
    <row r="1018" spans="1:18" x14ac:dyDescent="0.3">
      <c r="A1018" s="2">
        <f ca="1">IFERROR(__xludf.DUMMYFUNCTION("""COMPUTED_VALUE"""),45706.6666666666)</f>
        <v>45706.666666666599</v>
      </c>
      <c r="B1018" s="1">
        <f ca="1">IFERROR(__xludf.DUMMYFUNCTION("""COMPUTED_VALUE"""),611.49)</f>
        <v>611.49</v>
      </c>
      <c r="C1018" s="1">
        <f ca="1">IFERROR(__xludf.DUMMYFUNCTION("""COMPUTED_VALUE"""),244.47)</f>
        <v>244.47</v>
      </c>
      <c r="D1018" s="1">
        <f ca="1">IFERROR(__xludf.DUMMYFUNCTION("""COMPUTED_VALUE"""),409.64)</f>
        <v>409.64</v>
      </c>
      <c r="E1018" s="1">
        <f ca="1">IFERROR(__xludf.DUMMYFUNCTION("""COMPUTED_VALUE"""),279.25)</f>
        <v>279.25</v>
      </c>
      <c r="F1018">
        <f t="shared" ca="1" si="125"/>
        <v>2.9358701000491445E-3</v>
      </c>
      <c r="G1018">
        <f t="shared" ca="1" si="126"/>
        <v>-5.3147996729352193E-4</v>
      </c>
      <c r="H1018">
        <f t="shared" ca="1" si="127"/>
        <v>2.9625639644491821E-3</v>
      </c>
      <c r="I1018">
        <f t="shared" ca="1" si="128"/>
        <v>-2.5004465083050139E-3</v>
      </c>
      <c r="O1018">
        <f t="shared" ca="1" si="129"/>
        <v>1.6253089865241956</v>
      </c>
      <c r="P1018">
        <f t="shared" ca="1" si="130"/>
        <v>1.8641909409791086</v>
      </c>
      <c r="Q1018">
        <f t="shared" ca="1" si="131"/>
        <v>1.7093261005633222</v>
      </c>
      <c r="R1018">
        <f t="shared" ca="1" si="132"/>
        <v>2.1543743249498553</v>
      </c>
    </row>
    <row r="1019" spans="1:18" x14ac:dyDescent="0.3">
      <c r="A1019" s="2">
        <f ca="1">IFERROR(__xludf.DUMMYFUNCTION("""COMPUTED_VALUE"""),45707.6666666666)</f>
        <v>45707.666666666599</v>
      </c>
      <c r="B1019" s="1">
        <f ca="1">IFERROR(__xludf.DUMMYFUNCTION("""COMPUTED_VALUE"""),612.93)</f>
        <v>612.92999999999995</v>
      </c>
      <c r="C1019" s="1">
        <f ca="1">IFERROR(__xludf.DUMMYFUNCTION("""COMPUTED_VALUE"""),244.87)</f>
        <v>244.87</v>
      </c>
      <c r="D1019" s="1">
        <f ca="1">IFERROR(__xludf.DUMMYFUNCTION("""COMPUTED_VALUE"""),414.77)</f>
        <v>414.77</v>
      </c>
      <c r="E1019" s="1">
        <f ca="1">IFERROR(__xludf.DUMMYFUNCTION("""COMPUTED_VALUE"""),266.8)</f>
        <v>266.8</v>
      </c>
      <c r="F1019">
        <f t="shared" ca="1" si="125"/>
        <v>2.3549035961339367E-3</v>
      </c>
      <c r="G1019">
        <f t="shared" ca="1" si="126"/>
        <v>1.6361925798666736E-3</v>
      </c>
      <c r="H1019">
        <f t="shared" ca="1" si="127"/>
        <v>1.2523191094619655E-2</v>
      </c>
      <c r="I1019">
        <f t="shared" ca="1" si="128"/>
        <v>-4.4583706356311509E-2</v>
      </c>
      <c r="O1019">
        <f t="shared" ca="1" si="129"/>
        <v>1.6291364325013902</v>
      </c>
      <c r="P1019">
        <f t="shared" ca="1" si="130"/>
        <v>1.8672411163641933</v>
      </c>
      <c r="Q1019">
        <f t="shared" ca="1" si="131"/>
        <v>1.730732317963698</v>
      </c>
      <c r="R1019">
        <f t="shared" ca="1" si="132"/>
        <v>2.0583243326647143</v>
      </c>
    </row>
    <row r="1020" spans="1:18" x14ac:dyDescent="0.3">
      <c r="A1020" s="2">
        <f ca="1">IFERROR(__xludf.DUMMYFUNCTION("""COMPUTED_VALUE"""),45708.6666666666)</f>
        <v>45708.666666666599</v>
      </c>
      <c r="B1020" s="1">
        <f ca="1">IFERROR(__xludf.DUMMYFUNCTION("""COMPUTED_VALUE"""),610.38)</f>
        <v>610.38</v>
      </c>
      <c r="C1020" s="1">
        <f ca="1">IFERROR(__xludf.DUMMYFUNCTION("""COMPUTED_VALUE"""),245.83)</f>
        <v>245.83</v>
      </c>
      <c r="D1020" s="1">
        <f ca="1">IFERROR(__xludf.DUMMYFUNCTION("""COMPUTED_VALUE"""),416.13)</f>
        <v>416.13</v>
      </c>
      <c r="E1020" s="1">
        <f ca="1">IFERROR(__xludf.DUMMYFUNCTION("""COMPUTED_VALUE"""),264.24)</f>
        <v>264.24</v>
      </c>
      <c r="F1020">
        <f t="shared" ca="1" si="125"/>
        <v>-4.1603445744211485E-3</v>
      </c>
      <c r="G1020">
        <f t="shared" ca="1" si="126"/>
        <v>3.9204475844325888E-3</v>
      </c>
      <c r="H1020">
        <f t="shared" ca="1" si="127"/>
        <v>3.278925669648272E-3</v>
      </c>
      <c r="I1020">
        <f t="shared" ca="1" si="128"/>
        <v>-9.5952023988006077E-3</v>
      </c>
      <c r="O1020">
        <f t="shared" ca="1" si="129"/>
        <v>1.6223586635834413</v>
      </c>
      <c r="P1020">
        <f t="shared" ca="1" si="130"/>
        <v>1.8745615372883964</v>
      </c>
      <c r="Q1020">
        <f t="shared" ca="1" si="131"/>
        <v>1.7364072605883591</v>
      </c>
      <c r="R1020">
        <f t="shared" ca="1" si="132"/>
        <v>2.0385742940904201</v>
      </c>
    </row>
    <row r="1021" spans="1:18" x14ac:dyDescent="0.3">
      <c r="A1021" s="2">
        <f ca="1">IFERROR(__xludf.DUMMYFUNCTION("""COMPUTED_VALUE"""),45709.6666666666)</f>
        <v>45709.666666666599</v>
      </c>
      <c r="B1021" s="1">
        <f ca="1">IFERROR(__xludf.DUMMYFUNCTION("""COMPUTED_VALUE"""),599.94)</f>
        <v>599.94000000000005</v>
      </c>
      <c r="C1021" s="1">
        <f ca="1">IFERROR(__xludf.DUMMYFUNCTION("""COMPUTED_VALUE"""),245.55)</f>
        <v>245.55</v>
      </c>
      <c r="D1021" s="1">
        <f ca="1">IFERROR(__xludf.DUMMYFUNCTION("""COMPUTED_VALUE"""),408.21)</f>
        <v>408.21</v>
      </c>
      <c r="E1021" s="1">
        <f ca="1">IFERROR(__xludf.DUMMYFUNCTION("""COMPUTED_VALUE"""),261.34)</f>
        <v>261.33999999999997</v>
      </c>
      <c r="F1021">
        <f t="shared" ca="1" si="125"/>
        <v>-1.7104099085815297E-2</v>
      </c>
      <c r="G1021">
        <f t="shared" ca="1" si="126"/>
        <v>-1.1389984948948506E-3</v>
      </c>
      <c r="H1021">
        <f t="shared" ca="1" si="127"/>
        <v>-1.9032513877874743E-2</v>
      </c>
      <c r="I1021">
        <f t="shared" ca="1" si="128"/>
        <v>-1.0974871329094891E-2</v>
      </c>
      <c r="O1021">
        <f t="shared" ca="1" si="129"/>
        <v>1.5946096802487792</v>
      </c>
      <c r="P1021">
        <f t="shared" ca="1" si="130"/>
        <v>1.8724264145188372</v>
      </c>
      <c r="Q1021">
        <f t="shared" ca="1" si="131"/>
        <v>1.7033590653035686</v>
      </c>
      <c r="R1021">
        <f t="shared" ca="1" si="132"/>
        <v>2.0162012035179773</v>
      </c>
    </row>
    <row r="1022" spans="1:18" x14ac:dyDescent="0.3">
      <c r="A1022" s="2">
        <f ca="1">IFERROR(__xludf.DUMMYFUNCTION("""COMPUTED_VALUE"""),45712.6666666666)</f>
        <v>45712.666666666599</v>
      </c>
      <c r="B1022" s="1">
        <f ca="1">IFERROR(__xludf.DUMMYFUNCTION("""COMPUTED_VALUE"""),597.21)</f>
        <v>597.21</v>
      </c>
      <c r="C1022" s="1">
        <f ca="1">IFERROR(__xludf.DUMMYFUNCTION("""COMPUTED_VALUE"""),247.1)</f>
        <v>247.1</v>
      </c>
      <c r="D1022" s="1">
        <f ca="1">IFERROR(__xludf.DUMMYFUNCTION("""COMPUTED_VALUE"""),404)</f>
        <v>404</v>
      </c>
      <c r="E1022" s="1">
        <f ca="1">IFERROR(__xludf.DUMMYFUNCTION("""COMPUTED_VALUE"""),257.4)</f>
        <v>257.39999999999998</v>
      </c>
      <c r="F1022">
        <f t="shared" ca="1" si="125"/>
        <v>-4.5504550455045803E-3</v>
      </c>
      <c r="G1022">
        <f t="shared" ca="1" si="126"/>
        <v>6.3123600081449113E-3</v>
      </c>
      <c r="H1022">
        <f t="shared" ca="1" si="127"/>
        <v>-1.0313319124960143E-2</v>
      </c>
      <c r="I1022">
        <f t="shared" ca="1" si="128"/>
        <v>-1.507614601668324E-2</v>
      </c>
      <c r="O1022">
        <f t="shared" ca="1" si="129"/>
        <v>1.5873534805836809</v>
      </c>
      <c r="P1022">
        <f t="shared" ca="1" si="130"/>
        <v>1.8842458441360401</v>
      </c>
      <c r="Q1022">
        <f t="shared" ca="1" si="131"/>
        <v>1.6857917796786992</v>
      </c>
      <c r="R1022">
        <f t="shared" ca="1" si="132"/>
        <v>1.9858046597747276</v>
      </c>
    </row>
    <row r="1023" spans="1:18" x14ac:dyDescent="0.3">
      <c r="A1023" s="2">
        <f ca="1">IFERROR(__xludf.DUMMYFUNCTION("""COMPUTED_VALUE"""),45713.6666666666)</f>
        <v>45713.666666666599</v>
      </c>
      <c r="B1023" s="1">
        <f ca="1">IFERROR(__xludf.DUMMYFUNCTION("""COMPUTED_VALUE"""),594.24)</f>
        <v>594.24</v>
      </c>
      <c r="C1023" s="1">
        <f ca="1">IFERROR(__xludf.DUMMYFUNCTION("""COMPUTED_VALUE"""),247.04)</f>
        <v>247.04</v>
      </c>
      <c r="D1023" s="1">
        <f ca="1">IFERROR(__xludf.DUMMYFUNCTION("""COMPUTED_VALUE"""),397.9)</f>
        <v>397.9</v>
      </c>
      <c r="E1023" s="1">
        <f ca="1">IFERROR(__xludf.DUMMYFUNCTION("""COMPUTED_VALUE"""),258.79)</f>
        <v>258.79000000000002</v>
      </c>
      <c r="F1023">
        <f t="shared" ca="1" si="125"/>
        <v>-4.9731250313960369E-3</v>
      </c>
      <c r="G1023">
        <f t="shared" ca="1" si="126"/>
        <v>-2.4281667341158347E-4</v>
      </c>
      <c r="H1023">
        <f t="shared" ca="1" si="127"/>
        <v>-1.5099009900990156E-2</v>
      </c>
      <c r="I1023">
        <f t="shared" ca="1" si="128"/>
        <v>5.4001554001555686E-3</v>
      </c>
      <c r="O1023">
        <f t="shared" ca="1" si="129"/>
        <v>1.5794593732557165</v>
      </c>
      <c r="P1023">
        <f t="shared" ca="1" si="130"/>
        <v>1.8837883178282773</v>
      </c>
      <c r="Q1023">
        <f t="shared" ca="1" si="131"/>
        <v>1.6603379929063227</v>
      </c>
      <c r="R1023">
        <f t="shared" ca="1" si="132"/>
        <v>1.9965283135318641</v>
      </c>
    </row>
    <row r="1024" spans="1:18" x14ac:dyDescent="0.3">
      <c r="A1024" s="2">
        <f ca="1">IFERROR(__xludf.DUMMYFUNCTION("""COMPUTED_VALUE"""),45714.6666666666)</f>
        <v>45714.666666666599</v>
      </c>
      <c r="B1024" s="1">
        <f ca="1">IFERROR(__xludf.DUMMYFUNCTION("""COMPUTED_VALUE"""),594.54)</f>
        <v>594.54</v>
      </c>
      <c r="C1024" s="1">
        <f ca="1">IFERROR(__xludf.DUMMYFUNCTION("""COMPUTED_VALUE"""),240.36)</f>
        <v>240.36</v>
      </c>
      <c r="D1024" s="1">
        <f ca="1">IFERROR(__xludf.DUMMYFUNCTION("""COMPUTED_VALUE"""),399.73)</f>
        <v>399.73</v>
      </c>
      <c r="E1024" s="1">
        <f ca="1">IFERROR(__xludf.DUMMYFUNCTION("""COMPUTED_VALUE"""),259.05)</f>
        <v>259.05</v>
      </c>
      <c r="F1024">
        <f t="shared" ca="1" si="125"/>
        <v>5.0484652665582007E-4</v>
      </c>
      <c r="G1024">
        <f t="shared" ca="1" si="126"/>
        <v>-2.704015544041442E-2</v>
      </c>
      <c r="H1024">
        <f t="shared" ca="1" si="127"/>
        <v>4.5991455139483316E-3</v>
      </c>
      <c r="I1024">
        <f t="shared" ca="1" si="128"/>
        <v>1.004675605703431E-3</v>
      </c>
      <c r="O1024">
        <f t="shared" ca="1" si="129"/>
        <v>1.5802567578342985</v>
      </c>
      <c r="P1024">
        <f t="shared" ca="1" si="130"/>
        <v>1.832850388897364</v>
      </c>
      <c r="Q1024">
        <f t="shared" ca="1" si="131"/>
        <v>1.6679741289380356</v>
      </c>
      <c r="R1024">
        <f t="shared" ca="1" si="132"/>
        <v>1.9985341768245657</v>
      </c>
    </row>
    <row r="1025" spans="1:18" x14ac:dyDescent="0.3">
      <c r="A1025" s="2">
        <f ca="1">IFERROR(__xludf.DUMMYFUNCTION("""COMPUTED_VALUE"""),45715.6666666666)</f>
        <v>45715.666666666599</v>
      </c>
      <c r="B1025" s="1">
        <f ca="1">IFERROR(__xludf.DUMMYFUNCTION("""COMPUTED_VALUE"""),585.05)</f>
        <v>585.04999999999995</v>
      </c>
      <c r="C1025" s="1">
        <f ca="1">IFERROR(__xludf.DUMMYFUNCTION("""COMPUTED_VALUE"""),237.3)</f>
        <v>237.3</v>
      </c>
      <c r="D1025" s="1">
        <f ca="1">IFERROR(__xludf.DUMMYFUNCTION("""COMPUTED_VALUE"""),392.53)</f>
        <v>392.53</v>
      </c>
      <c r="E1025" s="1">
        <f ca="1">IFERROR(__xludf.DUMMYFUNCTION("""COMPUTED_VALUE"""),264.65)</f>
        <v>264.64999999999998</v>
      </c>
      <c r="F1025">
        <f t="shared" ca="1" si="125"/>
        <v>-1.5961920139940137E-2</v>
      </c>
      <c r="G1025">
        <f t="shared" ca="1" si="126"/>
        <v>-1.273090364453321E-2</v>
      </c>
      <c r="H1025">
        <f t="shared" ca="1" si="127"/>
        <v>-1.8012158206789697E-2</v>
      </c>
      <c r="I1025">
        <f t="shared" ca="1" si="128"/>
        <v>2.1617448369040594E-2</v>
      </c>
      <c r="O1025">
        <f t="shared" ca="1" si="129"/>
        <v>1.5550328256651467</v>
      </c>
      <c r="P1025">
        <f t="shared" ca="1" si="130"/>
        <v>1.8095165472014665</v>
      </c>
      <c r="Q1025">
        <f t="shared" ca="1" si="131"/>
        <v>1.6379303150427715</v>
      </c>
      <c r="R1025">
        <f t="shared" ca="1" si="132"/>
        <v>2.0417373862058339</v>
      </c>
    </row>
    <row r="1026" spans="1:18" x14ac:dyDescent="0.3">
      <c r="A1026" s="2">
        <f ca="1">IFERROR(__xludf.DUMMYFUNCTION("""COMPUTED_VALUE"""),45716.6666666666)</f>
        <v>45716.666666666599</v>
      </c>
      <c r="B1026" s="1">
        <f ca="1">IFERROR(__xludf.DUMMYFUNCTION("""COMPUTED_VALUE"""),594.18)</f>
        <v>594.17999999999995</v>
      </c>
      <c r="C1026" s="1">
        <f ca="1">IFERROR(__xludf.DUMMYFUNCTION("""COMPUTED_VALUE"""),241.84)</f>
        <v>241.84</v>
      </c>
      <c r="D1026" s="1">
        <f ca="1">IFERROR(__xludf.DUMMYFUNCTION("""COMPUTED_VALUE"""),396.99)</f>
        <v>396.99</v>
      </c>
      <c r="E1026" s="1">
        <f ca="1">IFERROR(__xludf.DUMMYFUNCTION("""COMPUTED_VALUE"""),260.62)</f>
        <v>260.62</v>
      </c>
      <c r="F1026">
        <f t="shared" ca="1" si="125"/>
        <v>1.5605503803093746E-2</v>
      </c>
      <c r="G1026">
        <f t="shared" ca="1" si="126"/>
        <v>1.9131900547829716E-2</v>
      </c>
      <c r="H1026">
        <f t="shared" ca="1" si="127"/>
        <v>1.1362188877283359E-2</v>
      </c>
      <c r="I1026">
        <f t="shared" ca="1" si="128"/>
        <v>-1.5227659172491869E-2</v>
      </c>
      <c r="O1026">
        <f t="shared" ca="1" si="129"/>
        <v>1.5792998963399998</v>
      </c>
      <c r="P1026">
        <f t="shared" ca="1" si="130"/>
        <v>1.8441360378221769</v>
      </c>
      <c r="Q1026">
        <f t="shared" ca="1" si="131"/>
        <v>1.656540788650116</v>
      </c>
      <c r="R1026">
        <f t="shared" ca="1" si="132"/>
        <v>2.0106465051689568</v>
      </c>
    </row>
    <row r="1027" spans="1:18" x14ac:dyDescent="0.3">
      <c r="A1027" s="2">
        <f ca="1">IFERROR(__xludf.DUMMYFUNCTION("""COMPUTED_VALUE"""),45719.6666666666)</f>
        <v>45719.666666666599</v>
      </c>
      <c r="B1027" s="1">
        <f ca="1">IFERROR(__xludf.DUMMYFUNCTION("""COMPUTED_VALUE"""),583.77)</f>
        <v>583.77</v>
      </c>
      <c r="C1027" s="1">
        <f ca="1">IFERROR(__xludf.DUMMYFUNCTION("""COMPUTED_VALUE"""),238.03)</f>
        <v>238.03</v>
      </c>
      <c r="D1027" s="1">
        <f ca="1">IFERROR(__xludf.DUMMYFUNCTION("""COMPUTED_VALUE"""),388.49)</f>
        <v>388.49</v>
      </c>
      <c r="E1027" s="1">
        <f ca="1">IFERROR(__xludf.DUMMYFUNCTION("""COMPUTED_VALUE"""),250.25)</f>
        <v>250.25</v>
      </c>
      <c r="F1027">
        <f t="shared" ca="1" si="125"/>
        <v>-1.7519943451479298E-2</v>
      </c>
      <c r="G1027">
        <f t="shared" ca="1" si="126"/>
        <v>-1.5754217664571628E-2</v>
      </c>
      <c r="H1027">
        <f t="shared" ca="1" si="127"/>
        <v>-2.1411118667976521E-2</v>
      </c>
      <c r="I1027">
        <f t="shared" ca="1" si="128"/>
        <v>-3.9789732177116122E-2</v>
      </c>
      <c r="O1027">
        <f t="shared" ca="1" si="129"/>
        <v>1.5516306514631959</v>
      </c>
      <c r="P1027">
        <f t="shared" ca="1" si="130"/>
        <v>1.8150831172792457</v>
      </c>
      <c r="Q1027">
        <f t="shared" ca="1" si="131"/>
        <v>1.6210723972459851</v>
      </c>
      <c r="R1027">
        <f t="shared" ca="1" si="132"/>
        <v>1.9306434192254296</v>
      </c>
    </row>
    <row r="1028" spans="1:18" x14ac:dyDescent="0.3">
      <c r="A1028" s="2">
        <f ca="1">IFERROR(__xludf.DUMMYFUNCTION("""COMPUTED_VALUE"""),45720.6666666666)</f>
        <v>45720.666666666599</v>
      </c>
      <c r="B1028" s="1">
        <f ca="1">IFERROR(__xludf.DUMMYFUNCTION("""COMPUTED_VALUE"""),576.86)</f>
        <v>576.86</v>
      </c>
      <c r="C1028" s="1">
        <f ca="1">IFERROR(__xludf.DUMMYFUNCTION("""COMPUTED_VALUE"""),235.93)</f>
        <v>235.93</v>
      </c>
      <c r="D1028" s="1">
        <f ca="1">IFERROR(__xludf.DUMMYFUNCTION("""COMPUTED_VALUE"""),388.61)</f>
        <v>388.61</v>
      </c>
      <c r="E1028" s="1">
        <f ca="1">IFERROR(__xludf.DUMMYFUNCTION("""COMPUTED_VALUE"""),251.53)</f>
        <v>251.53</v>
      </c>
      <c r="F1028">
        <f t="shared" ref="F1028:F1091" ca="1" si="133">(B1028-B1027)/B1027</f>
        <v>-1.1836853555338521E-2</v>
      </c>
      <c r="G1028">
        <f t="shared" ref="G1028:G1091" ca="1" si="134">(C1028-C1027)/C1027</f>
        <v>-8.8224173423517797E-3</v>
      </c>
      <c r="H1028">
        <f t="shared" ref="H1028:H1091" ca="1" si="135">(D1028-D1027)/D1027</f>
        <v>3.0888825967207535E-4</v>
      </c>
      <c r="I1028">
        <f t="shared" ref="I1028:I1091" ca="1" si="136">(E1028-E1027)/E1027</f>
        <v>5.1148851148851192E-3</v>
      </c>
      <c r="O1028">
        <f t="shared" ref="O1028:O1091" ca="1" si="137">O1027*(1+F1028)</f>
        <v>1.5332642266698515</v>
      </c>
      <c r="P1028">
        <f t="shared" ref="P1028:P1091" ca="1" si="138">P1027*(1+G1028)</f>
        <v>1.7990696965075512</v>
      </c>
      <c r="Q1028">
        <f t="shared" ref="Q1028:Q1091" ca="1" si="139">Q1027*(1+H1028)</f>
        <v>1.6215731274775727</v>
      </c>
      <c r="R1028">
        <f t="shared" ref="R1028:R1091" ca="1" si="140">R1027*(1+I1028)</f>
        <v>1.9405184385125769</v>
      </c>
    </row>
    <row r="1029" spans="1:18" x14ac:dyDescent="0.3">
      <c r="A1029" s="2">
        <f ca="1">IFERROR(__xludf.DUMMYFUNCTION("""COMPUTED_VALUE"""),45721.6666666666)</f>
        <v>45721.666666666599</v>
      </c>
      <c r="B1029" s="1">
        <f ca="1">IFERROR(__xludf.DUMMYFUNCTION("""COMPUTED_VALUE"""),583.06)</f>
        <v>583.05999999999995</v>
      </c>
      <c r="C1029" s="1">
        <f ca="1">IFERROR(__xludf.DUMMYFUNCTION("""COMPUTED_VALUE"""),235.74)</f>
        <v>235.74</v>
      </c>
      <c r="D1029" s="1">
        <f ca="1">IFERROR(__xludf.DUMMYFUNCTION("""COMPUTED_VALUE"""),401.02)</f>
        <v>401.02</v>
      </c>
      <c r="E1029" s="1">
        <f ca="1">IFERROR(__xludf.DUMMYFUNCTION("""COMPUTED_VALUE"""),246.54)</f>
        <v>246.54</v>
      </c>
      <c r="F1029">
        <f t="shared" ca="1" si="133"/>
        <v>1.074784176403275E-2</v>
      </c>
      <c r="G1029">
        <f t="shared" ca="1" si="134"/>
        <v>-8.0532361293603064E-4</v>
      </c>
      <c r="H1029">
        <f t="shared" ca="1" si="135"/>
        <v>3.1934330048120144E-2</v>
      </c>
      <c r="I1029">
        <f t="shared" ca="1" si="136"/>
        <v>-1.9838587842404519E-2</v>
      </c>
      <c r="O1029">
        <f t="shared" ca="1" si="137"/>
        <v>1.549743507960551</v>
      </c>
      <c r="P1029">
        <f t="shared" ca="1" si="138"/>
        <v>1.797620863199636</v>
      </c>
      <c r="Q1029">
        <f t="shared" ca="1" si="139"/>
        <v>1.6733569789276037</v>
      </c>
      <c r="R1029">
        <f t="shared" ca="1" si="140"/>
        <v>1.9020212930103395</v>
      </c>
    </row>
    <row r="1030" spans="1:18" x14ac:dyDescent="0.3">
      <c r="A1030" s="2">
        <f ca="1">IFERROR(__xludf.DUMMYFUNCTION("""COMPUTED_VALUE"""),45722.6666666666)</f>
        <v>45722.666666666599</v>
      </c>
      <c r="B1030" s="1">
        <f ca="1">IFERROR(__xludf.DUMMYFUNCTION("""COMPUTED_VALUE"""),572.71)</f>
        <v>572.71</v>
      </c>
      <c r="C1030" s="1">
        <f ca="1">IFERROR(__xludf.DUMMYFUNCTION("""COMPUTED_VALUE"""),235.33)</f>
        <v>235.33</v>
      </c>
      <c r="D1030" s="1">
        <f ca="1">IFERROR(__xludf.DUMMYFUNCTION("""COMPUTED_VALUE"""),396.89)</f>
        <v>396.89</v>
      </c>
      <c r="E1030" s="1">
        <f ca="1">IFERROR(__xludf.DUMMYFUNCTION("""COMPUTED_VALUE"""),242.28)</f>
        <v>242.28</v>
      </c>
      <c r="F1030">
        <f t="shared" ca="1" si="133"/>
        <v>-1.7751174836208812E-2</v>
      </c>
      <c r="G1030">
        <f t="shared" ca="1" si="134"/>
        <v>-1.7392042080257766E-3</v>
      </c>
      <c r="H1030">
        <f t="shared" ca="1" si="135"/>
        <v>-1.0298738217545249E-2</v>
      </c>
      <c r="I1030">
        <f t="shared" ca="1" si="136"/>
        <v>-1.7279143343879252E-2</v>
      </c>
      <c r="O1030">
        <f t="shared" ca="1" si="137"/>
        <v>1.5222337399994637</v>
      </c>
      <c r="P1030">
        <f t="shared" ca="1" si="138"/>
        <v>1.7944944334299242</v>
      </c>
      <c r="Q1030">
        <f t="shared" ca="1" si="139"/>
        <v>1.6561235134571259</v>
      </c>
      <c r="R1030">
        <f t="shared" ca="1" si="140"/>
        <v>1.8691559944453033</v>
      </c>
    </row>
    <row r="1031" spans="1:18" x14ac:dyDescent="0.3">
      <c r="A1031" s="2">
        <f ca="1">IFERROR(__xludf.DUMMYFUNCTION("""COMPUTED_VALUE"""),45723.6666666666)</f>
        <v>45723.666666666599</v>
      </c>
      <c r="B1031" s="1">
        <f ca="1">IFERROR(__xludf.DUMMYFUNCTION("""COMPUTED_VALUE"""),575.92)</f>
        <v>575.91999999999996</v>
      </c>
      <c r="C1031" s="1">
        <f ca="1">IFERROR(__xludf.DUMMYFUNCTION("""COMPUTED_VALUE"""),239.07)</f>
        <v>239.07</v>
      </c>
      <c r="D1031" s="1">
        <f ca="1">IFERROR(__xludf.DUMMYFUNCTION("""COMPUTED_VALUE"""),393.31)</f>
        <v>393.31</v>
      </c>
      <c r="E1031" s="1">
        <f ca="1">IFERROR(__xludf.DUMMYFUNCTION("""COMPUTED_VALUE"""),232.22)</f>
        <v>232.22</v>
      </c>
      <c r="F1031">
        <f t="shared" ca="1" si="133"/>
        <v>5.6049309423616186E-3</v>
      </c>
      <c r="G1031">
        <f t="shared" ca="1" si="134"/>
        <v>1.5892576382101647E-2</v>
      </c>
      <c r="H1031">
        <f t="shared" ca="1" si="135"/>
        <v>-9.0201315225880829E-3</v>
      </c>
      <c r="I1031">
        <f t="shared" ca="1" si="136"/>
        <v>-4.1522205712398889E-2</v>
      </c>
      <c r="O1031">
        <f t="shared" ca="1" si="137"/>
        <v>1.5307657549902935</v>
      </c>
      <c r="P1031">
        <f t="shared" ca="1" si="138"/>
        <v>1.8230135732804655</v>
      </c>
      <c r="Q1031">
        <f t="shared" ca="1" si="139"/>
        <v>1.6411850615480921</v>
      </c>
      <c r="R1031">
        <f t="shared" ca="1" si="140"/>
        <v>1.7915445147353821</v>
      </c>
    </row>
    <row r="1032" spans="1:18" x14ac:dyDescent="0.3">
      <c r="A1032" s="2">
        <f ca="1">IFERROR(__xludf.DUMMYFUNCTION("""COMPUTED_VALUE"""),45726.6666666666)</f>
        <v>45726.666666666599</v>
      </c>
      <c r="B1032" s="1">
        <f ca="1">IFERROR(__xludf.DUMMYFUNCTION("""COMPUTED_VALUE"""),560.58)</f>
        <v>560.58000000000004</v>
      </c>
      <c r="C1032" s="1">
        <f ca="1">IFERROR(__xludf.DUMMYFUNCTION("""COMPUTED_VALUE"""),227.48)</f>
        <v>227.48</v>
      </c>
      <c r="D1032" s="1">
        <f ca="1">IFERROR(__xludf.DUMMYFUNCTION("""COMPUTED_VALUE"""),380.16)</f>
        <v>380.16</v>
      </c>
      <c r="E1032" s="1">
        <f ca="1">IFERROR(__xludf.DUMMYFUNCTION("""COMPUTED_VALUE"""),229.14)</f>
        <v>229.14</v>
      </c>
      <c r="F1032">
        <f t="shared" ca="1" si="133"/>
        <v>-2.6635643839422001E-2</v>
      </c>
      <c r="G1032">
        <f t="shared" ca="1" si="134"/>
        <v>-4.8479524825364974E-2</v>
      </c>
      <c r="H1032">
        <f t="shared" ca="1" si="135"/>
        <v>-3.3434186773791605E-2</v>
      </c>
      <c r="I1032">
        <f t="shared" ca="1" si="136"/>
        <v>-1.3263284816122696E-2</v>
      </c>
      <c r="O1032">
        <f t="shared" ca="1" si="137"/>
        <v>1.4899928235387883</v>
      </c>
      <c r="P1032">
        <f t="shared" ca="1" si="138"/>
        <v>1.734634741497638</v>
      </c>
      <c r="Q1032">
        <f t="shared" ca="1" si="139"/>
        <v>1.5863133736699364</v>
      </c>
      <c r="R1032">
        <f t="shared" ca="1" si="140"/>
        <v>1.7677827495756844</v>
      </c>
    </row>
    <row r="1033" spans="1:18" x14ac:dyDescent="0.3">
      <c r="A1033" s="2">
        <f ca="1">IFERROR(__xludf.DUMMYFUNCTION("""COMPUTED_VALUE"""),45727.6666666666)</f>
        <v>45727.666666666599</v>
      </c>
      <c r="B1033" s="1">
        <f ca="1">IFERROR(__xludf.DUMMYFUNCTION("""COMPUTED_VALUE"""),555.92)</f>
        <v>555.91999999999996</v>
      </c>
      <c r="C1033" s="1">
        <f ca="1">IFERROR(__xludf.DUMMYFUNCTION("""COMPUTED_VALUE"""),220.84)</f>
        <v>220.84</v>
      </c>
      <c r="D1033" s="1">
        <f ca="1">IFERROR(__xludf.DUMMYFUNCTION("""COMPUTED_VALUE"""),380.45)</f>
        <v>380.45</v>
      </c>
      <c r="E1033" s="1">
        <f ca="1">IFERROR(__xludf.DUMMYFUNCTION("""COMPUTED_VALUE"""),227.9)</f>
        <v>227.9</v>
      </c>
      <c r="F1033">
        <f t="shared" ca="1" si="133"/>
        <v>-8.3128188661744651E-3</v>
      </c>
      <c r="G1033">
        <f t="shared" ca="1" si="134"/>
        <v>-2.9189379286091027E-2</v>
      </c>
      <c r="H1033">
        <f t="shared" ca="1" si="135"/>
        <v>7.628367003366046E-4</v>
      </c>
      <c r="I1033">
        <f t="shared" ca="1" si="136"/>
        <v>-5.4115387972417765E-3</v>
      </c>
      <c r="O1033">
        <f t="shared" ca="1" si="137"/>
        <v>1.4776067830848103</v>
      </c>
      <c r="P1033">
        <f t="shared" ca="1" si="138"/>
        <v>1.6840018301052331</v>
      </c>
      <c r="Q1033">
        <f t="shared" ca="1" si="139"/>
        <v>1.5875234717296065</v>
      </c>
      <c r="R1033">
        <f t="shared" ca="1" si="140"/>
        <v>1.7582163246412608</v>
      </c>
    </row>
    <row r="1034" spans="1:18" x14ac:dyDescent="0.3">
      <c r="A1034" s="2">
        <f ca="1">IFERROR(__xludf.DUMMYFUNCTION("""COMPUTED_VALUE"""),45728.6666666666)</f>
        <v>45728.666666666599</v>
      </c>
      <c r="B1034" s="1">
        <f ca="1">IFERROR(__xludf.DUMMYFUNCTION("""COMPUTED_VALUE"""),558.87)</f>
        <v>558.87</v>
      </c>
      <c r="C1034" s="1">
        <f ca="1">IFERROR(__xludf.DUMMYFUNCTION("""COMPUTED_VALUE"""),216.98)</f>
        <v>216.98</v>
      </c>
      <c r="D1034" s="1">
        <f ca="1">IFERROR(__xludf.DUMMYFUNCTION("""COMPUTED_VALUE"""),383.27)</f>
        <v>383.27</v>
      </c>
      <c r="E1034" s="1">
        <f ca="1">IFERROR(__xludf.DUMMYFUNCTION("""COMPUTED_VALUE"""),225.19)</f>
        <v>225.19</v>
      </c>
      <c r="F1034">
        <f t="shared" ca="1" si="133"/>
        <v>5.3065189235862098E-3</v>
      </c>
      <c r="G1034">
        <f t="shared" ca="1" si="134"/>
        <v>-1.747871762361897E-2</v>
      </c>
      <c r="H1034">
        <f t="shared" ca="1" si="135"/>
        <v>7.4122749375739082E-3</v>
      </c>
      <c r="I1034">
        <f t="shared" ca="1" si="136"/>
        <v>-1.1891180342255409E-2</v>
      </c>
      <c r="O1034">
        <f t="shared" ca="1" si="137"/>
        <v>1.4854477314408692</v>
      </c>
      <c r="P1034">
        <f t="shared" ca="1" si="138"/>
        <v>1.6545676376391663</v>
      </c>
      <c r="Q1034">
        <f t="shared" ca="1" si="139"/>
        <v>1.5992906321719182</v>
      </c>
      <c r="R1034">
        <f t="shared" ca="1" si="140"/>
        <v>1.737309057244254</v>
      </c>
    </row>
    <row r="1035" spans="1:18" x14ac:dyDescent="0.3">
      <c r="A1035" s="2">
        <f ca="1">IFERROR(__xludf.DUMMYFUNCTION("""COMPUTED_VALUE"""),45729.6666666666)</f>
        <v>45729.666666666599</v>
      </c>
      <c r="B1035" s="1">
        <f ca="1">IFERROR(__xludf.DUMMYFUNCTION("""COMPUTED_VALUE"""),551.42)</f>
        <v>551.41999999999996</v>
      </c>
      <c r="C1035" s="1">
        <f ca="1">IFERROR(__xludf.DUMMYFUNCTION("""COMPUTED_VALUE"""),209.68)</f>
        <v>209.68</v>
      </c>
      <c r="D1035" s="1">
        <f ca="1">IFERROR(__xludf.DUMMYFUNCTION("""COMPUTED_VALUE"""),378.77)</f>
        <v>378.77</v>
      </c>
      <c r="E1035" s="1">
        <f ca="1">IFERROR(__xludf.DUMMYFUNCTION("""COMPUTED_VALUE"""),232.44)</f>
        <v>232.44</v>
      </c>
      <c r="F1035">
        <f t="shared" ca="1" si="133"/>
        <v>-1.3330470413513063E-2</v>
      </c>
      <c r="G1035">
        <f t="shared" ca="1" si="134"/>
        <v>-3.3643653792976236E-2</v>
      </c>
      <c r="H1035">
        <f t="shared" ca="1" si="135"/>
        <v>-1.1741070263782712E-2</v>
      </c>
      <c r="I1035">
        <f t="shared" ca="1" si="136"/>
        <v>3.2195035303521469E-2</v>
      </c>
      <c r="O1035">
        <f t="shared" ca="1" si="137"/>
        <v>1.4656460144060766</v>
      </c>
      <c r="P1035">
        <f t="shared" ca="1" si="138"/>
        <v>1.5989019368613715</v>
      </c>
      <c r="Q1035">
        <f t="shared" ca="1" si="139"/>
        <v>1.5805132484873783</v>
      </c>
      <c r="R1035">
        <f t="shared" ca="1" si="140"/>
        <v>1.7932417836753602</v>
      </c>
    </row>
    <row r="1036" spans="1:18" x14ac:dyDescent="0.3">
      <c r="A1036" s="2">
        <f ca="1">IFERROR(__xludf.DUMMYFUNCTION("""COMPUTED_VALUE"""),45730.6666666666)</f>
        <v>45730.666666666599</v>
      </c>
      <c r="B1036" s="1">
        <f ca="1">IFERROR(__xludf.DUMMYFUNCTION("""COMPUTED_VALUE"""),562.81)</f>
        <v>562.80999999999995</v>
      </c>
      <c r="C1036" s="1">
        <f ca="1">IFERROR(__xludf.DUMMYFUNCTION("""COMPUTED_VALUE"""),213.49)</f>
        <v>213.49</v>
      </c>
      <c r="D1036" s="1">
        <f ca="1">IFERROR(__xludf.DUMMYFUNCTION("""COMPUTED_VALUE"""),388.56)</f>
        <v>388.56</v>
      </c>
      <c r="E1036" s="1">
        <f ca="1">IFERROR(__xludf.DUMMYFUNCTION("""COMPUTED_VALUE"""),233.93)</f>
        <v>233.93</v>
      </c>
      <c r="F1036">
        <f t="shared" ca="1" si="133"/>
        <v>2.0655761488520524E-2</v>
      </c>
      <c r="G1036">
        <f t="shared" ca="1" si="134"/>
        <v>1.8170545593285015E-2</v>
      </c>
      <c r="H1036">
        <f t="shared" ca="1" si="135"/>
        <v>2.5846819969902634E-2</v>
      </c>
      <c r="I1036">
        <f t="shared" ca="1" si="136"/>
        <v>6.4102564102564491E-3</v>
      </c>
      <c r="O1036">
        <f t="shared" ca="1" si="137"/>
        <v>1.4959200489062492</v>
      </c>
      <c r="P1036">
        <f t="shared" ca="1" si="138"/>
        <v>1.6279548574043028</v>
      </c>
      <c r="Q1036">
        <f t="shared" ca="1" si="139"/>
        <v>1.6213644898810775</v>
      </c>
      <c r="R1036">
        <f t="shared" ca="1" si="140"/>
        <v>1.8047369233143049</v>
      </c>
    </row>
    <row r="1037" spans="1:18" x14ac:dyDescent="0.3">
      <c r="A1037" s="2">
        <f ca="1">IFERROR(__xludf.DUMMYFUNCTION("""COMPUTED_VALUE"""),45733.6666666666)</f>
        <v>45733.666666666599</v>
      </c>
      <c r="B1037" s="1">
        <f ca="1">IFERROR(__xludf.DUMMYFUNCTION("""COMPUTED_VALUE"""),567.15)</f>
        <v>567.15</v>
      </c>
      <c r="C1037" s="1">
        <f ca="1">IFERROR(__xludf.DUMMYFUNCTION("""COMPUTED_VALUE"""),214)</f>
        <v>214</v>
      </c>
      <c r="D1037" s="1">
        <f ca="1">IFERROR(__xludf.DUMMYFUNCTION("""COMPUTED_VALUE"""),388.7)</f>
        <v>388.7</v>
      </c>
      <c r="E1037" s="1">
        <f ca="1">IFERROR(__xludf.DUMMYFUNCTION("""COMPUTED_VALUE"""),234.97)</f>
        <v>234.97</v>
      </c>
      <c r="F1037">
        <f t="shared" ca="1" si="133"/>
        <v>7.7113057692649953E-3</v>
      </c>
      <c r="G1037">
        <f t="shared" ca="1" si="134"/>
        <v>2.3888706730994E-3</v>
      </c>
      <c r="H1037">
        <f t="shared" ca="1" si="135"/>
        <v>3.6030471484451912E-4</v>
      </c>
      <c r="I1037">
        <f t="shared" ca="1" si="136"/>
        <v>4.445774376950336E-3</v>
      </c>
      <c r="O1037">
        <f t="shared" ca="1" si="137"/>
        <v>1.5074555458097392</v>
      </c>
      <c r="P1037">
        <f t="shared" ca="1" si="138"/>
        <v>1.6318438310202856</v>
      </c>
      <c r="Q1037">
        <f t="shared" ca="1" si="139"/>
        <v>1.6219486751512633</v>
      </c>
      <c r="R1037">
        <f t="shared" ca="1" si="140"/>
        <v>1.8127603764851119</v>
      </c>
    </row>
    <row r="1038" spans="1:18" x14ac:dyDescent="0.3">
      <c r="A1038" s="2">
        <f ca="1">IFERROR(__xludf.DUMMYFUNCTION("""COMPUTED_VALUE"""),45734.6666666666)</f>
        <v>45734.666666666599</v>
      </c>
      <c r="B1038" s="1">
        <f ca="1">IFERROR(__xludf.DUMMYFUNCTION("""COMPUTED_VALUE"""),561.02)</f>
        <v>561.02</v>
      </c>
      <c r="C1038" s="1">
        <f ca="1">IFERROR(__xludf.DUMMYFUNCTION("""COMPUTED_VALUE"""),212.69)</f>
        <v>212.69</v>
      </c>
      <c r="D1038" s="1">
        <f ca="1">IFERROR(__xludf.DUMMYFUNCTION("""COMPUTED_VALUE"""),383.52)</f>
        <v>383.52</v>
      </c>
      <c r="E1038" s="1">
        <f ca="1">IFERROR(__xludf.DUMMYFUNCTION("""COMPUTED_VALUE"""),239.11)</f>
        <v>239.11</v>
      </c>
      <c r="F1038">
        <f t="shared" ca="1" si="133"/>
        <v>-1.080842810543947E-2</v>
      </c>
      <c r="G1038">
        <f t="shared" ca="1" si="134"/>
        <v>-6.1214953271028147E-3</v>
      </c>
      <c r="H1038">
        <f t="shared" ca="1" si="135"/>
        <v>-1.3326472858245451E-2</v>
      </c>
      <c r="I1038">
        <f t="shared" ca="1" si="136"/>
        <v>1.7619270545176043E-2</v>
      </c>
      <c r="O1038">
        <f t="shared" ca="1" si="137"/>
        <v>1.4911623209207086</v>
      </c>
      <c r="P1038">
        <f t="shared" ca="1" si="138"/>
        <v>1.6218545066341334</v>
      </c>
      <c r="Q1038">
        <f t="shared" ca="1" si="139"/>
        <v>1.6003338201543928</v>
      </c>
      <c r="R1038">
        <f t="shared" ca="1" si="140"/>
        <v>1.8446998919919784</v>
      </c>
    </row>
    <row r="1039" spans="1:18" x14ac:dyDescent="0.3">
      <c r="A1039" s="2">
        <f ca="1">IFERROR(__xludf.DUMMYFUNCTION("""COMPUTED_VALUE"""),45735.6666666666)</f>
        <v>45735.666666666599</v>
      </c>
      <c r="B1039" s="1">
        <f ca="1">IFERROR(__xludf.DUMMYFUNCTION("""COMPUTED_VALUE"""),567.13)</f>
        <v>567.13</v>
      </c>
      <c r="C1039" s="1">
        <f ca="1">IFERROR(__xludf.DUMMYFUNCTION("""COMPUTED_VALUE"""),215.24)</f>
        <v>215.24</v>
      </c>
      <c r="D1039" s="1">
        <f ca="1">IFERROR(__xludf.DUMMYFUNCTION("""COMPUTED_VALUE"""),387.82)</f>
        <v>387.82</v>
      </c>
      <c r="E1039" s="1">
        <f ca="1">IFERROR(__xludf.DUMMYFUNCTION("""COMPUTED_VALUE"""),239.01)</f>
        <v>239.01</v>
      </c>
      <c r="F1039">
        <f t="shared" ca="1" si="133"/>
        <v>1.0890877330576474E-2</v>
      </c>
      <c r="G1039">
        <f t="shared" ca="1" si="134"/>
        <v>1.1989280173021822E-2</v>
      </c>
      <c r="H1039">
        <f t="shared" ca="1" si="135"/>
        <v>1.1211931581143126E-2</v>
      </c>
      <c r="I1039">
        <f t="shared" ca="1" si="136"/>
        <v>-4.1821755677312839E-4</v>
      </c>
      <c r="O1039">
        <f t="shared" ca="1" si="137"/>
        <v>1.5074023868378337</v>
      </c>
      <c r="P1039">
        <f t="shared" ca="1" si="138"/>
        <v>1.6412993747140483</v>
      </c>
      <c r="Q1039">
        <f t="shared" ca="1" si="139"/>
        <v>1.6182766534529534</v>
      </c>
      <c r="R1039">
        <f t="shared" ca="1" si="140"/>
        <v>1.8439284061101697</v>
      </c>
    </row>
    <row r="1040" spans="1:18" x14ac:dyDescent="0.3">
      <c r="A1040" s="2">
        <f ca="1">IFERROR(__xludf.DUMMYFUNCTION("""COMPUTED_VALUE"""),45736.6666666666)</f>
        <v>45736.666666666599</v>
      </c>
      <c r="B1040" s="1">
        <f ca="1">IFERROR(__xludf.DUMMYFUNCTION("""COMPUTED_VALUE"""),565.49)</f>
        <v>565.49</v>
      </c>
      <c r="C1040" s="1">
        <f ca="1">IFERROR(__xludf.DUMMYFUNCTION("""COMPUTED_VALUE"""),214.1)</f>
        <v>214.1</v>
      </c>
      <c r="D1040" s="1">
        <f ca="1">IFERROR(__xludf.DUMMYFUNCTION("""COMPUTED_VALUE"""),386.84)</f>
        <v>386.84</v>
      </c>
      <c r="E1040" s="1">
        <f ca="1">IFERROR(__xludf.DUMMYFUNCTION("""COMPUTED_VALUE"""),241.63)</f>
        <v>241.63</v>
      </c>
      <c r="F1040">
        <f t="shared" ca="1" si="133"/>
        <v>-2.8917532135488977E-3</v>
      </c>
      <c r="G1040">
        <f t="shared" ca="1" si="134"/>
        <v>-5.2964133060770056E-3</v>
      </c>
      <c r="H1040">
        <f t="shared" ca="1" si="135"/>
        <v>-2.5269454901759017E-3</v>
      </c>
      <c r="I1040">
        <f t="shared" ca="1" si="136"/>
        <v>1.096188443998161E-2</v>
      </c>
      <c r="O1040">
        <f t="shared" ca="1" si="137"/>
        <v>1.5030433511415842</v>
      </c>
      <c r="P1040">
        <f t="shared" ca="1" si="138"/>
        <v>1.6326063748665569</v>
      </c>
      <c r="Q1040">
        <f t="shared" ca="1" si="139"/>
        <v>1.6141873565616536</v>
      </c>
      <c r="R1040">
        <f t="shared" ca="1" si="140"/>
        <v>1.864141336213549</v>
      </c>
    </row>
    <row r="1041" spans="1:18" x14ac:dyDescent="0.3">
      <c r="A1041" s="2">
        <f ca="1">IFERROR(__xludf.DUMMYFUNCTION("""COMPUTED_VALUE"""),45737.6666666666)</f>
        <v>45737.666666666599</v>
      </c>
      <c r="B1041" s="1">
        <f ca="1">IFERROR(__xludf.DUMMYFUNCTION("""COMPUTED_VALUE"""),563.98)</f>
        <v>563.98</v>
      </c>
      <c r="C1041" s="1">
        <f ca="1">IFERROR(__xludf.DUMMYFUNCTION("""COMPUTED_VALUE"""),218.27)</f>
        <v>218.27</v>
      </c>
      <c r="D1041" s="1">
        <f ca="1">IFERROR(__xludf.DUMMYFUNCTION("""COMPUTED_VALUE"""),391.26)</f>
        <v>391.26</v>
      </c>
      <c r="E1041" s="1">
        <f ca="1">IFERROR(__xludf.DUMMYFUNCTION("""COMPUTED_VALUE"""),248.06)</f>
        <v>248.06</v>
      </c>
      <c r="F1041">
        <f t="shared" ca="1" si="133"/>
        <v>-2.6702505791437355E-3</v>
      </c>
      <c r="G1041">
        <f t="shared" ca="1" si="134"/>
        <v>1.9476879962634357E-2</v>
      </c>
      <c r="H1041">
        <f t="shared" ca="1" si="135"/>
        <v>1.1425912521972951E-2</v>
      </c>
      <c r="I1041">
        <f t="shared" ca="1" si="136"/>
        <v>2.6610934072755894E-2</v>
      </c>
      <c r="O1041">
        <f t="shared" ca="1" si="137"/>
        <v>1.4990298487627203</v>
      </c>
      <c r="P1041">
        <f t="shared" ca="1" si="138"/>
        <v>1.6644044532560645</v>
      </c>
      <c r="Q1041">
        <f t="shared" ca="1" si="139"/>
        <v>1.6326309200918017</v>
      </c>
      <c r="R1041">
        <f t="shared" ca="1" si="140"/>
        <v>1.9137478784138269</v>
      </c>
    </row>
    <row r="1042" spans="1:18" x14ac:dyDescent="0.3">
      <c r="A1042" s="2">
        <f ca="1">IFERROR(__xludf.DUMMYFUNCTION("""COMPUTED_VALUE"""),45740.6666666666)</f>
        <v>45740.666666666599</v>
      </c>
      <c r="B1042" s="1">
        <f ca="1">IFERROR(__xludf.DUMMYFUNCTION("""COMPUTED_VALUE"""),574.08)</f>
        <v>574.08000000000004</v>
      </c>
      <c r="C1042" s="1">
        <f ca="1">IFERROR(__xludf.DUMMYFUNCTION("""COMPUTED_VALUE"""),220.73)</f>
        <v>220.73</v>
      </c>
      <c r="D1042" s="1">
        <f ca="1">IFERROR(__xludf.DUMMYFUNCTION("""COMPUTED_VALUE"""),393.08)</f>
        <v>393.08</v>
      </c>
      <c r="E1042" s="1">
        <f ca="1">IFERROR(__xludf.DUMMYFUNCTION("""COMPUTED_VALUE"""),251.13)</f>
        <v>251.13</v>
      </c>
      <c r="F1042">
        <f t="shared" ca="1" si="133"/>
        <v>1.7908436469378387E-2</v>
      </c>
      <c r="G1042">
        <f t="shared" ca="1" si="134"/>
        <v>1.1270444861868234E-2</v>
      </c>
      <c r="H1042">
        <f t="shared" ca="1" si="135"/>
        <v>4.6516382967847292E-3</v>
      </c>
      <c r="I1042">
        <f t="shared" ca="1" si="136"/>
        <v>1.2376038055309171E-2</v>
      </c>
      <c r="O1042">
        <f t="shared" ca="1" si="137"/>
        <v>1.5258751295749895</v>
      </c>
      <c r="P1042">
        <f t="shared" ca="1" si="138"/>
        <v>1.6831630318743351</v>
      </c>
      <c r="Q1042">
        <f t="shared" ca="1" si="139"/>
        <v>1.6402253286042157</v>
      </c>
      <c r="R1042">
        <f t="shared" ca="1" si="140"/>
        <v>1.9374324949853434</v>
      </c>
    </row>
    <row r="1043" spans="1:18" x14ac:dyDescent="0.3">
      <c r="A1043" s="2">
        <f ca="1">IFERROR(__xludf.DUMMYFUNCTION("""COMPUTED_VALUE"""),45741.6666666666)</f>
        <v>45741.666666666599</v>
      </c>
      <c r="B1043" s="1">
        <f ca="1">IFERROR(__xludf.DUMMYFUNCTION("""COMPUTED_VALUE"""),575.46)</f>
        <v>575.46</v>
      </c>
      <c r="C1043" s="1">
        <f ca="1">IFERROR(__xludf.DUMMYFUNCTION("""COMPUTED_VALUE"""),223.75)</f>
        <v>223.75</v>
      </c>
      <c r="D1043" s="1">
        <f ca="1">IFERROR(__xludf.DUMMYFUNCTION("""COMPUTED_VALUE"""),395.16)</f>
        <v>395.16</v>
      </c>
      <c r="E1043" s="1">
        <f ca="1">IFERROR(__xludf.DUMMYFUNCTION("""COMPUTED_VALUE"""),251.03)</f>
        <v>251.03</v>
      </c>
      <c r="F1043">
        <f t="shared" ca="1" si="133"/>
        <v>2.4038461538461457E-3</v>
      </c>
      <c r="G1043">
        <f t="shared" ca="1" si="134"/>
        <v>1.3681873782449193E-2</v>
      </c>
      <c r="H1043">
        <f t="shared" ca="1" si="135"/>
        <v>5.291543706115908E-3</v>
      </c>
      <c r="I1043">
        <f t="shared" ca="1" si="136"/>
        <v>-3.9820013538802341E-4</v>
      </c>
      <c r="O1043">
        <f t="shared" ca="1" si="137"/>
        <v>1.529543098636468</v>
      </c>
      <c r="P1043">
        <f t="shared" ca="1" si="138"/>
        <v>1.7061918560317242</v>
      </c>
      <c r="Q1043">
        <f t="shared" ca="1" si="139"/>
        <v>1.648904652618403</v>
      </c>
      <c r="R1043">
        <f t="shared" ca="1" si="140"/>
        <v>1.936661009103535</v>
      </c>
    </row>
    <row r="1044" spans="1:18" x14ac:dyDescent="0.3">
      <c r="A1044" s="2">
        <f ca="1">IFERROR(__xludf.DUMMYFUNCTION("""COMPUTED_VALUE"""),45742.6666666666)</f>
        <v>45742.666666666599</v>
      </c>
      <c r="B1044" s="1">
        <f ca="1">IFERROR(__xludf.DUMMYFUNCTION("""COMPUTED_VALUE"""),568.59)</f>
        <v>568.59</v>
      </c>
      <c r="C1044" s="1">
        <f ca="1">IFERROR(__xludf.DUMMYFUNCTION("""COMPUTED_VALUE"""),221.53)</f>
        <v>221.53</v>
      </c>
      <c r="D1044" s="1">
        <f ca="1">IFERROR(__xludf.DUMMYFUNCTION("""COMPUTED_VALUE"""),389.97)</f>
        <v>389.97</v>
      </c>
      <c r="E1044" s="1">
        <f ca="1">IFERROR(__xludf.DUMMYFUNCTION("""COMPUTED_VALUE"""),248.12)</f>
        <v>248.12</v>
      </c>
      <c r="F1044">
        <f t="shared" ca="1" si="133"/>
        <v>-1.1938275466583262E-2</v>
      </c>
      <c r="G1044">
        <f t="shared" ca="1" si="134"/>
        <v>-9.9217877094972019E-3</v>
      </c>
      <c r="H1044">
        <f t="shared" ca="1" si="135"/>
        <v>-1.3133920437291217E-2</v>
      </c>
      <c r="I1044">
        <f t="shared" ca="1" si="136"/>
        <v>-1.1592239971318155E-2</v>
      </c>
      <c r="O1044">
        <f t="shared" ca="1" si="137"/>
        <v>1.5112829917869346</v>
      </c>
      <c r="P1044">
        <f t="shared" ca="1" si="138"/>
        <v>1.6892633826445043</v>
      </c>
      <c r="Q1044">
        <f t="shared" ca="1" si="139"/>
        <v>1.6272480701022336</v>
      </c>
      <c r="R1044">
        <f t="shared" ca="1" si="140"/>
        <v>1.9142107699429116</v>
      </c>
    </row>
    <row r="1045" spans="1:18" x14ac:dyDescent="0.3">
      <c r="A1045" s="2">
        <f ca="1">IFERROR(__xludf.DUMMYFUNCTION("""COMPUTED_VALUE"""),45743.6666666666)</f>
        <v>45743.666666666599</v>
      </c>
      <c r="B1045" s="1">
        <f ca="1">IFERROR(__xludf.DUMMYFUNCTION("""COMPUTED_VALUE"""),567.08)</f>
        <v>567.08000000000004</v>
      </c>
      <c r="C1045" s="1">
        <f ca="1">IFERROR(__xludf.DUMMYFUNCTION("""COMPUTED_VALUE"""),223.85)</f>
        <v>223.85</v>
      </c>
      <c r="D1045" s="1">
        <f ca="1">IFERROR(__xludf.DUMMYFUNCTION("""COMPUTED_VALUE"""),390.58)</f>
        <v>390.58</v>
      </c>
      <c r="E1045" s="1">
        <f ca="1">IFERROR(__xludf.DUMMYFUNCTION("""COMPUTED_VALUE"""),242.85)</f>
        <v>242.85</v>
      </c>
      <c r="F1045">
        <f t="shared" ca="1" si="133"/>
        <v>-2.6556921507588788E-3</v>
      </c>
      <c r="G1045">
        <f t="shared" ca="1" si="134"/>
        <v>1.0472622218209693E-2</v>
      </c>
      <c r="H1045">
        <f t="shared" ca="1" si="135"/>
        <v>1.564222888940064E-3</v>
      </c>
      <c r="I1045">
        <f t="shared" ca="1" si="136"/>
        <v>-2.1239722714815452E-2</v>
      </c>
      <c r="O1045">
        <f t="shared" ca="1" si="137"/>
        <v>1.5072694894080707</v>
      </c>
      <c r="P1045">
        <f t="shared" ca="1" si="138"/>
        <v>1.706954399877995</v>
      </c>
      <c r="Q1045">
        <f t="shared" ca="1" si="139"/>
        <v>1.6297934487794712</v>
      </c>
      <c r="R1045">
        <f t="shared" ca="1" si="140"/>
        <v>1.8735534639716107</v>
      </c>
    </row>
    <row r="1046" spans="1:18" x14ac:dyDescent="0.3">
      <c r="A1046" s="2">
        <f ca="1">IFERROR(__xludf.DUMMYFUNCTION("""COMPUTED_VALUE"""),45744.6666666666)</f>
        <v>45744.666666666599</v>
      </c>
      <c r="B1046" s="1">
        <f ca="1">IFERROR(__xludf.DUMMYFUNCTION("""COMPUTED_VALUE"""),555.66)</f>
        <v>555.66</v>
      </c>
      <c r="C1046" s="1">
        <f ca="1">IFERROR(__xludf.DUMMYFUNCTION("""COMPUTED_VALUE"""),217.9)</f>
        <v>217.9</v>
      </c>
      <c r="D1046" s="1">
        <f ca="1">IFERROR(__xludf.DUMMYFUNCTION("""COMPUTED_VALUE"""),378.8)</f>
        <v>378.8</v>
      </c>
      <c r="E1046" s="1">
        <f ca="1">IFERROR(__xludf.DUMMYFUNCTION("""COMPUTED_VALUE"""),245.3)</f>
        <v>245.3</v>
      </c>
      <c r="F1046">
        <f t="shared" ca="1" si="133"/>
        <v>-2.0138252098469478E-2</v>
      </c>
      <c r="G1046">
        <f t="shared" ca="1" si="134"/>
        <v>-2.6580299307571983E-2</v>
      </c>
      <c r="H1046">
        <f t="shared" ca="1" si="135"/>
        <v>-3.0160274463618141E-2</v>
      </c>
      <c r="I1046">
        <f t="shared" ca="1" si="136"/>
        <v>1.008853201564759E-2</v>
      </c>
      <c r="O1046">
        <f t="shared" ca="1" si="137"/>
        <v>1.4769157164500397</v>
      </c>
      <c r="P1046">
        <f t="shared" ca="1" si="138"/>
        <v>1.6615830410248609</v>
      </c>
      <c r="Q1046">
        <f t="shared" ca="1" si="139"/>
        <v>1.5806384310452757</v>
      </c>
      <c r="R1046">
        <f t="shared" ca="1" si="140"/>
        <v>1.8924548680759159</v>
      </c>
    </row>
    <row r="1047" spans="1:18" x14ac:dyDescent="0.3">
      <c r="A1047" s="2">
        <f ca="1">IFERROR(__xludf.DUMMYFUNCTION("""COMPUTED_VALUE"""),45747.6666666666)</f>
        <v>45747.666666666599</v>
      </c>
      <c r="B1047" s="1">
        <f ca="1">IFERROR(__xludf.DUMMYFUNCTION("""COMPUTED_VALUE"""),559.39)</f>
        <v>559.39</v>
      </c>
      <c r="C1047" s="1">
        <f ca="1">IFERROR(__xludf.DUMMYFUNCTION("""COMPUTED_VALUE"""),222.13)</f>
        <v>222.13</v>
      </c>
      <c r="D1047" s="1">
        <f ca="1">IFERROR(__xludf.DUMMYFUNCTION("""COMPUTED_VALUE"""),375.39)</f>
        <v>375.39</v>
      </c>
      <c r="E1047" s="1">
        <f ca="1">IFERROR(__xludf.DUMMYFUNCTION("""COMPUTED_VALUE"""),243.66)</f>
        <v>243.66</v>
      </c>
      <c r="F1047">
        <f t="shared" ca="1" si="133"/>
        <v>6.7127380052550449E-3</v>
      </c>
      <c r="G1047">
        <f t="shared" ca="1" si="134"/>
        <v>1.9412574575493297E-2</v>
      </c>
      <c r="H1047">
        <f t="shared" ca="1" si="135"/>
        <v>-9.0021119324182278E-3</v>
      </c>
      <c r="I1047">
        <f t="shared" ca="1" si="136"/>
        <v>-6.6856909906237863E-3</v>
      </c>
      <c r="O1047">
        <f t="shared" ca="1" si="137"/>
        <v>1.4868298647104123</v>
      </c>
      <c r="P1047">
        <f t="shared" ca="1" si="138"/>
        <v>1.6938386457221311</v>
      </c>
      <c r="Q1047">
        <f t="shared" ca="1" si="139"/>
        <v>1.5664093469643243</v>
      </c>
      <c r="R1047">
        <f t="shared" ca="1" si="140"/>
        <v>1.8798024996142586</v>
      </c>
    </row>
    <row r="1048" spans="1:18" x14ac:dyDescent="0.3">
      <c r="A1048" s="2">
        <f ca="1">IFERROR(__xludf.DUMMYFUNCTION("""COMPUTED_VALUE"""),45748.6666666666)</f>
        <v>45748.666666666599</v>
      </c>
      <c r="B1048" s="1">
        <f ca="1">IFERROR(__xludf.DUMMYFUNCTION("""COMPUTED_VALUE"""),560.97)</f>
        <v>560.97</v>
      </c>
      <c r="C1048" s="1">
        <f ca="1">IFERROR(__xludf.DUMMYFUNCTION("""COMPUTED_VALUE"""),223.19)</f>
        <v>223.19</v>
      </c>
      <c r="D1048" s="1">
        <f ca="1">IFERROR(__xludf.DUMMYFUNCTION("""COMPUTED_VALUE"""),382.19)</f>
        <v>382.19</v>
      </c>
      <c r="E1048" s="1">
        <f ca="1">IFERROR(__xludf.DUMMYFUNCTION("""COMPUTED_VALUE"""),245.82)</f>
        <v>245.82</v>
      </c>
      <c r="F1048">
        <f t="shared" ca="1" si="133"/>
        <v>2.8245052646633673E-3</v>
      </c>
      <c r="G1048">
        <f t="shared" ca="1" si="134"/>
        <v>4.7719803718543298E-3</v>
      </c>
      <c r="H1048">
        <f t="shared" ca="1" si="135"/>
        <v>1.8114494259303688E-2</v>
      </c>
      <c r="I1048">
        <f t="shared" ca="1" si="136"/>
        <v>8.8648116227530022E-3</v>
      </c>
      <c r="O1048">
        <f t="shared" ca="1" si="137"/>
        <v>1.4910294234909456</v>
      </c>
      <c r="P1048">
        <f t="shared" ca="1" si="138"/>
        <v>1.7019216104926052</v>
      </c>
      <c r="Q1048">
        <f t="shared" ca="1" si="139"/>
        <v>1.5947840600876293</v>
      </c>
      <c r="R1048">
        <f t="shared" ca="1" si="140"/>
        <v>1.8964665946613193</v>
      </c>
    </row>
    <row r="1049" spans="1:18" x14ac:dyDescent="0.3">
      <c r="A1049" s="2">
        <f ca="1">IFERROR(__xludf.DUMMYFUNCTION("""COMPUTED_VALUE"""),45749.6666666666)</f>
        <v>45749.666666666599</v>
      </c>
      <c r="B1049" s="1">
        <f ca="1">IFERROR(__xludf.DUMMYFUNCTION("""COMPUTED_VALUE"""),564.52)</f>
        <v>564.52</v>
      </c>
      <c r="C1049" s="1">
        <f ca="1">IFERROR(__xludf.DUMMYFUNCTION("""COMPUTED_VALUE"""),223.89)</f>
        <v>223.89</v>
      </c>
      <c r="D1049" s="1">
        <f ca="1">IFERROR(__xludf.DUMMYFUNCTION("""COMPUTED_VALUE"""),382.14)</f>
        <v>382.14</v>
      </c>
      <c r="E1049" s="1">
        <f ca="1">IFERROR(__xludf.DUMMYFUNCTION("""COMPUTED_VALUE"""),228.69)</f>
        <v>228.69</v>
      </c>
      <c r="F1049">
        <f t="shared" ca="1" si="133"/>
        <v>6.3283241528066638E-3</v>
      </c>
      <c r="G1049">
        <f t="shared" ca="1" si="134"/>
        <v>3.1363412339262004E-3</v>
      </c>
      <c r="H1049">
        <f t="shared" ca="1" si="135"/>
        <v>-1.3082498233865712E-4</v>
      </c>
      <c r="I1049">
        <f t="shared" ca="1" si="136"/>
        <v>-6.968513546497436E-2</v>
      </c>
      <c r="O1049">
        <f t="shared" ca="1" si="137"/>
        <v>1.5004651410041687</v>
      </c>
      <c r="P1049">
        <f t="shared" ca="1" si="138"/>
        <v>1.7072594174165032</v>
      </c>
      <c r="Q1049">
        <f t="shared" ca="1" si="139"/>
        <v>1.5945754224911344</v>
      </c>
      <c r="R1049">
        <f t="shared" ca="1" si="140"/>
        <v>1.7643110631075467</v>
      </c>
    </row>
    <row r="1050" spans="1:18" x14ac:dyDescent="0.3">
      <c r="A1050" s="2">
        <f ca="1">IFERROR(__xludf.DUMMYFUNCTION("""COMPUTED_VALUE"""),45750.6666666666)</f>
        <v>45750.666666666599</v>
      </c>
      <c r="B1050" s="1">
        <f ca="1">IFERROR(__xludf.DUMMYFUNCTION("""COMPUTED_VALUE"""),536.7)</f>
        <v>536.70000000000005</v>
      </c>
      <c r="C1050" s="1">
        <f ca="1">IFERROR(__xludf.DUMMYFUNCTION("""COMPUTED_VALUE"""),203.19)</f>
        <v>203.19</v>
      </c>
      <c r="D1050" s="1">
        <f ca="1">IFERROR(__xludf.DUMMYFUNCTION("""COMPUTED_VALUE"""),373.11)</f>
        <v>373.11</v>
      </c>
      <c r="E1050" s="1">
        <f ca="1">IFERROR(__xludf.DUMMYFUNCTION("""COMPUTED_VALUE"""),210.28)</f>
        <v>210.28</v>
      </c>
      <c r="F1050">
        <f t="shared" ca="1" si="133"/>
        <v>-4.9280804931623214E-2</v>
      </c>
      <c r="G1050">
        <f t="shared" ca="1" si="134"/>
        <v>-9.2456116843092545E-2</v>
      </c>
      <c r="H1050">
        <f t="shared" ca="1" si="135"/>
        <v>-2.3630083215575373E-2</v>
      </c>
      <c r="I1050">
        <f t="shared" ca="1" si="136"/>
        <v>-8.0501989592898671E-2</v>
      </c>
      <c r="O1050">
        <f t="shared" ca="1" si="137"/>
        <v>1.4265210110836417</v>
      </c>
      <c r="P1050">
        <f t="shared" ca="1" si="138"/>
        <v>1.549412841238373</v>
      </c>
      <c r="Q1050">
        <f t="shared" ca="1" si="139"/>
        <v>1.5568954725641577</v>
      </c>
      <c r="R1050">
        <f t="shared" ca="1" si="140"/>
        <v>1.6222805122666271</v>
      </c>
    </row>
    <row r="1051" spans="1:18" x14ac:dyDescent="0.3">
      <c r="A1051" s="2">
        <f ca="1">IFERROR(__xludf.DUMMYFUNCTION("""COMPUTED_VALUE"""),45751.6666666666)</f>
        <v>45751.666666666599</v>
      </c>
      <c r="B1051" s="1">
        <f ca="1">IFERROR(__xludf.DUMMYFUNCTION("""COMPUTED_VALUE"""),505.28)</f>
        <v>505.28</v>
      </c>
      <c r="C1051" s="1">
        <f ca="1">IFERROR(__xludf.DUMMYFUNCTION("""COMPUTED_VALUE"""),188.38)</f>
        <v>188.38</v>
      </c>
      <c r="D1051" s="1">
        <f ca="1">IFERROR(__xludf.DUMMYFUNCTION("""COMPUTED_VALUE"""),359.84)</f>
        <v>359.84</v>
      </c>
      <c r="E1051" s="1">
        <f ca="1">IFERROR(__xludf.DUMMYFUNCTION("""COMPUTED_VALUE"""),214.44)</f>
        <v>214.44</v>
      </c>
      <c r="F1051">
        <f t="shared" ca="1" si="133"/>
        <v>-5.8542947643003669E-2</v>
      </c>
      <c r="G1051">
        <f t="shared" ca="1" si="134"/>
        <v>-7.2887445248289787E-2</v>
      </c>
      <c r="H1051">
        <f t="shared" ca="1" si="135"/>
        <v>-3.5565918897912246E-2</v>
      </c>
      <c r="I1051">
        <f t="shared" ca="1" si="136"/>
        <v>1.9783146281148929E-2</v>
      </c>
      <c r="O1051">
        <f t="shared" ca="1" si="137"/>
        <v>1.3430082662201273</v>
      </c>
      <c r="P1051">
        <f t="shared" ca="1" si="138"/>
        <v>1.4364800976056138</v>
      </c>
      <c r="Q1051">
        <f t="shared" ca="1" si="139"/>
        <v>1.501523054454414</v>
      </c>
      <c r="R1051">
        <f t="shared" ca="1" si="140"/>
        <v>1.6543743249498548</v>
      </c>
    </row>
    <row r="1052" spans="1:18" x14ac:dyDescent="0.3">
      <c r="A1052" s="2">
        <f ca="1">IFERROR(__xludf.DUMMYFUNCTION("""COMPUTED_VALUE"""),45754.6666666666)</f>
        <v>45754.666666666599</v>
      </c>
      <c r="B1052" s="1">
        <f ca="1">IFERROR(__xludf.DUMMYFUNCTION("""COMPUTED_VALUE"""),504.38)</f>
        <v>504.38</v>
      </c>
      <c r="C1052" s="1">
        <f ca="1">IFERROR(__xludf.DUMMYFUNCTION("""COMPUTED_VALUE"""),181.46)</f>
        <v>181.46</v>
      </c>
      <c r="D1052" s="1">
        <f ca="1">IFERROR(__xludf.DUMMYFUNCTION("""COMPUTED_VALUE"""),357.86)</f>
        <v>357.86</v>
      </c>
      <c r="E1052" s="1">
        <f ca="1">IFERROR(__xludf.DUMMYFUNCTION("""COMPUTED_VALUE"""),216.87)</f>
        <v>216.87</v>
      </c>
      <c r="F1052">
        <f t="shared" ca="1" si="133"/>
        <v>-1.7811906269790559E-3</v>
      </c>
      <c r="G1052">
        <f t="shared" ca="1" si="134"/>
        <v>-3.6734260537211953E-2</v>
      </c>
      <c r="H1052">
        <f t="shared" ca="1" si="135"/>
        <v>-5.502445531347158E-3</v>
      </c>
      <c r="I1052">
        <f t="shared" ca="1" si="136"/>
        <v>1.1331841074426445E-2</v>
      </c>
      <c r="O1052">
        <f t="shared" ca="1" si="137"/>
        <v>1.3406161124843807</v>
      </c>
      <c r="P1052">
        <f t="shared" ca="1" si="138"/>
        <v>1.3837120634436495</v>
      </c>
      <c r="Q1052">
        <f t="shared" ca="1" si="139"/>
        <v>1.4932610056332165</v>
      </c>
      <c r="R1052">
        <f t="shared" ca="1" si="140"/>
        <v>1.6731214318777983</v>
      </c>
    </row>
    <row r="1053" spans="1:18" x14ac:dyDescent="0.3">
      <c r="A1053" s="2">
        <f ca="1">IFERROR(__xludf.DUMMYFUNCTION("""COMPUTED_VALUE"""),45755.6666666666)</f>
        <v>45755.666666666599</v>
      </c>
      <c r="B1053" s="1">
        <f ca="1">IFERROR(__xludf.DUMMYFUNCTION("""COMPUTED_VALUE"""),496.48)</f>
        <v>496.48</v>
      </c>
      <c r="C1053" s="1">
        <f ca="1">IFERROR(__xludf.DUMMYFUNCTION("""COMPUTED_VALUE"""),172.42)</f>
        <v>172.42</v>
      </c>
      <c r="D1053" s="1">
        <f ca="1">IFERROR(__xludf.DUMMYFUNCTION("""COMPUTED_VALUE"""),354.56)</f>
        <v>354.56</v>
      </c>
      <c r="E1053" s="1">
        <f ca="1">IFERROR(__xludf.DUMMYFUNCTION("""COMPUTED_VALUE"""),234.34)</f>
        <v>234.34</v>
      </c>
      <c r="F1053">
        <f t="shared" ca="1" si="133"/>
        <v>-1.5662793925215069E-2</v>
      </c>
      <c r="G1053">
        <f t="shared" ca="1" si="134"/>
        <v>-4.9818141739226385E-2</v>
      </c>
      <c r="H1053">
        <f t="shared" ca="1" si="135"/>
        <v>-9.2214832616107165E-3</v>
      </c>
      <c r="I1053">
        <f t="shared" ca="1" si="136"/>
        <v>8.0555171300779257E-2</v>
      </c>
      <c r="O1053">
        <f t="shared" ca="1" si="137"/>
        <v>1.319618318581715</v>
      </c>
      <c r="P1053">
        <f t="shared" ca="1" si="138"/>
        <v>1.3147780997407363</v>
      </c>
      <c r="Q1053">
        <f t="shared" ca="1" si="139"/>
        <v>1.4794909242645538</v>
      </c>
      <c r="R1053">
        <f t="shared" ca="1" si="140"/>
        <v>1.8079000154297193</v>
      </c>
    </row>
    <row r="1054" spans="1:18" x14ac:dyDescent="0.3">
      <c r="A1054" s="2">
        <f ca="1">IFERROR(__xludf.DUMMYFUNCTION("""COMPUTED_VALUE"""),45756.6666666666)</f>
        <v>45756.666666666599</v>
      </c>
      <c r="B1054" s="1">
        <f ca="1">IFERROR(__xludf.DUMMYFUNCTION("""COMPUTED_VALUE"""),548.62)</f>
        <v>548.62</v>
      </c>
      <c r="C1054" s="1">
        <f ca="1">IFERROR(__xludf.DUMMYFUNCTION("""COMPUTED_VALUE"""),198.85)</f>
        <v>198.85</v>
      </c>
      <c r="D1054" s="1">
        <f ca="1">IFERROR(__xludf.DUMMYFUNCTION("""COMPUTED_VALUE"""),390.49)</f>
        <v>390.49</v>
      </c>
      <c r="E1054" s="1">
        <f ca="1">IFERROR(__xludf.DUMMYFUNCTION("""COMPUTED_VALUE"""),227.11)</f>
        <v>227.11</v>
      </c>
      <c r="F1054">
        <f t="shared" ca="1" si="133"/>
        <v>0.10501933612632933</v>
      </c>
      <c r="G1054">
        <f t="shared" ca="1" si="134"/>
        <v>0.15328848161466194</v>
      </c>
      <c r="H1054">
        <f t="shared" ca="1" si="135"/>
        <v>0.10133686823104696</v>
      </c>
      <c r="I1054">
        <f t="shared" ca="1" si="136"/>
        <v>-3.0852607322693477E-2</v>
      </c>
      <c r="O1054">
        <f t="shared" ca="1" si="137"/>
        <v>1.4582037583393097</v>
      </c>
      <c r="P1054">
        <f t="shared" ca="1" si="138"/>
        <v>1.5163184383102044</v>
      </c>
      <c r="Q1054">
        <f t="shared" ca="1" si="139"/>
        <v>1.6294179011057808</v>
      </c>
      <c r="R1054">
        <f t="shared" ca="1" si="140"/>
        <v>1.7521215861749748</v>
      </c>
    </row>
    <row r="1055" spans="1:18" x14ac:dyDescent="0.3">
      <c r="A1055" s="2">
        <f ca="1">IFERROR(__xludf.DUMMYFUNCTION("""COMPUTED_VALUE"""),45757.6666666666)</f>
        <v>45757.666666666599</v>
      </c>
      <c r="B1055" s="1">
        <f ca="1">IFERROR(__xludf.DUMMYFUNCTION("""COMPUTED_VALUE"""),524.58)</f>
        <v>524.58000000000004</v>
      </c>
      <c r="C1055" s="1">
        <f ca="1">IFERROR(__xludf.DUMMYFUNCTION("""COMPUTED_VALUE"""),190.42)</f>
        <v>190.42</v>
      </c>
      <c r="D1055" s="1">
        <f ca="1">IFERROR(__xludf.DUMMYFUNCTION("""COMPUTED_VALUE"""),381.35)</f>
        <v>381.35</v>
      </c>
      <c r="E1055" s="1">
        <f ca="1">IFERROR(__xludf.DUMMYFUNCTION("""COMPUTED_VALUE"""),236.2)</f>
        <v>236.2</v>
      </c>
      <c r="F1055">
        <f t="shared" ca="1" si="133"/>
        <v>-4.3819036856111632E-2</v>
      </c>
      <c r="G1055">
        <f t="shared" ca="1" si="134"/>
        <v>-4.2393764143827041E-2</v>
      </c>
      <c r="H1055">
        <f t="shared" ca="1" si="135"/>
        <v>-2.3406489282696064E-2</v>
      </c>
      <c r="I1055">
        <f t="shared" ca="1" si="136"/>
        <v>4.002465765488078E-2</v>
      </c>
      <c r="O1055">
        <f t="shared" ca="1" si="137"/>
        <v>1.394306674108919</v>
      </c>
      <c r="P1055">
        <f t="shared" ca="1" si="138"/>
        <v>1.4520359920695456</v>
      </c>
      <c r="Q1055">
        <f t="shared" ca="1" si="139"/>
        <v>1.5912789484665153</v>
      </c>
      <c r="R1055">
        <f t="shared" ca="1" si="140"/>
        <v>1.822249652831355</v>
      </c>
    </row>
    <row r="1056" spans="1:18" x14ac:dyDescent="0.3">
      <c r="A1056" s="2">
        <f ca="1">IFERROR(__xludf.DUMMYFUNCTION("""COMPUTED_VALUE"""),45758.6666666666)</f>
        <v>45758.666666666599</v>
      </c>
      <c r="B1056" s="1">
        <f ca="1">IFERROR(__xludf.DUMMYFUNCTION("""COMPUTED_VALUE"""),533.94)</f>
        <v>533.94000000000005</v>
      </c>
      <c r="C1056" s="1">
        <f ca="1">IFERROR(__xludf.DUMMYFUNCTION("""COMPUTED_VALUE"""),198.15)</f>
        <v>198.15</v>
      </c>
      <c r="D1056" s="1">
        <f ca="1">IFERROR(__xludf.DUMMYFUNCTION("""COMPUTED_VALUE"""),388.45)</f>
        <v>388.45</v>
      </c>
      <c r="E1056" s="1">
        <f ca="1">IFERROR(__xludf.DUMMYFUNCTION("""COMPUTED_VALUE"""),234.72)</f>
        <v>234.72</v>
      </c>
      <c r="F1056">
        <f t="shared" ca="1" si="133"/>
        <v>1.7842845705135561E-2</v>
      </c>
      <c r="G1056">
        <f t="shared" ca="1" si="134"/>
        <v>4.059447537023432E-2</v>
      </c>
      <c r="H1056">
        <f t="shared" ca="1" si="135"/>
        <v>1.8618067392159342E-2</v>
      </c>
      <c r="I1056">
        <f t="shared" ca="1" si="136"/>
        <v>-6.2658763759525391E-3</v>
      </c>
      <c r="O1056">
        <f t="shared" ca="1" si="137"/>
        <v>1.4191850729606852</v>
      </c>
      <c r="P1056">
        <f t="shared" ca="1" si="138"/>
        <v>1.5109806313863066</v>
      </c>
      <c r="Q1056">
        <f t="shared" ca="1" si="139"/>
        <v>1.6209054871687896</v>
      </c>
      <c r="R1056">
        <f t="shared" ca="1" si="140"/>
        <v>1.8108316617805913</v>
      </c>
    </row>
    <row r="1057" spans="1:18" x14ac:dyDescent="0.3">
      <c r="A1057" s="2">
        <f ca="1">IFERROR(__xludf.DUMMYFUNCTION("""COMPUTED_VALUE"""),45761.6666666666)</f>
        <v>45761.666666666599</v>
      </c>
      <c r="B1057" s="1">
        <f ca="1">IFERROR(__xludf.DUMMYFUNCTION("""COMPUTED_VALUE"""),539.12)</f>
        <v>539.12</v>
      </c>
      <c r="C1057" s="1">
        <f ca="1">IFERROR(__xludf.DUMMYFUNCTION("""COMPUTED_VALUE"""),202.52)</f>
        <v>202.52</v>
      </c>
      <c r="D1057" s="1">
        <f ca="1">IFERROR(__xludf.DUMMYFUNCTION("""COMPUTED_VALUE"""),387.81)</f>
        <v>387.81</v>
      </c>
      <c r="E1057" s="1">
        <f ca="1">IFERROR(__xludf.DUMMYFUNCTION("""COMPUTED_VALUE"""),233.13)</f>
        <v>233.13</v>
      </c>
      <c r="F1057">
        <f t="shared" ca="1" si="133"/>
        <v>9.7014645840355646E-3</v>
      </c>
      <c r="G1057">
        <f t="shared" ca="1" si="134"/>
        <v>2.2053999495331843E-2</v>
      </c>
      <c r="H1057">
        <f t="shared" ca="1" si="135"/>
        <v>-1.6475736903075978E-3</v>
      </c>
      <c r="I1057">
        <f t="shared" ca="1" si="136"/>
        <v>-6.7740286298568651E-3</v>
      </c>
      <c r="O1057">
        <f t="shared" ca="1" si="137"/>
        <v>1.4329532466842054</v>
      </c>
      <c r="P1057">
        <f t="shared" ca="1" si="138"/>
        <v>1.5443037974683564</v>
      </c>
      <c r="Q1057">
        <f t="shared" ca="1" si="139"/>
        <v>1.618234925933655</v>
      </c>
      <c r="R1057">
        <f t="shared" ca="1" si="140"/>
        <v>1.7985650362598382</v>
      </c>
    </row>
    <row r="1058" spans="1:18" x14ac:dyDescent="0.3">
      <c r="A1058" s="2">
        <f ca="1">IFERROR(__xludf.DUMMYFUNCTION("""COMPUTED_VALUE"""),45762.6666666666)</f>
        <v>45762.666666666599</v>
      </c>
      <c r="B1058" s="1">
        <f ca="1">IFERROR(__xludf.DUMMYFUNCTION("""COMPUTED_VALUE"""),537.61)</f>
        <v>537.61</v>
      </c>
      <c r="C1058" s="1">
        <f ca="1">IFERROR(__xludf.DUMMYFUNCTION("""COMPUTED_VALUE"""),202.14)</f>
        <v>202.14</v>
      </c>
      <c r="D1058" s="1">
        <f ca="1">IFERROR(__xludf.DUMMYFUNCTION("""COMPUTED_VALUE"""),385.73)</f>
        <v>385.73</v>
      </c>
      <c r="E1058" s="1">
        <f ca="1">IFERROR(__xludf.DUMMYFUNCTION("""COMPUTED_VALUE"""),229.61)</f>
        <v>229.61</v>
      </c>
      <c r="F1058">
        <f t="shared" ca="1" si="133"/>
        <v>-2.800860661819244E-3</v>
      </c>
      <c r="G1058">
        <f t="shared" ca="1" si="134"/>
        <v>-1.8763578905788261E-3</v>
      </c>
      <c r="H1058">
        <f t="shared" ca="1" si="135"/>
        <v>-5.3634511745441942E-3</v>
      </c>
      <c r="I1058">
        <f t="shared" ca="1" si="136"/>
        <v>-1.5098871874061604E-2</v>
      </c>
      <c r="O1058">
        <f t="shared" ca="1" si="137"/>
        <v>1.4289397443053413</v>
      </c>
      <c r="P1058">
        <f t="shared" ca="1" si="138"/>
        <v>1.5414061308525258</v>
      </c>
      <c r="Q1058">
        <f t="shared" ca="1" si="139"/>
        <v>1.6095556019194677</v>
      </c>
      <c r="R1058">
        <f t="shared" ca="1" si="140"/>
        <v>1.771408733220184</v>
      </c>
    </row>
    <row r="1059" spans="1:18" x14ac:dyDescent="0.3">
      <c r="A1059" s="2">
        <f ca="1">IFERROR(__xludf.DUMMYFUNCTION("""COMPUTED_VALUE"""),45763.6666666666)</f>
        <v>45763.666666666599</v>
      </c>
      <c r="B1059" s="1">
        <f ca="1">IFERROR(__xludf.DUMMYFUNCTION("""COMPUTED_VALUE"""),525.66)</f>
        <v>525.66</v>
      </c>
      <c r="C1059" s="1">
        <f ca="1">IFERROR(__xludf.DUMMYFUNCTION("""COMPUTED_VALUE"""),194.27)</f>
        <v>194.27</v>
      </c>
      <c r="D1059" s="1">
        <f ca="1">IFERROR(__xludf.DUMMYFUNCTION("""COMPUTED_VALUE"""),371.61)</f>
        <v>371.61</v>
      </c>
      <c r="E1059" s="1">
        <f ca="1">IFERROR(__xludf.DUMMYFUNCTION("""COMPUTED_VALUE"""),231.96)</f>
        <v>231.96</v>
      </c>
      <c r="F1059">
        <f t="shared" ca="1" si="133"/>
        <v>-2.2228009151615567E-2</v>
      </c>
      <c r="G1059">
        <f t="shared" ca="1" si="134"/>
        <v>-3.8933412486395452E-2</v>
      </c>
      <c r="H1059">
        <f t="shared" ca="1" si="135"/>
        <v>-3.6605916055271831E-2</v>
      </c>
      <c r="I1059">
        <f t="shared" ca="1" si="136"/>
        <v>1.0234745873437543E-2</v>
      </c>
      <c r="O1059">
        <f t="shared" ca="1" si="137"/>
        <v>1.397177258591815</v>
      </c>
      <c r="P1059">
        <f t="shared" ca="1" si="138"/>
        <v>1.4813939301509855</v>
      </c>
      <c r="Q1059">
        <f t="shared" ca="1" si="139"/>
        <v>1.550636344669311</v>
      </c>
      <c r="R1059">
        <f t="shared" ca="1" si="140"/>
        <v>1.7895386514426805</v>
      </c>
    </row>
    <row r="1060" spans="1:18" x14ac:dyDescent="0.3">
      <c r="A1060" s="2">
        <f ca="1">IFERROR(__xludf.DUMMYFUNCTION("""COMPUTED_VALUE"""),45764.6666666666)</f>
        <v>45764.666666666599</v>
      </c>
      <c r="B1060" s="1">
        <f ca="1">IFERROR(__xludf.DUMMYFUNCTION("""COMPUTED_VALUE"""),526.41)</f>
        <v>526.41</v>
      </c>
      <c r="C1060" s="1">
        <f ca="1">IFERROR(__xludf.DUMMYFUNCTION("""COMPUTED_VALUE"""),196.98)</f>
        <v>196.98</v>
      </c>
      <c r="D1060" s="1">
        <f ca="1">IFERROR(__xludf.DUMMYFUNCTION("""COMPUTED_VALUE"""),367.78)</f>
        <v>367.78</v>
      </c>
      <c r="E1060" s="1">
        <f ca="1">IFERROR(__xludf.DUMMYFUNCTION("""COMPUTED_VALUE"""),228.99)</f>
        <v>228.99</v>
      </c>
      <c r="F1060">
        <f t="shared" ca="1" si="133"/>
        <v>1.4267777650953089E-3</v>
      </c>
      <c r="G1060">
        <f t="shared" ca="1" si="134"/>
        <v>1.3949657692901525E-2</v>
      </c>
      <c r="H1060">
        <f t="shared" ca="1" si="135"/>
        <v>-1.0306504130674741E-2</v>
      </c>
      <c r="I1060">
        <f t="shared" ca="1" si="136"/>
        <v>-1.2803931712364195E-2</v>
      </c>
      <c r="O1060">
        <f t="shared" ca="1" si="137"/>
        <v>1.3991707200382706</v>
      </c>
      <c r="P1060">
        <f t="shared" ca="1" si="138"/>
        <v>1.5020588683849339</v>
      </c>
      <c r="Q1060">
        <f t="shared" ca="1" si="139"/>
        <v>1.5346547047778025</v>
      </c>
      <c r="R1060">
        <f t="shared" ca="1" si="140"/>
        <v>1.7666255207529722</v>
      </c>
    </row>
    <row r="1061" spans="1:18" x14ac:dyDescent="0.3">
      <c r="A1061" s="2">
        <f ca="1">IFERROR(__xludf.DUMMYFUNCTION("""COMPUTED_VALUE"""),45768.6666666666)</f>
        <v>45768.666666666599</v>
      </c>
      <c r="B1061" s="1">
        <f ca="1">IFERROR(__xludf.DUMMYFUNCTION("""COMPUTED_VALUE"""),513.88)</f>
        <v>513.88</v>
      </c>
      <c r="C1061" s="1">
        <f ca="1">IFERROR(__xludf.DUMMYFUNCTION("""COMPUTED_VALUE"""),193.16)</f>
        <v>193.16</v>
      </c>
      <c r="D1061" s="1">
        <f ca="1">IFERROR(__xludf.DUMMYFUNCTION("""COMPUTED_VALUE"""),359.12)</f>
        <v>359.12</v>
      </c>
      <c r="E1061" s="1">
        <f ca="1">IFERROR(__xludf.DUMMYFUNCTION("""COMPUTED_VALUE"""),235.59)</f>
        <v>235.59</v>
      </c>
      <c r="F1061">
        <f t="shared" ca="1" si="133"/>
        <v>-2.380273930966352E-2</v>
      </c>
      <c r="G1061">
        <f t="shared" ca="1" si="134"/>
        <v>-1.9392831759569466E-2</v>
      </c>
      <c r="H1061">
        <f t="shared" ca="1" si="135"/>
        <v>-2.3546685518516419E-2</v>
      </c>
      <c r="I1061">
        <f t="shared" ca="1" si="136"/>
        <v>2.8822219310886913E-2</v>
      </c>
      <c r="O1061">
        <f t="shared" ca="1" si="137"/>
        <v>1.3658666241394855</v>
      </c>
      <c r="P1061">
        <f t="shared" ca="1" si="138"/>
        <v>1.4729296934573755</v>
      </c>
      <c r="Q1061">
        <f t="shared" ca="1" si="139"/>
        <v>1.4985186730648878</v>
      </c>
      <c r="R1061">
        <f t="shared" ca="1" si="140"/>
        <v>1.8175435889523242</v>
      </c>
    </row>
    <row r="1062" spans="1:18" x14ac:dyDescent="0.3">
      <c r="A1062" s="2">
        <f ca="1">IFERROR(__xludf.DUMMYFUNCTION("""COMPUTED_VALUE"""),45769.6666666666)</f>
        <v>45769.666666666599</v>
      </c>
      <c r="B1062" s="1">
        <f ca="1">IFERROR(__xludf.DUMMYFUNCTION("""COMPUTED_VALUE"""),527.25)</f>
        <v>527.25</v>
      </c>
      <c r="C1062" s="1">
        <f ca="1">IFERROR(__xludf.DUMMYFUNCTION("""COMPUTED_VALUE"""),199.74)</f>
        <v>199.74</v>
      </c>
      <c r="D1062" s="1">
        <f ca="1">IFERROR(__xludf.DUMMYFUNCTION("""COMPUTED_VALUE"""),366.82)</f>
        <v>366.82</v>
      </c>
      <c r="E1062" s="1">
        <f ca="1">IFERROR(__xludf.DUMMYFUNCTION("""COMPUTED_VALUE"""),240.88)</f>
        <v>240.88</v>
      </c>
      <c r="F1062">
        <f t="shared" ca="1" si="133"/>
        <v>2.6017747334007947E-2</v>
      </c>
      <c r="G1062">
        <f t="shared" ca="1" si="134"/>
        <v>3.4065023814454407E-2</v>
      </c>
      <c r="H1062">
        <f t="shared" ca="1" si="135"/>
        <v>2.144130095789705E-2</v>
      </c>
      <c r="I1062">
        <f t="shared" ca="1" si="136"/>
        <v>2.2454263763317595E-2</v>
      </c>
      <c r="O1062">
        <f t="shared" ca="1" si="137"/>
        <v>1.4014033968583011</v>
      </c>
      <c r="P1062">
        <f t="shared" ca="1" si="138"/>
        <v>1.5231050785420179</v>
      </c>
      <c r="Q1062">
        <f t="shared" ca="1" si="139"/>
        <v>1.5306488629251007</v>
      </c>
      <c r="R1062">
        <f t="shared" ca="1" si="140"/>
        <v>1.8583551920999866</v>
      </c>
    </row>
    <row r="1063" spans="1:18" x14ac:dyDescent="0.3">
      <c r="A1063" s="2">
        <f ca="1">IFERROR(__xludf.DUMMYFUNCTION("""COMPUTED_VALUE"""),45770.6666666666)</f>
        <v>45770.666666666599</v>
      </c>
      <c r="B1063" s="1">
        <f ca="1">IFERROR(__xludf.DUMMYFUNCTION("""COMPUTED_VALUE"""),535.42)</f>
        <v>535.41999999999996</v>
      </c>
      <c r="C1063" s="1">
        <f ca="1">IFERROR(__xludf.DUMMYFUNCTION("""COMPUTED_VALUE"""),204.6)</f>
        <v>204.6</v>
      </c>
      <c r="D1063" s="1">
        <f ca="1">IFERROR(__xludf.DUMMYFUNCTION("""COMPUTED_VALUE"""),374.39)</f>
        <v>374.39</v>
      </c>
      <c r="E1063" s="1">
        <f ca="1">IFERROR(__xludf.DUMMYFUNCTION("""COMPUTED_VALUE"""),244.64)</f>
        <v>244.64</v>
      </c>
      <c r="F1063">
        <f t="shared" ca="1" si="133"/>
        <v>1.5495495495495417E-2</v>
      </c>
      <c r="G1063">
        <f t="shared" ca="1" si="134"/>
        <v>2.4331631120456519E-2</v>
      </c>
      <c r="H1063">
        <f t="shared" ca="1" si="135"/>
        <v>2.063682460062154E-2</v>
      </c>
      <c r="I1063">
        <f t="shared" ca="1" si="136"/>
        <v>1.5609432082364625E-2</v>
      </c>
      <c r="O1063">
        <f t="shared" ca="1" si="137"/>
        <v>1.4231188368816907</v>
      </c>
      <c r="P1063">
        <f t="shared" ca="1" si="138"/>
        <v>1.5601647094707962</v>
      </c>
      <c r="Q1063">
        <f t="shared" ca="1" si="139"/>
        <v>1.5622365950344266</v>
      </c>
      <c r="R1063">
        <f t="shared" ca="1" si="140"/>
        <v>1.8873630612559809</v>
      </c>
    </row>
    <row r="1064" spans="1:18" x14ac:dyDescent="0.3">
      <c r="A1064" s="2">
        <f ca="1">IFERROR(__xludf.DUMMYFUNCTION("""COMPUTED_VALUE"""),45771.6666666666)</f>
        <v>45771.666666666599</v>
      </c>
      <c r="B1064" s="1">
        <f ca="1">IFERROR(__xludf.DUMMYFUNCTION("""COMPUTED_VALUE"""),546.69)</f>
        <v>546.69000000000005</v>
      </c>
      <c r="C1064" s="1">
        <f ca="1">IFERROR(__xludf.DUMMYFUNCTION("""COMPUTED_VALUE"""),208.37)</f>
        <v>208.37</v>
      </c>
      <c r="D1064" s="1">
        <f ca="1">IFERROR(__xludf.DUMMYFUNCTION("""COMPUTED_VALUE"""),387.3)</f>
        <v>387.3</v>
      </c>
      <c r="E1064" s="1">
        <f ca="1">IFERROR(__xludf.DUMMYFUNCTION("""COMPUTED_VALUE"""),243.55)</f>
        <v>243.55</v>
      </c>
      <c r="F1064">
        <f t="shared" ca="1" si="133"/>
        <v>2.1048896193642554E-2</v>
      </c>
      <c r="G1064">
        <f t="shared" ca="1" si="134"/>
        <v>1.8426197458455574E-2</v>
      </c>
      <c r="H1064">
        <f t="shared" ca="1" si="135"/>
        <v>3.4482758620689724E-2</v>
      </c>
      <c r="I1064">
        <f t="shared" ca="1" si="136"/>
        <v>-4.455526487900487E-3</v>
      </c>
      <c r="O1064">
        <f t="shared" ca="1" si="137"/>
        <v>1.4530739175504308</v>
      </c>
      <c r="P1064">
        <f t="shared" ca="1" si="138"/>
        <v>1.5889126124752191</v>
      </c>
      <c r="Q1064">
        <f t="shared" ca="1" si="139"/>
        <v>1.6161068224494068</v>
      </c>
      <c r="R1064">
        <f t="shared" ca="1" si="140"/>
        <v>1.8789538651442699</v>
      </c>
    </row>
    <row r="1065" spans="1:18" x14ac:dyDescent="0.3">
      <c r="A1065" s="2">
        <f ca="1">IFERROR(__xludf.DUMMYFUNCTION("""COMPUTED_VALUE"""),45772.6666666666)</f>
        <v>45772.666666666599</v>
      </c>
      <c r="B1065" s="1">
        <f ca="1">IFERROR(__xludf.DUMMYFUNCTION("""COMPUTED_VALUE"""),550.64)</f>
        <v>550.64</v>
      </c>
      <c r="C1065" s="1">
        <f ca="1">IFERROR(__xludf.DUMMYFUNCTION("""COMPUTED_VALUE"""),209.28)</f>
        <v>209.28</v>
      </c>
      <c r="D1065" s="1">
        <f ca="1">IFERROR(__xludf.DUMMYFUNCTION("""COMPUTED_VALUE"""),391.85)</f>
        <v>391.85</v>
      </c>
      <c r="E1065" s="1">
        <f ca="1">IFERROR(__xludf.DUMMYFUNCTION("""COMPUTED_VALUE"""),243.22)</f>
        <v>243.22</v>
      </c>
      <c r="F1065">
        <f t="shared" ca="1" si="133"/>
        <v>7.2253013590882062E-3</v>
      </c>
      <c r="G1065">
        <f t="shared" ca="1" si="134"/>
        <v>4.3672313672793424E-3</v>
      </c>
      <c r="H1065">
        <f t="shared" ca="1" si="135"/>
        <v>1.1747998967208911E-2</v>
      </c>
      <c r="I1065">
        <f t="shared" ca="1" si="136"/>
        <v>-1.3549579141860499E-3</v>
      </c>
      <c r="O1065">
        <f t="shared" ca="1" si="137"/>
        <v>1.4635728145017635</v>
      </c>
      <c r="P1065">
        <f t="shared" ca="1" si="138"/>
        <v>1.5958517614762866</v>
      </c>
      <c r="Q1065">
        <f t="shared" ca="1" si="139"/>
        <v>1.6350928437304417</v>
      </c>
      <c r="R1065">
        <f t="shared" ca="1" si="140"/>
        <v>1.8764079617343021</v>
      </c>
    </row>
    <row r="1066" spans="1:18" x14ac:dyDescent="0.3">
      <c r="A1066" s="2">
        <f ca="1">IFERROR(__xludf.DUMMYFUNCTION("""COMPUTED_VALUE"""),45775.6666666666)</f>
        <v>45775.666666666599</v>
      </c>
      <c r="B1066" s="1">
        <f ca="1">IFERROR(__xludf.DUMMYFUNCTION("""COMPUTED_VALUE"""),550.85)</f>
        <v>550.85</v>
      </c>
      <c r="C1066" s="1">
        <f ca="1">IFERROR(__xludf.DUMMYFUNCTION("""COMPUTED_VALUE"""),210.14)</f>
        <v>210.14</v>
      </c>
      <c r="D1066" s="1">
        <f ca="1">IFERROR(__xludf.DUMMYFUNCTION("""COMPUTED_VALUE"""),391.16)</f>
        <v>391.16</v>
      </c>
      <c r="E1066" s="1">
        <f ca="1">IFERROR(__xludf.DUMMYFUNCTION("""COMPUTED_VALUE"""),244.62)</f>
        <v>244.62</v>
      </c>
      <c r="F1066">
        <f t="shared" ca="1" si="133"/>
        <v>3.8137440069743641E-4</v>
      </c>
      <c r="G1066">
        <f t="shared" ca="1" si="134"/>
        <v>4.1093272171253119E-3</v>
      </c>
      <c r="H1066">
        <f t="shared" ca="1" si="135"/>
        <v>-1.7608778869465298E-3</v>
      </c>
      <c r="I1066">
        <f t="shared" ca="1" si="136"/>
        <v>5.7561055834224389E-3</v>
      </c>
      <c r="O1066">
        <f t="shared" ca="1" si="137"/>
        <v>1.4641309837067713</v>
      </c>
      <c r="P1066">
        <f t="shared" ca="1" si="138"/>
        <v>1.6024096385542186</v>
      </c>
      <c r="Q1066">
        <f t="shared" ca="1" si="139"/>
        <v>1.6322136448988123</v>
      </c>
      <c r="R1066">
        <f t="shared" ca="1" si="140"/>
        <v>1.8872087640796196</v>
      </c>
    </row>
    <row r="1067" spans="1:18" x14ac:dyDescent="0.3">
      <c r="A1067" s="2">
        <f ca="1">IFERROR(__xludf.DUMMYFUNCTION("""COMPUTED_VALUE"""),45776.6666666666)</f>
        <v>45776.666666666599</v>
      </c>
      <c r="B1067" s="1">
        <f ca="1">IFERROR(__xludf.DUMMYFUNCTION("""COMPUTED_VALUE"""),554.32)</f>
        <v>554.32000000000005</v>
      </c>
      <c r="C1067" s="1">
        <f ca="1">IFERROR(__xludf.DUMMYFUNCTION("""COMPUTED_VALUE"""),211.21)</f>
        <v>211.21</v>
      </c>
      <c r="D1067" s="1">
        <f ca="1">IFERROR(__xludf.DUMMYFUNCTION("""COMPUTED_VALUE"""),394.04)</f>
        <v>394.04</v>
      </c>
      <c r="E1067" s="1">
        <f ca="1">IFERROR(__xludf.DUMMYFUNCTION("""COMPUTED_VALUE"""),244.62)</f>
        <v>244.62</v>
      </c>
      <c r="F1067">
        <f t="shared" ca="1" si="133"/>
        <v>6.2993555414360119E-3</v>
      </c>
      <c r="G1067">
        <f t="shared" ca="1" si="134"/>
        <v>5.091843532882943E-3</v>
      </c>
      <c r="H1067">
        <f t="shared" ca="1" si="135"/>
        <v>7.3627160241333351E-3</v>
      </c>
      <c r="I1067">
        <f t="shared" ca="1" si="136"/>
        <v>0</v>
      </c>
      <c r="O1067">
        <f t="shared" ca="1" si="137"/>
        <v>1.4733540653323725</v>
      </c>
      <c r="P1067">
        <f t="shared" ca="1" si="138"/>
        <v>1.61056885770932</v>
      </c>
      <c r="Q1067">
        <f t="shared" ca="1" si="139"/>
        <v>1.6442311704569179</v>
      </c>
      <c r="R1067">
        <f t="shared" ca="1" si="140"/>
        <v>1.8872087640796196</v>
      </c>
    </row>
    <row r="1068" spans="1:18" x14ac:dyDescent="0.3">
      <c r="A1068" s="2">
        <f ca="1">IFERROR(__xludf.DUMMYFUNCTION("""COMPUTED_VALUE"""),45777.6666666666)</f>
        <v>45777.666666666599</v>
      </c>
      <c r="B1068" s="1">
        <f ca="1">IFERROR(__xludf.DUMMYFUNCTION("""COMPUTED_VALUE"""),554.54)</f>
        <v>554.54</v>
      </c>
      <c r="C1068" s="1">
        <f ca="1">IFERROR(__xludf.DUMMYFUNCTION("""COMPUTED_VALUE"""),212.5)</f>
        <v>212.5</v>
      </c>
      <c r="D1068" s="1">
        <f ca="1">IFERROR(__xludf.DUMMYFUNCTION("""COMPUTED_VALUE"""),395.26)</f>
        <v>395.26</v>
      </c>
      <c r="E1068" s="1">
        <f ca="1">IFERROR(__xludf.DUMMYFUNCTION("""COMPUTED_VALUE"""),246.89)</f>
        <v>246.89</v>
      </c>
      <c r="F1068">
        <f t="shared" ca="1" si="133"/>
        <v>3.9688266705136666E-4</v>
      </c>
      <c r="G1068">
        <f t="shared" ca="1" si="134"/>
        <v>6.1076653567539033E-3</v>
      </c>
      <c r="H1068">
        <f t="shared" ca="1" si="135"/>
        <v>3.0961323723479096E-3</v>
      </c>
      <c r="I1068">
        <f t="shared" ca="1" si="136"/>
        <v>9.2796991251736637E-3</v>
      </c>
      <c r="O1068">
        <f t="shared" ca="1" si="137"/>
        <v>1.4739388140233325</v>
      </c>
      <c r="P1068">
        <f t="shared" ca="1" si="138"/>
        <v>1.620405673326218</v>
      </c>
      <c r="Q1068">
        <f t="shared" ca="1" si="139"/>
        <v>1.6493219278113931</v>
      </c>
      <c r="R1068">
        <f t="shared" ca="1" si="140"/>
        <v>1.9047214935966692</v>
      </c>
    </row>
    <row r="1069" spans="1:18" x14ac:dyDescent="0.3">
      <c r="A1069" s="2">
        <f ca="1">IFERROR(__xludf.DUMMYFUNCTION("""COMPUTED_VALUE"""),45778.6666666666)</f>
        <v>45778.666666666599</v>
      </c>
      <c r="B1069" s="1">
        <f ca="1">IFERROR(__xludf.DUMMYFUNCTION("""COMPUTED_VALUE"""),558.47)</f>
        <v>558.47</v>
      </c>
      <c r="C1069" s="1">
        <f ca="1">IFERROR(__xludf.DUMMYFUNCTION("""COMPUTED_VALUE"""),213.32)</f>
        <v>213.32</v>
      </c>
      <c r="D1069" s="1">
        <f ca="1">IFERROR(__xludf.DUMMYFUNCTION("""COMPUTED_VALUE"""),425.4)</f>
        <v>425.4</v>
      </c>
      <c r="E1069" s="1">
        <f ca="1">IFERROR(__xludf.DUMMYFUNCTION("""COMPUTED_VALUE"""),252.51)</f>
        <v>252.51</v>
      </c>
      <c r="F1069">
        <f t="shared" ca="1" si="133"/>
        <v>7.0869549536553972E-3</v>
      </c>
      <c r="G1069">
        <f t="shared" ca="1" si="134"/>
        <v>3.8588235294117327E-3</v>
      </c>
      <c r="H1069">
        <f t="shared" ca="1" si="135"/>
        <v>7.6253605221879239E-2</v>
      </c>
      <c r="I1069">
        <f t="shared" ca="1" si="136"/>
        <v>2.2763173883105857E-2</v>
      </c>
      <c r="O1069">
        <f t="shared" ca="1" si="137"/>
        <v>1.4843845520027601</v>
      </c>
      <c r="P1069">
        <f t="shared" ca="1" si="138"/>
        <v>1.6266585328656413</v>
      </c>
      <c r="Q1069">
        <f t="shared" ca="1" si="139"/>
        <v>1.7750886709785119</v>
      </c>
      <c r="R1069">
        <f t="shared" ca="1" si="140"/>
        <v>1.9480790001542991</v>
      </c>
    </row>
    <row r="1070" spans="1:18" x14ac:dyDescent="0.3">
      <c r="A1070" s="2">
        <f ca="1">IFERROR(__xludf.DUMMYFUNCTION("""COMPUTED_VALUE"""),45779.6666666666)</f>
        <v>45779.666666666599</v>
      </c>
      <c r="B1070" s="1">
        <f ca="1">IFERROR(__xludf.DUMMYFUNCTION("""COMPUTED_VALUE"""),566.76)</f>
        <v>566.76</v>
      </c>
      <c r="C1070" s="1">
        <f ca="1">IFERROR(__xludf.DUMMYFUNCTION("""COMPUTED_VALUE"""),205.35)</f>
        <v>205.35</v>
      </c>
      <c r="D1070" s="1">
        <f ca="1">IFERROR(__xludf.DUMMYFUNCTION("""COMPUTED_VALUE"""),435.28)</f>
        <v>435.28</v>
      </c>
      <c r="E1070" s="1">
        <f ca="1">IFERROR(__xludf.DUMMYFUNCTION("""COMPUTED_VALUE"""),252.56)</f>
        <v>252.56</v>
      </c>
      <c r="F1070">
        <f t="shared" ca="1" si="133"/>
        <v>1.4844127706053974E-2</v>
      </c>
      <c r="G1070">
        <f t="shared" ca="1" si="134"/>
        <v>-3.7361710106881676E-2</v>
      </c>
      <c r="H1070">
        <f t="shared" ca="1" si="135"/>
        <v>2.3225199811941693E-2</v>
      </c>
      <c r="I1070">
        <f t="shared" ca="1" si="136"/>
        <v>1.9801195992242434E-4</v>
      </c>
      <c r="O1070">
        <f t="shared" ca="1" si="137"/>
        <v>1.506418945857583</v>
      </c>
      <c r="P1070">
        <f t="shared" ca="1" si="138"/>
        <v>1.5658837883178298</v>
      </c>
      <c r="Q1070">
        <f t="shared" ca="1" si="139"/>
        <v>1.8163154600459019</v>
      </c>
      <c r="R1070">
        <f t="shared" ca="1" si="140"/>
        <v>1.9484647430952036</v>
      </c>
    </row>
    <row r="1071" spans="1:18" x14ac:dyDescent="0.3">
      <c r="A1071" s="2">
        <f ca="1">IFERROR(__xludf.DUMMYFUNCTION("""COMPUTED_VALUE"""),45782.6666666666)</f>
        <v>45782.666666666599</v>
      </c>
      <c r="B1071" s="1">
        <f ca="1">IFERROR(__xludf.DUMMYFUNCTION("""COMPUTED_VALUE"""),563.51)</f>
        <v>563.51</v>
      </c>
      <c r="C1071" s="1">
        <f ca="1">IFERROR(__xludf.DUMMYFUNCTION("""COMPUTED_VALUE"""),198.89)</f>
        <v>198.89</v>
      </c>
      <c r="D1071" s="1">
        <f ca="1">IFERROR(__xludf.DUMMYFUNCTION("""COMPUTED_VALUE"""),436.17)</f>
        <v>436.17</v>
      </c>
      <c r="E1071" s="1">
        <f ca="1">IFERROR(__xludf.DUMMYFUNCTION("""COMPUTED_VALUE"""),249.25)</f>
        <v>249.25</v>
      </c>
      <c r="F1071">
        <f t="shared" ca="1" si="133"/>
        <v>-5.7343496365304539E-3</v>
      </c>
      <c r="G1071">
        <f t="shared" ca="1" si="134"/>
        <v>-3.1458485512539609E-2</v>
      </c>
      <c r="H1071">
        <f t="shared" ca="1" si="135"/>
        <v>2.0446609079214375E-3</v>
      </c>
      <c r="I1071">
        <f t="shared" ca="1" si="136"/>
        <v>-1.3105796642382017E-2</v>
      </c>
      <c r="O1071">
        <f t="shared" ca="1" si="137"/>
        <v>1.4977806129229421</v>
      </c>
      <c r="P1071">
        <f t="shared" ca="1" si="138"/>
        <v>1.5166234558487128</v>
      </c>
      <c r="Q1071">
        <f t="shared" ca="1" si="139"/>
        <v>1.8200292092635111</v>
      </c>
      <c r="R1071">
        <f t="shared" ca="1" si="140"/>
        <v>1.9229285604073467</v>
      </c>
    </row>
    <row r="1072" spans="1:18" x14ac:dyDescent="0.3">
      <c r="A1072" s="2">
        <f ca="1">IFERROR(__xludf.DUMMYFUNCTION("""COMPUTED_VALUE"""),45783.6666666666)</f>
        <v>45783.666666666599</v>
      </c>
      <c r="B1072" s="1">
        <f ca="1">IFERROR(__xludf.DUMMYFUNCTION("""COMPUTED_VALUE"""),558.8)</f>
        <v>558.79999999999995</v>
      </c>
      <c r="C1072" s="1">
        <f ca="1">IFERROR(__xludf.DUMMYFUNCTION("""COMPUTED_VALUE"""),198.51)</f>
        <v>198.51</v>
      </c>
      <c r="D1072" s="1">
        <f ca="1">IFERROR(__xludf.DUMMYFUNCTION("""COMPUTED_VALUE"""),433.31)</f>
        <v>433.31</v>
      </c>
      <c r="E1072" s="1">
        <f ca="1">IFERROR(__xludf.DUMMYFUNCTION("""COMPUTED_VALUE"""),249.39)</f>
        <v>249.39</v>
      </c>
      <c r="F1072">
        <f t="shared" ca="1" si="133"/>
        <v>-8.3583254955547134E-3</v>
      </c>
      <c r="G1072">
        <f t="shared" ca="1" si="134"/>
        <v>-1.9106038513751092E-3</v>
      </c>
      <c r="H1072">
        <f t="shared" ca="1" si="135"/>
        <v>-6.5570763693055768E-3</v>
      </c>
      <c r="I1072">
        <f t="shared" ca="1" si="136"/>
        <v>5.6168505516544179E-4</v>
      </c>
      <c r="O1072">
        <f t="shared" ca="1" si="137"/>
        <v>1.4852616750392007</v>
      </c>
      <c r="P1072">
        <f t="shared" ca="1" si="138"/>
        <v>1.5137257892328824</v>
      </c>
      <c r="Q1072">
        <f t="shared" ca="1" si="139"/>
        <v>1.8080951387440034</v>
      </c>
      <c r="R1072">
        <f t="shared" ca="1" si="140"/>
        <v>1.9240086406418784</v>
      </c>
    </row>
    <row r="1073" spans="1:18" x14ac:dyDescent="0.3">
      <c r="A1073" s="2">
        <f ca="1">IFERROR(__xludf.DUMMYFUNCTION("""COMPUTED_VALUE"""),45784.6666666666)</f>
        <v>45784.666666666599</v>
      </c>
      <c r="B1073" s="1">
        <f ca="1">IFERROR(__xludf.DUMMYFUNCTION("""COMPUTED_VALUE"""),561.15)</f>
        <v>561.15</v>
      </c>
      <c r="C1073" s="1">
        <f ca="1">IFERROR(__xludf.DUMMYFUNCTION("""COMPUTED_VALUE"""),196.25)</f>
        <v>196.25</v>
      </c>
      <c r="D1073" s="1">
        <f ca="1">IFERROR(__xludf.DUMMYFUNCTION("""COMPUTED_VALUE"""),433.35)</f>
        <v>433.35</v>
      </c>
      <c r="E1073" s="1">
        <f ca="1">IFERROR(__xludf.DUMMYFUNCTION("""COMPUTED_VALUE"""),253.47)</f>
        <v>253.47</v>
      </c>
      <c r="F1073">
        <f t="shared" ca="1" si="133"/>
        <v>4.2054402290623173E-3</v>
      </c>
      <c r="G1073">
        <f t="shared" ca="1" si="134"/>
        <v>-1.1384816885799159E-2</v>
      </c>
      <c r="H1073">
        <f t="shared" ca="1" si="135"/>
        <v>9.2312662989592811E-5</v>
      </c>
      <c r="I1073">
        <f t="shared" ca="1" si="136"/>
        <v>1.6359918200409048E-2</v>
      </c>
      <c r="O1073">
        <f t="shared" ca="1" si="137"/>
        <v>1.4915078542380951</v>
      </c>
      <c r="P1073">
        <f t="shared" ca="1" si="138"/>
        <v>1.4964922983071542</v>
      </c>
      <c r="Q1073">
        <f t="shared" ca="1" si="139"/>
        <v>1.8082620488211996</v>
      </c>
      <c r="R1073">
        <f t="shared" ca="1" si="140"/>
        <v>1.9554852646196597</v>
      </c>
    </row>
    <row r="1074" spans="1:18" x14ac:dyDescent="0.3">
      <c r="A1074" s="2">
        <f ca="1">IFERROR(__xludf.DUMMYFUNCTION("""COMPUTED_VALUE"""),45785.6666666666)</f>
        <v>45785.666666666599</v>
      </c>
      <c r="B1074" s="1">
        <f ca="1">IFERROR(__xludf.DUMMYFUNCTION("""COMPUTED_VALUE"""),565.06)</f>
        <v>565.05999999999995</v>
      </c>
      <c r="C1074" s="1">
        <f ca="1">IFERROR(__xludf.DUMMYFUNCTION("""COMPUTED_VALUE"""),197.49)</f>
        <v>197.49</v>
      </c>
      <c r="D1074" s="1">
        <f ca="1">IFERROR(__xludf.DUMMYFUNCTION("""COMPUTED_VALUE"""),438.17)</f>
        <v>438.17</v>
      </c>
      <c r="E1074" s="1">
        <f ca="1">IFERROR(__xludf.DUMMYFUNCTION("""COMPUTED_VALUE"""),253.08)</f>
        <v>253.08</v>
      </c>
      <c r="F1074">
        <f t="shared" ca="1" si="133"/>
        <v>6.967833912501057E-3</v>
      </c>
      <c r="G1074">
        <f t="shared" ca="1" si="134"/>
        <v>6.3184713375796639E-3</v>
      </c>
      <c r="H1074">
        <f t="shared" ca="1" si="135"/>
        <v>1.1122649128879641E-2</v>
      </c>
      <c r="I1074">
        <f t="shared" ca="1" si="136"/>
        <v>-1.5386436264646166E-3</v>
      </c>
      <c r="O1074">
        <f t="shared" ca="1" si="137"/>
        <v>1.501900433245617</v>
      </c>
      <c r="P1074">
        <f t="shared" ca="1" si="138"/>
        <v>1.5059478420009167</v>
      </c>
      <c r="Q1074">
        <f t="shared" ca="1" si="139"/>
        <v>1.8283747131233068</v>
      </c>
      <c r="R1074">
        <f t="shared" ca="1" si="140"/>
        <v>1.9524764696806072</v>
      </c>
    </row>
    <row r="1075" spans="1:18" x14ac:dyDescent="0.3">
      <c r="A1075" s="2">
        <f ca="1">IFERROR(__xludf.DUMMYFUNCTION("""COMPUTED_VALUE"""),45786.6666666666)</f>
        <v>45786.666666666599</v>
      </c>
      <c r="B1075" s="1">
        <f ca="1">IFERROR(__xludf.DUMMYFUNCTION("""COMPUTED_VALUE"""),564.34)</f>
        <v>564.34</v>
      </c>
      <c r="C1075" s="1">
        <f ca="1">IFERROR(__xludf.DUMMYFUNCTION("""COMPUTED_VALUE"""),198.53)</f>
        <v>198.53</v>
      </c>
      <c r="D1075" s="1">
        <f ca="1">IFERROR(__xludf.DUMMYFUNCTION("""COMPUTED_VALUE"""),438.73)</f>
        <v>438.73</v>
      </c>
      <c r="E1075" s="1">
        <f ca="1">IFERROR(__xludf.DUMMYFUNCTION("""COMPUTED_VALUE"""),260.05)</f>
        <v>260.05</v>
      </c>
      <c r="F1075">
        <f t="shared" ca="1" si="133"/>
        <v>-1.274200969808363E-3</v>
      </c>
      <c r="G1075">
        <f t="shared" ca="1" si="134"/>
        <v>5.2660894222491868E-3</v>
      </c>
      <c r="H1075">
        <f t="shared" ca="1" si="135"/>
        <v>1.278042768788375E-3</v>
      </c>
      <c r="I1075">
        <f t="shared" ca="1" si="136"/>
        <v>2.7540698593330165E-2</v>
      </c>
      <c r="O1075">
        <f t="shared" ca="1" si="137"/>
        <v>1.4999867102570199</v>
      </c>
      <c r="P1075">
        <f t="shared" ca="1" si="138"/>
        <v>1.5138782980021366</v>
      </c>
      <c r="Q1075">
        <f t="shared" ca="1" si="139"/>
        <v>1.8307114542040497</v>
      </c>
      <c r="R1075">
        <f t="shared" ca="1" si="140"/>
        <v>2.0062490356426501</v>
      </c>
    </row>
    <row r="1076" spans="1:18" x14ac:dyDescent="0.3">
      <c r="A1076" s="2">
        <f ca="1">IFERROR(__xludf.DUMMYFUNCTION("""COMPUTED_VALUE"""),45789.6666666666)</f>
        <v>45789.666666666599</v>
      </c>
      <c r="B1076" s="1">
        <f ca="1">IFERROR(__xludf.DUMMYFUNCTION("""COMPUTED_VALUE"""),582.99)</f>
        <v>582.99</v>
      </c>
      <c r="C1076" s="1">
        <f ca="1">IFERROR(__xludf.DUMMYFUNCTION("""COMPUTED_VALUE"""),210.79)</f>
        <v>210.79</v>
      </c>
      <c r="D1076" s="1">
        <f ca="1">IFERROR(__xludf.DUMMYFUNCTION("""COMPUTED_VALUE"""),449.26)</f>
        <v>449.26</v>
      </c>
      <c r="E1076" s="1">
        <f ca="1">IFERROR(__xludf.DUMMYFUNCTION("""COMPUTED_VALUE"""),263.01)</f>
        <v>263.01</v>
      </c>
      <c r="F1076">
        <f t="shared" ca="1" si="133"/>
        <v>3.3047453662685571E-2</v>
      </c>
      <c r="G1076">
        <f t="shared" ca="1" si="134"/>
        <v>6.1753891099581883E-2</v>
      </c>
      <c r="H1076">
        <f t="shared" ca="1" si="135"/>
        <v>2.4001094066965951E-2</v>
      </c>
      <c r="I1076">
        <f t="shared" ca="1" si="136"/>
        <v>1.1382426456450604E-2</v>
      </c>
      <c r="O1076">
        <f t="shared" ca="1" si="137"/>
        <v>1.5495574515588828</v>
      </c>
      <c r="P1076">
        <f t="shared" ca="1" si="138"/>
        <v>1.6073661735549809</v>
      </c>
      <c r="Q1076">
        <f t="shared" ca="1" si="139"/>
        <v>1.8746505320258731</v>
      </c>
      <c r="R1076">
        <f t="shared" ca="1" si="140"/>
        <v>2.0290850177441775</v>
      </c>
    </row>
    <row r="1077" spans="1:18" x14ac:dyDescent="0.3">
      <c r="A1077" s="2">
        <f ca="1">IFERROR(__xludf.DUMMYFUNCTION("""COMPUTED_VALUE"""),45790.6666666666)</f>
        <v>45790.666666666599</v>
      </c>
      <c r="B1077" s="1">
        <f ca="1">IFERROR(__xludf.DUMMYFUNCTION("""COMPUTED_VALUE"""),586.84)</f>
        <v>586.84</v>
      </c>
      <c r="C1077" s="1">
        <f ca="1">IFERROR(__xludf.DUMMYFUNCTION("""COMPUTED_VALUE"""),212.93)</f>
        <v>212.93</v>
      </c>
      <c r="D1077" s="1">
        <f ca="1">IFERROR(__xludf.DUMMYFUNCTION("""COMPUTED_VALUE"""),449.14)</f>
        <v>449.14</v>
      </c>
      <c r="E1077" s="1">
        <f ca="1">IFERROR(__xludf.DUMMYFUNCTION("""COMPUTED_VALUE"""),265.64)</f>
        <v>265.64</v>
      </c>
      <c r="F1077">
        <f t="shared" ca="1" si="133"/>
        <v>6.6038868591228369E-3</v>
      </c>
      <c r="G1077">
        <f t="shared" ca="1" si="134"/>
        <v>1.0152284263959461E-2</v>
      </c>
      <c r="H1077">
        <f t="shared" ca="1" si="135"/>
        <v>-2.6710590749233086E-4</v>
      </c>
      <c r="I1077">
        <f t="shared" ca="1" si="136"/>
        <v>9.9996197863198941E-3</v>
      </c>
      <c r="O1077">
        <f t="shared" ca="1" si="137"/>
        <v>1.5597905536506886</v>
      </c>
      <c r="P1077">
        <f t="shared" ca="1" si="138"/>
        <v>1.6236846118651838</v>
      </c>
      <c r="Q1077">
        <f t="shared" ca="1" si="139"/>
        <v>1.8741498017942853</v>
      </c>
      <c r="R1077">
        <f t="shared" ca="1" si="140"/>
        <v>2.0493750964357376</v>
      </c>
    </row>
    <row r="1078" spans="1:18" x14ac:dyDescent="0.3">
      <c r="A1078" s="2">
        <f ca="1">IFERROR(__xludf.DUMMYFUNCTION("""COMPUTED_VALUE"""),45791.6666666666)</f>
        <v>45791.666666666599</v>
      </c>
      <c r="B1078" s="1">
        <f ca="1">IFERROR(__xludf.DUMMYFUNCTION("""COMPUTED_VALUE"""),587.59)</f>
        <v>587.59</v>
      </c>
      <c r="C1078" s="1">
        <f ca="1">IFERROR(__xludf.DUMMYFUNCTION("""COMPUTED_VALUE"""),212.33)</f>
        <v>212.33</v>
      </c>
      <c r="D1078" s="1">
        <f ca="1">IFERROR(__xludf.DUMMYFUNCTION("""COMPUTED_VALUE"""),452.94)</f>
        <v>452.94</v>
      </c>
      <c r="E1078" s="1">
        <f ca="1">IFERROR(__xludf.DUMMYFUNCTION("""COMPUTED_VALUE"""),267.49)</f>
        <v>267.49</v>
      </c>
      <c r="F1078">
        <f t="shared" ca="1" si="133"/>
        <v>1.2780314906959307E-3</v>
      </c>
      <c r="G1078">
        <f t="shared" ca="1" si="134"/>
        <v>-2.8178274550321432E-3</v>
      </c>
      <c r="H1078">
        <f t="shared" ca="1" si="135"/>
        <v>8.4606136171349947E-3</v>
      </c>
      <c r="I1078">
        <f t="shared" ca="1" si="136"/>
        <v>6.9643126035236515E-3</v>
      </c>
      <c r="O1078">
        <f t="shared" ca="1" si="137"/>
        <v>1.5617840150971443</v>
      </c>
      <c r="P1078">
        <f t="shared" ca="1" si="138"/>
        <v>1.619109348787557</v>
      </c>
      <c r="Q1078">
        <f t="shared" ca="1" si="139"/>
        <v>1.8900062591278968</v>
      </c>
      <c r="R1078">
        <f t="shared" ca="1" si="140"/>
        <v>2.0636475852491927</v>
      </c>
    </row>
    <row r="1079" spans="1:18" x14ac:dyDescent="0.3">
      <c r="A1079" s="2">
        <f ca="1">IFERROR(__xludf.DUMMYFUNCTION("""COMPUTED_VALUE"""),45792.6666666666)</f>
        <v>45792.666666666599</v>
      </c>
      <c r="B1079" s="1">
        <f ca="1">IFERROR(__xludf.DUMMYFUNCTION("""COMPUTED_VALUE"""),590.46)</f>
        <v>590.46</v>
      </c>
      <c r="C1079" s="1">
        <f ca="1">IFERROR(__xludf.DUMMYFUNCTION("""COMPUTED_VALUE"""),211.45)</f>
        <v>211.45</v>
      </c>
      <c r="D1079" s="1">
        <f ca="1">IFERROR(__xludf.DUMMYFUNCTION("""COMPUTED_VALUE"""),453.13)</f>
        <v>453.13</v>
      </c>
      <c r="E1079" s="1">
        <f ca="1">IFERROR(__xludf.DUMMYFUNCTION("""COMPUTED_VALUE"""),267.56)</f>
        <v>267.56</v>
      </c>
      <c r="F1079">
        <f t="shared" ca="1" si="133"/>
        <v>4.8843581408805539E-3</v>
      </c>
      <c r="G1079">
        <f t="shared" ca="1" si="134"/>
        <v>-4.144492064239739E-3</v>
      </c>
      <c r="H1079">
        <f t="shared" ca="1" si="135"/>
        <v>4.1948160904313535E-4</v>
      </c>
      <c r="I1079">
        <f t="shared" ca="1" si="136"/>
        <v>2.616920258701005E-4</v>
      </c>
      <c r="O1079">
        <f t="shared" ca="1" si="137"/>
        <v>1.5694123275655811</v>
      </c>
      <c r="P1079">
        <f t="shared" ca="1" si="138"/>
        <v>1.6123989629403706</v>
      </c>
      <c r="Q1079">
        <f t="shared" ca="1" si="139"/>
        <v>1.8907990819945772</v>
      </c>
      <c r="R1079">
        <f t="shared" ca="1" si="140"/>
        <v>2.0641876253664582</v>
      </c>
    </row>
    <row r="1080" spans="1:18" x14ac:dyDescent="0.3">
      <c r="A1080" s="2">
        <f ca="1">IFERROR(__xludf.DUMMYFUNCTION("""COMPUTED_VALUE"""),45793.6666666666)</f>
        <v>45793.666666666599</v>
      </c>
      <c r="B1080" s="1">
        <f ca="1">IFERROR(__xludf.DUMMYFUNCTION("""COMPUTED_VALUE"""),594.2)</f>
        <v>594.20000000000005</v>
      </c>
      <c r="C1080" s="1">
        <f ca="1">IFERROR(__xludf.DUMMYFUNCTION("""COMPUTED_VALUE"""),211.26)</f>
        <v>211.26</v>
      </c>
      <c r="D1080" s="1">
        <f ca="1">IFERROR(__xludf.DUMMYFUNCTION("""COMPUTED_VALUE"""),454.27)</f>
        <v>454.27</v>
      </c>
      <c r="E1080" s="1">
        <f ca="1">IFERROR(__xludf.DUMMYFUNCTION("""COMPUTED_VALUE"""),264.88)</f>
        <v>264.88</v>
      </c>
      <c r="F1080">
        <f t="shared" ca="1" si="133"/>
        <v>6.3340446431595851E-3</v>
      </c>
      <c r="G1080">
        <f t="shared" ca="1" si="134"/>
        <v>-8.9855757862377739E-4</v>
      </c>
      <c r="H1080">
        <f t="shared" ca="1" si="135"/>
        <v>2.5158343080351918E-3</v>
      </c>
      <c r="I1080">
        <f t="shared" ca="1" si="136"/>
        <v>-1.0016444909553023E-2</v>
      </c>
      <c r="O1080">
        <f t="shared" ca="1" si="137"/>
        <v>1.5793530553119066</v>
      </c>
      <c r="P1080">
        <f t="shared" ca="1" si="138"/>
        <v>1.6109501296324553</v>
      </c>
      <c r="Q1080">
        <f t="shared" ca="1" si="139"/>
        <v>1.8955560191946605</v>
      </c>
      <c r="R1080">
        <f t="shared" ca="1" si="140"/>
        <v>2.0435118037339941</v>
      </c>
    </row>
    <row r="1081" spans="1:18" x14ac:dyDescent="0.3">
      <c r="A1081" s="2">
        <f ca="1">IFERROR(__xludf.DUMMYFUNCTION("""COMPUTED_VALUE"""),45796.6666666666)</f>
        <v>45796.666666666599</v>
      </c>
      <c r="B1081" s="1">
        <f ca="1">IFERROR(__xludf.DUMMYFUNCTION("""COMPUTED_VALUE"""),594.85)</f>
        <v>594.85</v>
      </c>
      <c r="C1081" s="1">
        <f ca="1">IFERROR(__xludf.DUMMYFUNCTION("""COMPUTED_VALUE"""),208.78)</f>
        <v>208.78</v>
      </c>
      <c r="D1081" s="1">
        <f ca="1">IFERROR(__xludf.DUMMYFUNCTION("""COMPUTED_VALUE"""),458.87)</f>
        <v>458.87</v>
      </c>
      <c r="E1081" s="1">
        <f ca="1">IFERROR(__xludf.DUMMYFUNCTION("""COMPUTED_VALUE"""),265.68)</f>
        <v>265.68</v>
      </c>
      <c r="F1081">
        <f t="shared" ca="1" si="133"/>
        <v>1.0939077751598405E-3</v>
      </c>
      <c r="G1081">
        <f t="shared" ca="1" si="134"/>
        <v>-1.1739089273880478E-2</v>
      </c>
      <c r="H1081">
        <f t="shared" ca="1" si="135"/>
        <v>1.0126136438681892E-2</v>
      </c>
      <c r="I1081">
        <f t="shared" ca="1" si="136"/>
        <v>3.0202355783751564E-3</v>
      </c>
      <c r="O1081">
        <f t="shared" ca="1" si="137"/>
        <v>1.581080721898835</v>
      </c>
      <c r="P1081">
        <f t="shared" ca="1" si="138"/>
        <v>1.5920390422449306</v>
      </c>
      <c r="Q1081">
        <f t="shared" ca="1" si="139"/>
        <v>1.9147506780721906</v>
      </c>
      <c r="R1081">
        <f t="shared" ca="1" si="140"/>
        <v>2.049683690788461</v>
      </c>
    </row>
    <row r="1082" spans="1:18" x14ac:dyDescent="0.3">
      <c r="A1082" s="2">
        <f ca="1">IFERROR(__xludf.DUMMYFUNCTION("""COMPUTED_VALUE"""),45797.6666666666)</f>
        <v>45797.666666666599</v>
      </c>
      <c r="B1082" s="1">
        <f ca="1">IFERROR(__xludf.DUMMYFUNCTION("""COMPUTED_VALUE"""),592.85)</f>
        <v>592.85</v>
      </c>
      <c r="C1082" s="1">
        <f ca="1">IFERROR(__xludf.DUMMYFUNCTION("""COMPUTED_VALUE"""),206.86)</f>
        <v>206.86</v>
      </c>
      <c r="D1082" s="1">
        <f ca="1">IFERROR(__xludf.DUMMYFUNCTION("""COMPUTED_VALUE"""),458.17)</f>
        <v>458.17</v>
      </c>
      <c r="E1082" s="1">
        <f ca="1">IFERROR(__xludf.DUMMYFUNCTION("""COMPUTED_VALUE"""),261.04)</f>
        <v>261.04000000000002</v>
      </c>
      <c r="F1082">
        <f t="shared" ca="1" si="133"/>
        <v>-3.3621921492813312E-3</v>
      </c>
      <c r="G1082">
        <f t="shared" ca="1" si="134"/>
        <v>-9.1962831688858493E-3</v>
      </c>
      <c r="H1082">
        <f t="shared" ca="1" si="135"/>
        <v>-1.5254865212369268E-3</v>
      </c>
      <c r="I1082">
        <f t="shared" ca="1" si="136"/>
        <v>-1.7464619090635299E-2</v>
      </c>
      <c r="O1082">
        <f t="shared" ca="1" si="137"/>
        <v>1.5757648247082867</v>
      </c>
      <c r="P1082">
        <f t="shared" ca="1" si="138"/>
        <v>1.5773982003965243</v>
      </c>
      <c r="Q1082">
        <f t="shared" ca="1" si="139"/>
        <v>1.9118297517212621</v>
      </c>
      <c r="R1082">
        <f t="shared" ca="1" si="140"/>
        <v>2.0138867458725529</v>
      </c>
    </row>
    <row r="1083" spans="1:18" x14ac:dyDescent="0.3">
      <c r="A1083" s="2">
        <f ca="1">IFERROR(__xludf.DUMMYFUNCTION("""COMPUTED_VALUE"""),45798.6666666666)</f>
        <v>45798.666666666599</v>
      </c>
      <c r="B1083" s="1">
        <f ca="1">IFERROR(__xludf.DUMMYFUNCTION("""COMPUTED_VALUE"""),582.86)</f>
        <v>582.86</v>
      </c>
      <c r="C1083" s="1">
        <f ca="1">IFERROR(__xludf.DUMMYFUNCTION("""COMPUTED_VALUE"""),202.09)</f>
        <v>202.09</v>
      </c>
      <c r="D1083" s="1">
        <f ca="1">IFERROR(__xludf.DUMMYFUNCTION("""COMPUTED_VALUE"""),452.57)</f>
        <v>452.57</v>
      </c>
      <c r="E1083" s="1">
        <f ca="1">IFERROR(__xludf.DUMMYFUNCTION("""COMPUTED_VALUE"""),261.04)</f>
        <v>261.04000000000002</v>
      </c>
      <c r="F1083">
        <f t="shared" ca="1" si="133"/>
        <v>-1.6850805431390753E-2</v>
      </c>
      <c r="G1083">
        <f t="shared" ca="1" si="134"/>
        <v>-2.3059073769699363E-2</v>
      </c>
      <c r="H1083">
        <f t="shared" ca="1" si="135"/>
        <v>-1.2222537486086E-2</v>
      </c>
      <c r="I1083">
        <f t="shared" ca="1" si="136"/>
        <v>0</v>
      </c>
      <c r="O1083">
        <f t="shared" ca="1" si="137"/>
        <v>1.5492119182414978</v>
      </c>
      <c r="P1083">
        <f t="shared" ca="1" si="138"/>
        <v>1.5410248589293898</v>
      </c>
      <c r="Q1083">
        <f t="shared" ca="1" si="139"/>
        <v>1.8884623409138344</v>
      </c>
      <c r="R1083">
        <f t="shared" ca="1" si="140"/>
        <v>2.0138867458725529</v>
      </c>
    </row>
    <row r="1084" spans="1:18" x14ac:dyDescent="0.3">
      <c r="A1084" s="2">
        <f ca="1">IFERROR(__xludf.DUMMYFUNCTION("""COMPUTED_VALUE"""),45799.6666666666)</f>
        <v>45799.666666666599</v>
      </c>
      <c r="B1084" s="1">
        <f ca="1">IFERROR(__xludf.DUMMYFUNCTION("""COMPUTED_VALUE"""),582.86)</f>
        <v>582.86</v>
      </c>
      <c r="C1084" s="1">
        <f ca="1">IFERROR(__xludf.DUMMYFUNCTION("""COMPUTED_VALUE"""),202.09)</f>
        <v>202.09</v>
      </c>
      <c r="D1084" s="1">
        <f ca="1">IFERROR(__xludf.DUMMYFUNCTION("""COMPUTED_VALUE"""),454.86)</f>
        <v>454.86</v>
      </c>
      <c r="E1084" s="1">
        <f ca="1">IFERROR(__xludf.DUMMYFUNCTION("""COMPUTED_VALUE"""),260.71)</f>
        <v>260.70999999999998</v>
      </c>
      <c r="F1084">
        <f t="shared" ca="1" si="133"/>
        <v>0</v>
      </c>
      <c r="G1084">
        <f t="shared" ca="1" si="134"/>
        <v>0</v>
      </c>
      <c r="H1084">
        <f t="shared" ca="1" si="135"/>
        <v>5.0599907196677207E-3</v>
      </c>
      <c r="I1084">
        <f t="shared" ca="1" si="136"/>
        <v>-1.26417407293917E-3</v>
      </c>
      <c r="O1084">
        <f t="shared" ca="1" si="137"/>
        <v>1.5492119182414978</v>
      </c>
      <c r="P1084">
        <f t="shared" ca="1" si="138"/>
        <v>1.5410248589293898</v>
      </c>
      <c r="Q1084">
        <f t="shared" ca="1" si="139"/>
        <v>1.8980179428333004</v>
      </c>
      <c r="R1084">
        <f t="shared" ca="1" si="140"/>
        <v>2.0113408424625847</v>
      </c>
    </row>
    <row r="1085" spans="1:18" x14ac:dyDescent="0.3">
      <c r="A1085" s="2">
        <f ca="1">IFERROR(__xludf.DUMMYFUNCTION("""COMPUTED_VALUE"""),45800.6666666666)</f>
        <v>45800.666666666599</v>
      </c>
      <c r="B1085" s="1">
        <f ca="1">IFERROR(__xludf.DUMMYFUNCTION("""COMPUTED_VALUE"""),579.11)</f>
        <v>579.11</v>
      </c>
      <c r="C1085" s="1">
        <f ca="1">IFERROR(__xludf.DUMMYFUNCTION("""COMPUTED_VALUE"""),195.27)</f>
        <v>195.27</v>
      </c>
      <c r="D1085" s="1">
        <f ca="1">IFERROR(__xludf.DUMMYFUNCTION("""COMPUTED_VALUE"""),450.18)</f>
        <v>450.18</v>
      </c>
      <c r="E1085" s="1">
        <f ca="1">IFERROR(__xludf.DUMMYFUNCTION("""COMPUTED_VALUE"""),265.29)</f>
        <v>265.29000000000002</v>
      </c>
      <c r="F1085">
        <f t="shared" ca="1" si="133"/>
        <v>-6.4337919912157288E-3</v>
      </c>
      <c r="G1085">
        <f t="shared" ca="1" si="134"/>
        <v>-3.374734029392841E-2</v>
      </c>
      <c r="H1085">
        <f t="shared" ca="1" si="135"/>
        <v>-1.0288880094974293E-2</v>
      </c>
      <c r="I1085">
        <f t="shared" ca="1" si="136"/>
        <v>1.7567412067047837E-2</v>
      </c>
      <c r="O1085">
        <f t="shared" ca="1" si="137"/>
        <v>1.5392446110092197</v>
      </c>
      <c r="P1085">
        <f t="shared" ca="1" si="138"/>
        <v>1.4890193686136965</v>
      </c>
      <c r="Q1085">
        <f t="shared" ca="1" si="139"/>
        <v>1.8784894638013787</v>
      </c>
      <c r="R1085">
        <f t="shared" ca="1" si="140"/>
        <v>2.0466748958494083</v>
      </c>
    </row>
    <row r="1086" spans="1:18" x14ac:dyDescent="0.3">
      <c r="A1086" s="2">
        <f ca="1">IFERROR(__xludf.DUMMYFUNCTION("""COMPUTED_VALUE"""),45804.6666666666)</f>
        <v>45804.666666666599</v>
      </c>
      <c r="B1086" s="1">
        <f ca="1">IFERROR(__xludf.DUMMYFUNCTION("""COMPUTED_VALUE"""),591.15)</f>
        <v>591.15</v>
      </c>
      <c r="C1086" s="1">
        <f ca="1">IFERROR(__xludf.DUMMYFUNCTION("""COMPUTED_VALUE"""),200.21)</f>
        <v>200.21</v>
      </c>
      <c r="D1086" s="1">
        <f ca="1">IFERROR(__xludf.DUMMYFUNCTION("""COMPUTED_VALUE"""),460.69)</f>
        <v>460.69</v>
      </c>
      <c r="E1086" s="1">
        <f ca="1">IFERROR(__xludf.DUMMYFUNCTION("""COMPUTED_VALUE"""),263.49)</f>
        <v>263.49</v>
      </c>
      <c r="F1086">
        <f t="shared" ca="1" si="133"/>
        <v>2.079052338933875E-2</v>
      </c>
      <c r="G1086">
        <f t="shared" ca="1" si="134"/>
        <v>2.5298304911148654E-2</v>
      </c>
      <c r="H1086">
        <f t="shared" ca="1" si="135"/>
        <v>2.3346217068728043E-2</v>
      </c>
      <c r="I1086">
        <f t="shared" ca="1" si="136"/>
        <v>-6.7850277055298402E-3</v>
      </c>
      <c r="O1086">
        <f t="shared" ca="1" si="137"/>
        <v>1.5712463120963207</v>
      </c>
      <c r="P1086">
        <f t="shared" ca="1" si="138"/>
        <v>1.5266890346194919</v>
      </c>
      <c r="Q1086">
        <f t="shared" ca="1" si="139"/>
        <v>1.9223450865846041</v>
      </c>
      <c r="R1086">
        <f t="shared" ca="1" si="140"/>
        <v>2.0327881499768576</v>
      </c>
    </row>
    <row r="1087" spans="1:18" x14ac:dyDescent="0.3">
      <c r="A1087" s="2">
        <f ca="1">IFERROR(__xludf.DUMMYFUNCTION("""COMPUTED_VALUE"""),45805.6666666666)</f>
        <v>45805.666666666599</v>
      </c>
      <c r="B1087" s="1">
        <f ca="1">IFERROR(__xludf.DUMMYFUNCTION("""COMPUTED_VALUE"""),587.73)</f>
        <v>587.73</v>
      </c>
      <c r="C1087" s="1">
        <f ca="1">IFERROR(__xludf.DUMMYFUNCTION("""COMPUTED_VALUE"""),200.42)</f>
        <v>200.42</v>
      </c>
      <c r="D1087" s="1">
        <f ca="1">IFERROR(__xludf.DUMMYFUNCTION("""COMPUTED_VALUE"""),457.36)</f>
        <v>457.36</v>
      </c>
      <c r="E1087" s="1">
        <f ca="1">IFERROR(__xludf.DUMMYFUNCTION("""COMPUTED_VALUE"""),264.37)</f>
        <v>264.37</v>
      </c>
      <c r="F1087">
        <f t="shared" ca="1" si="133"/>
        <v>-5.7853336716568709E-3</v>
      </c>
      <c r="G1087">
        <f t="shared" ca="1" si="134"/>
        <v>1.0488986564106664E-3</v>
      </c>
      <c r="H1087">
        <f t="shared" ca="1" si="135"/>
        <v>-7.2282880027784062E-3</v>
      </c>
      <c r="I1087">
        <f t="shared" ca="1" si="136"/>
        <v>3.3397851910888284E-3</v>
      </c>
      <c r="O1087">
        <f t="shared" ca="1" si="137"/>
        <v>1.5621561279004832</v>
      </c>
      <c r="P1087">
        <f t="shared" ca="1" si="138"/>
        <v>1.5282903766966611</v>
      </c>
      <c r="Q1087">
        <f t="shared" ca="1" si="139"/>
        <v>1.9084498226580446</v>
      </c>
      <c r="R1087">
        <f t="shared" ca="1" si="140"/>
        <v>2.039577225736771</v>
      </c>
    </row>
    <row r="1088" spans="1:18" x14ac:dyDescent="0.3">
      <c r="A1088" s="2">
        <f ca="1">IFERROR(__xludf.DUMMYFUNCTION("""COMPUTED_VALUE"""),45806.6666666666)</f>
        <v>45806.666666666599</v>
      </c>
      <c r="B1088" s="1">
        <f ca="1">IFERROR(__xludf.DUMMYFUNCTION("""COMPUTED_VALUE"""),590.05)</f>
        <v>590.04999999999995</v>
      </c>
      <c r="C1088" s="1">
        <f ca="1">IFERROR(__xludf.DUMMYFUNCTION("""COMPUTED_VALUE"""),199.95)</f>
        <v>199.95</v>
      </c>
      <c r="D1088" s="1">
        <f ca="1">IFERROR(__xludf.DUMMYFUNCTION("""COMPUTED_VALUE"""),458.68)</f>
        <v>458.68</v>
      </c>
      <c r="E1088" s="1">
        <f ca="1">IFERROR(__xludf.DUMMYFUNCTION("""COMPUTED_VALUE"""),264)</f>
        <v>264</v>
      </c>
      <c r="F1088">
        <f t="shared" ca="1" si="133"/>
        <v>3.9473908087045689E-3</v>
      </c>
      <c r="G1088">
        <f t="shared" ca="1" si="134"/>
        <v>-2.3450753417822517E-3</v>
      </c>
      <c r="H1088">
        <f t="shared" ca="1" si="135"/>
        <v>2.8861290886828608E-3</v>
      </c>
      <c r="I1088">
        <f t="shared" ca="1" si="136"/>
        <v>-1.3995536558611208E-3</v>
      </c>
      <c r="O1088">
        <f t="shared" ca="1" si="137"/>
        <v>1.5683225686415192</v>
      </c>
      <c r="P1088">
        <f t="shared" ca="1" si="138"/>
        <v>1.5247064206191867</v>
      </c>
      <c r="Q1088">
        <f t="shared" ca="1" si="139"/>
        <v>1.9139578552055097</v>
      </c>
      <c r="R1088">
        <f t="shared" ca="1" si="140"/>
        <v>2.0367227279740803</v>
      </c>
    </row>
    <row r="1089" spans="1:18" x14ac:dyDescent="0.3">
      <c r="A1089" s="2">
        <f ca="1">IFERROR(__xludf.DUMMYFUNCTION("""COMPUTED_VALUE"""),45807.6666666666)</f>
        <v>45807.666666666599</v>
      </c>
      <c r="B1089" s="1">
        <f ca="1">IFERROR(__xludf.DUMMYFUNCTION("""COMPUTED_VALUE"""),589.39)</f>
        <v>589.39</v>
      </c>
      <c r="C1089" s="1">
        <f ca="1">IFERROR(__xludf.DUMMYFUNCTION("""COMPUTED_VALUE"""),200.85)</f>
        <v>200.85</v>
      </c>
      <c r="D1089" s="1">
        <f ca="1">IFERROR(__xludf.DUMMYFUNCTION("""COMPUTED_VALUE"""),460.36)</f>
        <v>460.36</v>
      </c>
      <c r="E1089" s="1">
        <f ca="1">IFERROR(__xludf.DUMMYFUNCTION("""COMPUTED_VALUE"""),264.66)</f>
        <v>264.66000000000003</v>
      </c>
      <c r="F1089">
        <f t="shared" ca="1" si="133"/>
        <v>-1.1185492754850746E-3</v>
      </c>
      <c r="G1089">
        <f t="shared" ca="1" si="134"/>
        <v>4.5011252813203584E-3</v>
      </c>
      <c r="H1089">
        <f t="shared" ca="1" si="135"/>
        <v>3.66268422429582E-3</v>
      </c>
      <c r="I1089">
        <f t="shared" ca="1" si="136"/>
        <v>2.5000000000000946E-3</v>
      </c>
      <c r="O1089">
        <f t="shared" ca="1" si="137"/>
        <v>1.5665683225686384</v>
      </c>
      <c r="P1089">
        <f t="shared" ca="1" si="138"/>
        <v>1.5315693152356271</v>
      </c>
      <c r="Q1089">
        <f t="shared" ca="1" si="139"/>
        <v>1.9209680784477376</v>
      </c>
      <c r="R1089">
        <f t="shared" ca="1" si="140"/>
        <v>2.0418145347940158</v>
      </c>
    </row>
    <row r="1090" spans="1:18" x14ac:dyDescent="0.3">
      <c r="A1090" s="2">
        <f ca="1">IFERROR(__xludf.DUMMYFUNCTION("""COMPUTED_VALUE"""),45810.6666666666)</f>
        <v>45810.666666666599</v>
      </c>
      <c r="B1090" s="1">
        <f ca="1">IFERROR(__xludf.DUMMYFUNCTION("""COMPUTED_VALUE"""),592.71)</f>
        <v>592.71</v>
      </c>
      <c r="C1090" s="1">
        <f ca="1">IFERROR(__xludf.DUMMYFUNCTION("""COMPUTED_VALUE"""),201.7)</f>
        <v>201.7</v>
      </c>
      <c r="D1090" s="1">
        <f ca="1">IFERROR(__xludf.DUMMYFUNCTION("""COMPUTED_VALUE"""),461.97)</f>
        <v>461.97</v>
      </c>
      <c r="E1090" s="1">
        <f ca="1">IFERROR(__xludf.DUMMYFUNCTION("""COMPUTED_VALUE"""),266.27)</f>
        <v>266.27</v>
      </c>
      <c r="F1090">
        <f t="shared" ca="1" si="133"/>
        <v>5.6329425338062233E-3</v>
      </c>
      <c r="G1090">
        <f t="shared" ca="1" si="134"/>
        <v>4.2320139407517766E-3</v>
      </c>
      <c r="H1090">
        <f t="shared" ca="1" si="135"/>
        <v>3.4972630115562031E-3</v>
      </c>
      <c r="I1090">
        <f t="shared" ca="1" si="136"/>
        <v>6.083276656842578E-3</v>
      </c>
      <c r="O1090">
        <f t="shared" ca="1" si="137"/>
        <v>1.5753927119049487</v>
      </c>
      <c r="P1090">
        <f t="shared" ca="1" si="138"/>
        <v>1.5380509379289318</v>
      </c>
      <c r="Q1090">
        <f t="shared" ca="1" si="139"/>
        <v>1.927686209054873</v>
      </c>
      <c r="R1090">
        <f t="shared" ca="1" si="140"/>
        <v>2.0542354574911301</v>
      </c>
    </row>
    <row r="1091" spans="1:18" x14ac:dyDescent="0.3">
      <c r="A1091" s="2">
        <f ca="1">IFERROR(__xludf.DUMMYFUNCTION("""COMPUTED_VALUE"""),45811.6666666666)</f>
        <v>45811.666666666599</v>
      </c>
      <c r="B1091" s="1">
        <f ca="1">IFERROR(__xludf.DUMMYFUNCTION("""COMPUTED_VALUE"""),596.09)</f>
        <v>596.09</v>
      </c>
      <c r="C1091" s="1">
        <f ca="1">IFERROR(__xludf.DUMMYFUNCTION("""COMPUTED_VALUE"""),203.27)</f>
        <v>203.27</v>
      </c>
      <c r="D1091" s="1">
        <f ca="1">IFERROR(__xludf.DUMMYFUNCTION("""COMPUTED_VALUE"""),462.97)</f>
        <v>462.97</v>
      </c>
      <c r="E1091" s="1">
        <f ca="1">IFERROR(__xludf.DUMMYFUNCTION("""COMPUTED_VALUE"""),264.22)</f>
        <v>264.22000000000003</v>
      </c>
      <c r="F1091">
        <f t="shared" ca="1" si="133"/>
        <v>5.7026201683791321E-3</v>
      </c>
      <c r="G1091">
        <f t="shared" ca="1" si="134"/>
        <v>7.7838373822509748E-3</v>
      </c>
      <c r="H1091">
        <f t="shared" ca="1" si="135"/>
        <v>2.1646427257181202E-3</v>
      </c>
      <c r="I1091">
        <f t="shared" ca="1" si="136"/>
        <v>-7.6989521913845144E-3</v>
      </c>
      <c r="O1091">
        <f t="shared" ca="1" si="137"/>
        <v>1.5843765781569754</v>
      </c>
      <c r="P1091">
        <f t="shared" ca="1" si="138"/>
        <v>1.5500228763153892</v>
      </c>
      <c r="Q1091">
        <f t="shared" ca="1" si="139"/>
        <v>1.9318589609847705</v>
      </c>
      <c r="R1091">
        <f t="shared" ca="1" si="140"/>
        <v>2.0384199969140591</v>
      </c>
    </row>
    <row r="1092" spans="1:18" x14ac:dyDescent="0.3">
      <c r="A1092" s="2">
        <f ca="1">IFERROR(__xludf.DUMMYFUNCTION("""COMPUTED_VALUE"""),45812.6666666666)</f>
        <v>45812.666666666599</v>
      </c>
      <c r="B1092" s="1">
        <f ca="1">IFERROR(__xludf.DUMMYFUNCTION("""COMPUTED_VALUE"""),595.93)</f>
        <v>595.92999999999995</v>
      </c>
      <c r="C1092" s="1">
        <f ca="1">IFERROR(__xludf.DUMMYFUNCTION("""COMPUTED_VALUE"""),202.82)</f>
        <v>202.82</v>
      </c>
      <c r="D1092" s="1">
        <f ca="1">IFERROR(__xludf.DUMMYFUNCTION("""COMPUTED_VALUE"""),463.87)</f>
        <v>463.87</v>
      </c>
      <c r="E1092" s="1">
        <f ca="1">IFERROR(__xludf.DUMMYFUNCTION("""COMPUTED_VALUE"""),261.95)</f>
        <v>261.95</v>
      </c>
      <c r="F1092">
        <f t="shared" ref="F1092:F1155" ca="1" si="141">(B1092-B1091)/B1091</f>
        <v>-2.6841584324528483E-4</v>
      </c>
      <c r="G1092">
        <f t="shared" ref="G1092:G1155" ca="1" si="142">(C1092-C1091)/C1091</f>
        <v>-2.2138042996999903E-3</v>
      </c>
      <c r="H1092">
        <f t="shared" ref="H1092:H1155" ca="1" si="143">(D1092-D1091)/D1091</f>
        <v>1.9439704516490857E-3</v>
      </c>
      <c r="I1092">
        <f t="shared" ref="I1092:I1155" ca="1" si="144">(E1092-E1091)/E1091</f>
        <v>-8.591325410642791E-3</v>
      </c>
      <c r="O1092">
        <f t="shared" ref="O1092:O1155" ca="1" si="145">O1091*(1+F1092)</f>
        <v>1.5839513063817312</v>
      </c>
      <c r="P1092">
        <f t="shared" ref="P1092:P1155" ca="1" si="146">P1091*(1+G1092)</f>
        <v>1.5465914290071687</v>
      </c>
      <c r="Q1092">
        <f t="shared" ref="Q1092:Q1155" ca="1" si="147">Q1091*(1+H1092)</f>
        <v>1.9356144377216784</v>
      </c>
      <c r="R1092">
        <f t="shared" ref="R1092:R1155" ca="1" si="148">R1091*(1+I1092)</f>
        <v>2.0209072673970088</v>
      </c>
    </row>
    <row r="1093" spans="1:18" x14ac:dyDescent="0.3">
      <c r="A1093" s="2">
        <f ca="1">IFERROR(__xludf.DUMMYFUNCTION("""COMPUTED_VALUE"""),45813.6666666666)</f>
        <v>45813.666666666599</v>
      </c>
      <c r="B1093" s="1">
        <f ca="1">IFERROR(__xludf.DUMMYFUNCTION("""COMPUTED_VALUE"""),593.05)</f>
        <v>593.04999999999995</v>
      </c>
      <c r="C1093" s="1">
        <f ca="1">IFERROR(__xludf.DUMMYFUNCTION("""COMPUTED_VALUE"""),200.63)</f>
        <v>200.63</v>
      </c>
      <c r="D1093" s="1">
        <f ca="1">IFERROR(__xludf.DUMMYFUNCTION("""COMPUTED_VALUE"""),467.68)</f>
        <v>467.68</v>
      </c>
      <c r="E1093" s="1">
        <f ca="1">IFERROR(__xludf.DUMMYFUNCTION("""COMPUTED_VALUE"""),265.73)</f>
        <v>265.73</v>
      </c>
      <c r="F1093">
        <f t="shared" ca="1" si="141"/>
        <v>-4.8327823737687242E-3</v>
      </c>
      <c r="G1093">
        <f t="shared" ca="1" si="142"/>
        <v>-1.0797751701015669E-2</v>
      </c>
      <c r="H1093">
        <f t="shared" ca="1" si="143"/>
        <v>8.2135080949403971E-3</v>
      </c>
      <c r="I1093">
        <f t="shared" ca="1" si="144"/>
        <v>1.4430234777629431E-2</v>
      </c>
      <c r="O1093">
        <f t="shared" ca="1" si="145"/>
        <v>1.5762964144273417</v>
      </c>
      <c r="P1093">
        <f t="shared" ca="1" si="146"/>
        <v>1.5298917187738303</v>
      </c>
      <c r="Q1093">
        <f t="shared" ca="1" si="147"/>
        <v>1.9515126225745889</v>
      </c>
      <c r="R1093">
        <f t="shared" ca="1" si="148"/>
        <v>2.0500694337293655</v>
      </c>
    </row>
    <row r="1094" spans="1:18" x14ac:dyDescent="0.3">
      <c r="A1094" s="2">
        <f ca="1">IFERROR(__xludf.DUMMYFUNCTION("""COMPUTED_VALUE"""),45814.6666666666)</f>
        <v>45814.666666666599</v>
      </c>
      <c r="B1094" s="1">
        <f ca="1">IFERROR(__xludf.DUMMYFUNCTION("""COMPUTED_VALUE"""),599.14)</f>
        <v>599.14</v>
      </c>
      <c r="C1094" s="1">
        <f ca="1">IFERROR(__xludf.DUMMYFUNCTION("""COMPUTED_VALUE"""),203.92)</f>
        <v>203.92</v>
      </c>
      <c r="D1094" s="1">
        <f ca="1">IFERROR(__xludf.DUMMYFUNCTION("""COMPUTED_VALUE"""),470.38)</f>
        <v>470.38</v>
      </c>
      <c r="E1094" s="1">
        <f ca="1">IFERROR(__xludf.DUMMYFUNCTION("""COMPUTED_VALUE"""),266.74)</f>
        <v>266.74</v>
      </c>
      <c r="F1094">
        <f t="shared" ca="1" si="141"/>
        <v>1.0268948655256778E-2</v>
      </c>
      <c r="G1094">
        <f t="shared" ca="1" si="142"/>
        <v>1.6398345212580333E-2</v>
      </c>
      <c r="H1094">
        <f t="shared" ca="1" si="143"/>
        <v>5.7731782415326475E-3</v>
      </c>
      <c r="I1094">
        <f t="shared" ca="1" si="144"/>
        <v>3.8008504873367358E-3</v>
      </c>
      <c r="O1094">
        <f t="shared" ca="1" si="145"/>
        <v>1.5924833213725613</v>
      </c>
      <c r="P1094">
        <f t="shared" ca="1" si="146"/>
        <v>1.5549794113161517</v>
      </c>
      <c r="Q1094">
        <f t="shared" ca="1" si="147"/>
        <v>1.9627790527853128</v>
      </c>
      <c r="R1094">
        <f t="shared" ca="1" si="148"/>
        <v>2.0578614411356302</v>
      </c>
    </row>
    <row r="1095" spans="1:18" x14ac:dyDescent="0.3">
      <c r="A1095" s="2">
        <f ca="1">IFERROR(__xludf.DUMMYFUNCTION("""COMPUTED_VALUE"""),45817.6666666666)</f>
        <v>45817.666666666599</v>
      </c>
      <c r="B1095" s="1">
        <f ca="1">IFERROR(__xludf.DUMMYFUNCTION("""COMPUTED_VALUE"""),599.68)</f>
        <v>599.67999999999995</v>
      </c>
      <c r="C1095" s="1">
        <f ca="1">IFERROR(__xludf.DUMMYFUNCTION("""COMPUTED_VALUE"""),201.45)</f>
        <v>201.45</v>
      </c>
      <c r="D1095" s="1">
        <f ca="1">IFERROR(__xludf.DUMMYFUNCTION("""COMPUTED_VALUE"""),472.75)</f>
        <v>472.75</v>
      </c>
      <c r="E1095" s="1">
        <f ca="1">IFERROR(__xludf.DUMMYFUNCTION("""COMPUTED_VALUE"""),268.6)</f>
        <v>268.60000000000002</v>
      </c>
      <c r="F1095">
        <f t="shared" ca="1" si="141"/>
        <v>9.0129185165397675E-4</v>
      </c>
      <c r="G1095">
        <f t="shared" ca="1" si="142"/>
        <v>-1.2112593173793641E-2</v>
      </c>
      <c r="H1095">
        <f t="shared" ca="1" si="143"/>
        <v>5.0384795271907912E-3</v>
      </c>
      <c r="I1095">
        <f t="shared" ca="1" si="144"/>
        <v>6.9730824023394077E-3</v>
      </c>
      <c r="O1095">
        <f t="shared" ca="1" si="145"/>
        <v>1.5939186136140093</v>
      </c>
      <c r="P1095">
        <f t="shared" ca="1" si="146"/>
        <v>1.5361445783132539</v>
      </c>
      <c r="Q1095">
        <f t="shared" ca="1" si="147"/>
        <v>1.9726684748591705</v>
      </c>
      <c r="R1095">
        <f t="shared" ca="1" si="148"/>
        <v>2.0722110785372663</v>
      </c>
    </row>
    <row r="1096" spans="1:18" x14ac:dyDescent="0.3">
      <c r="A1096" s="2">
        <f ca="1">IFERROR(__xludf.DUMMYFUNCTION("""COMPUTED_VALUE"""),45818.6666666666)</f>
        <v>45818.666666666599</v>
      </c>
      <c r="B1096" s="1">
        <f ca="1">IFERROR(__xludf.DUMMYFUNCTION("""COMPUTED_VALUE"""),603.08)</f>
        <v>603.08000000000004</v>
      </c>
      <c r="C1096" s="1">
        <f ca="1">IFERROR(__xludf.DUMMYFUNCTION("""COMPUTED_VALUE"""),202.67)</f>
        <v>202.67</v>
      </c>
      <c r="D1096" s="1">
        <f ca="1">IFERROR(__xludf.DUMMYFUNCTION("""COMPUTED_VALUE"""),470.92)</f>
        <v>470.92</v>
      </c>
      <c r="E1096" s="1">
        <f ca="1">IFERROR(__xludf.DUMMYFUNCTION("""COMPUTED_VALUE"""),268.15)</f>
        <v>268.14999999999998</v>
      </c>
      <c r="F1096">
        <f t="shared" ca="1" si="141"/>
        <v>5.6696905016010062E-3</v>
      </c>
      <c r="G1096">
        <f t="shared" ca="1" si="142"/>
        <v>6.0560933234053062E-3</v>
      </c>
      <c r="H1096">
        <f t="shared" ca="1" si="143"/>
        <v>-3.87096774193545E-3</v>
      </c>
      <c r="I1096">
        <f t="shared" ca="1" si="144"/>
        <v>-1.6753536857782778E-3</v>
      </c>
      <c r="O1096">
        <f t="shared" ca="1" si="145"/>
        <v>1.6029556388379416</v>
      </c>
      <c r="P1096">
        <f t="shared" ca="1" si="146"/>
        <v>1.5454476132377621</v>
      </c>
      <c r="Q1096">
        <f t="shared" ca="1" si="147"/>
        <v>1.9650323388274578</v>
      </c>
      <c r="R1096">
        <f t="shared" ca="1" si="148"/>
        <v>2.0687393920691282</v>
      </c>
    </row>
    <row r="1097" spans="1:18" x14ac:dyDescent="0.3">
      <c r="A1097" s="2">
        <f ca="1">IFERROR(__xludf.DUMMYFUNCTION("""COMPUTED_VALUE"""),45819.6666666666)</f>
        <v>45819.666666666599</v>
      </c>
      <c r="B1097" s="1">
        <f ca="1">IFERROR(__xludf.DUMMYFUNCTION("""COMPUTED_VALUE"""),601.36)</f>
        <v>601.36</v>
      </c>
      <c r="C1097" s="1">
        <f ca="1">IFERROR(__xludf.DUMMYFUNCTION("""COMPUTED_VALUE"""),198.78)</f>
        <v>198.78</v>
      </c>
      <c r="D1097" s="1">
        <f ca="1">IFERROR(__xludf.DUMMYFUNCTION("""COMPUTED_VALUE"""),472.62)</f>
        <v>472.62</v>
      </c>
      <c r="E1097" s="1">
        <f ca="1">IFERROR(__xludf.DUMMYFUNCTION("""COMPUTED_VALUE"""),268.24)</f>
        <v>268.24</v>
      </c>
      <c r="F1097">
        <f t="shared" ca="1" si="141"/>
        <v>-2.8520262651721617E-3</v>
      </c>
      <c r="G1097">
        <f t="shared" ca="1" si="142"/>
        <v>-1.9193763260472622E-2</v>
      </c>
      <c r="H1097">
        <f t="shared" ca="1" si="143"/>
        <v>3.6099549817378506E-3</v>
      </c>
      <c r="I1097">
        <f t="shared" ca="1" si="144"/>
        <v>3.356330412083977E-4</v>
      </c>
      <c r="O1097">
        <f t="shared" ca="1" si="145"/>
        <v>1.5983839672540701</v>
      </c>
      <c r="P1097">
        <f t="shared" ca="1" si="146"/>
        <v>1.515784657617814</v>
      </c>
      <c r="Q1097">
        <f t="shared" ca="1" si="147"/>
        <v>1.9721260171082839</v>
      </c>
      <c r="R1097">
        <f t="shared" ca="1" si="148"/>
        <v>2.0694337293627556</v>
      </c>
    </row>
    <row r="1098" spans="1:18" x14ac:dyDescent="0.3">
      <c r="A1098" s="2">
        <f ca="1">IFERROR(__xludf.DUMMYFUNCTION("""COMPUTED_VALUE"""),45820.6666666666)</f>
        <v>45820.666666666599</v>
      </c>
      <c r="B1098" s="1">
        <f ca="1">IFERROR(__xludf.DUMMYFUNCTION("""COMPUTED_VALUE"""),603.75)</f>
        <v>603.75</v>
      </c>
      <c r="C1098" s="1">
        <f ca="1">IFERROR(__xludf.DUMMYFUNCTION("""COMPUTED_VALUE"""),199.2)</f>
        <v>199.2</v>
      </c>
      <c r="D1098" s="1">
        <f ca="1">IFERROR(__xludf.DUMMYFUNCTION("""COMPUTED_VALUE"""),478.87)</f>
        <v>478.87</v>
      </c>
      <c r="E1098" s="1">
        <f ca="1">IFERROR(__xludf.DUMMYFUNCTION("""COMPUTED_VALUE"""),264.95)</f>
        <v>264.95</v>
      </c>
      <c r="F1098">
        <f t="shared" ca="1" si="141"/>
        <v>3.9743248636423881E-3</v>
      </c>
      <c r="G1098">
        <f t="shared" ca="1" si="142"/>
        <v>2.112888620585509E-3</v>
      </c>
      <c r="H1098">
        <f t="shared" ca="1" si="143"/>
        <v>1.3224154712030808E-2</v>
      </c>
      <c r="I1098">
        <f t="shared" ca="1" si="144"/>
        <v>-1.2265135699373771E-2</v>
      </c>
      <c r="O1098">
        <f t="shared" ca="1" si="145"/>
        <v>1.6047364643967752</v>
      </c>
      <c r="P1098">
        <f t="shared" ca="1" si="146"/>
        <v>1.5189873417721527</v>
      </c>
      <c r="Q1098">
        <f t="shared" ca="1" si="147"/>
        <v>1.998205716670145</v>
      </c>
      <c r="R1098">
        <f t="shared" ca="1" si="148"/>
        <v>2.04405184385126</v>
      </c>
    </row>
    <row r="1099" spans="1:18" x14ac:dyDescent="0.3">
      <c r="A1099" s="2">
        <f ca="1">IFERROR(__xludf.DUMMYFUNCTION("""COMPUTED_VALUE"""),45821.6666666666)</f>
        <v>45821.666666666599</v>
      </c>
      <c r="B1099" s="1">
        <f ca="1">IFERROR(__xludf.DUMMYFUNCTION("""COMPUTED_VALUE"""),597)</f>
        <v>597</v>
      </c>
      <c r="C1099" s="1">
        <f ca="1">IFERROR(__xludf.DUMMYFUNCTION("""COMPUTED_VALUE"""),196.45)</f>
        <v>196.45</v>
      </c>
      <c r="D1099" s="1">
        <f ca="1">IFERROR(__xludf.DUMMYFUNCTION("""COMPUTED_VALUE"""),474.96)</f>
        <v>474.96</v>
      </c>
      <c r="E1099" s="1">
        <f ca="1">IFERROR(__xludf.DUMMYFUNCTION("""COMPUTED_VALUE"""),270.36)</f>
        <v>270.36</v>
      </c>
      <c r="F1099">
        <f t="shared" ca="1" si="141"/>
        <v>-1.1180124223602485E-2</v>
      </c>
      <c r="G1099">
        <f t="shared" ca="1" si="142"/>
        <v>-1.3805220883534136E-2</v>
      </c>
      <c r="H1099">
        <f t="shared" ca="1" si="143"/>
        <v>-8.165055234197225E-3</v>
      </c>
      <c r="I1099">
        <f t="shared" ca="1" si="144"/>
        <v>2.0418946971126724E-2</v>
      </c>
      <c r="O1099">
        <f t="shared" ca="1" si="145"/>
        <v>1.5867953113786746</v>
      </c>
      <c r="P1099">
        <f t="shared" ca="1" si="146"/>
        <v>1.4980173859996959</v>
      </c>
      <c r="Q1099">
        <f t="shared" ca="1" si="147"/>
        <v>1.9818902566242447</v>
      </c>
      <c r="R1099">
        <f t="shared" ca="1" si="148"/>
        <v>2.0857892300570926</v>
      </c>
    </row>
    <row r="1100" spans="1:18" x14ac:dyDescent="0.3">
      <c r="A1100" s="2">
        <f ca="1">IFERROR(__xludf.DUMMYFUNCTION("""COMPUTED_VALUE"""),45824.6666666666)</f>
        <v>45824.666666666599</v>
      </c>
      <c r="B1100" s="1">
        <f ca="1">IFERROR(__xludf.DUMMYFUNCTION("""COMPUTED_VALUE"""),602.68)</f>
        <v>602.67999999999995</v>
      </c>
      <c r="C1100" s="1">
        <f ca="1">IFERROR(__xludf.DUMMYFUNCTION("""COMPUTED_VALUE"""),198.42)</f>
        <v>198.42</v>
      </c>
      <c r="D1100" s="1">
        <f ca="1">IFERROR(__xludf.DUMMYFUNCTION("""COMPUTED_VALUE"""),479.14)</f>
        <v>479.14</v>
      </c>
      <c r="E1100" s="1">
        <f ca="1">IFERROR(__xludf.DUMMYFUNCTION("""COMPUTED_VALUE"""),269.52)</f>
        <v>269.52</v>
      </c>
      <c r="F1100">
        <f t="shared" ca="1" si="141"/>
        <v>9.5142378559463156E-3</v>
      </c>
      <c r="G1100">
        <f t="shared" ca="1" si="142"/>
        <v>1.0027996945787727E-2</v>
      </c>
      <c r="H1100">
        <f t="shared" ca="1" si="143"/>
        <v>8.8007411150412811E-3</v>
      </c>
      <c r="I1100">
        <f t="shared" ca="1" si="144"/>
        <v>-3.1069684864626118E-3</v>
      </c>
      <c r="O1100">
        <f t="shared" ca="1" si="145"/>
        <v>1.6018924593998316</v>
      </c>
      <c r="P1100">
        <f t="shared" ca="1" si="146"/>
        <v>1.5130394997712378</v>
      </c>
      <c r="Q1100">
        <f t="shared" ca="1" si="147"/>
        <v>1.9993323596912174</v>
      </c>
      <c r="R1100">
        <f t="shared" ca="1" si="148"/>
        <v>2.0793087486499022</v>
      </c>
    </row>
    <row r="1101" spans="1:18" x14ac:dyDescent="0.3">
      <c r="A1101" s="2">
        <f ca="1">IFERROR(__xludf.DUMMYFUNCTION("""COMPUTED_VALUE"""),45825.6666666666)</f>
        <v>45825.666666666599</v>
      </c>
      <c r="B1101" s="1">
        <f ca="1">IFERROR(__xludf.DUMMYFUNCTION("""COMPUTED_VALUE"""),597.53)</f>
        <v>597.53</v>
      </c>
      <c r="C1101" s="1">
        <f ca="1">IFERROR(__xludf.DUMMYFUNCTION("""COMPUTED_VALUE"""),195.64)</f>
        <v>195.64</v>
      </c>
      <c r="D1101" s="1">
        <f ca="1">IFERROR(__xludf.DUMMYFUNCTION("""COMPUTED_VALUE"""),478.04)</f>
        <v>478.04</v>
      </c>
      <c r="E1101" s="1">
        <f ca="1">IFERROR(__xludf.DUMMYFUNCTION("""COMPUTED_VALUE"""),273.96)</f>
        <v>273.95999999999998</v>
      </c>
      <c r="F1101">
        <f t="shared" ca="1" si="141"/>
        <v>-8.5451649299793878E-3</v>
      </c>
      <c r="G1101">
        <f t="shared" ca="1" si="142"/>
        <v>-1.4010684406813835E-2</v>
      </c>
      <c r="H1101">
        <f t="shared" ca="1" si="143"/>
        <v>-2.2957799390574069E-3</v>
      </c>
      <c r="I1101">
        <f t="shared" ca="1" si="144"/>
        <v>1.6473731077471052E-2</v>
      </c>
      <c r="O1101">
        <f t="shared" ca="1" si="145"/>
        <v>1.5882040241341697</v>
      </c>
      <c r="P1101">
        <f t="shared" ca="1" si="146"/>
        <v>1.4918407808448995</v>
      </c>
      <c r="Q1101">
        <f t="shared" ca="1" si="147"/>
        <v>1.99474233256833</v>
      </c>
      <c r="R1101">
        <f t="shared" ca="1" si="148"/>
        <v>2.1135627218021935</v>
      </c>
    </row>
    <row r="1102" spans="1:18" x14ac:dyDescent="0.3">
      <c r="A1102" s="2">
        <f ca="1">IFERROR(__xludf.DUMMYFUNCTION("""COMPUTED_VALUE"""),45826.6666666666)</f>
        <v>45826.666666666599</v>
      </c>
      <c r="B1102" s="1">
        <f ca="1">IFERROR(__xludf.DUMMYFUNCTION("""COMPUTED_VALUE"""),597.44)</f>
        <v>597.44000000000005</v>
      </c>
      <c r="C1102" s="1">
        <f ca="1">IFERROR(__xludf.DUMMYFUNCTION("""COMPUTED_VALUE"""),196.58)</f>
        <v>196.58</v>
      </c>
      <c r="D1102" s="1">
        <f ca="1">IFERROR(__xludf.DUMMYFUNCTION("""COMPUTED_VALUE"""),480.24)</f>
        <v>480.24</v>
      </c>
      <c r="E1102" s="1">
        <f ca="1">IFERROR(__xludf.DUMMYFUNCTION("""COMPUTED_VALUE"""),275)</f>
        <v>275</v>
      </c>
      <c r="F1102">
        <f t="shared" ca="1" si="141"/>
        <v>-1.5062005254952578E-4</v>
      </c>
      <c r="G1102">
        <f t="shared" ca="1" si="142"/>
        <v>4.8047434062565234E-3</v>
      </c>
      <c r="H1102">
        <f t="shared" ca="1" si="143"/>
        <v>4.6021253451593771E-3</v>
      </c>
      <c r="I1102">
        <f t="shared" ca="1" si="144"/>
        <v>3.7961746240327806E-3</v>
      </c>
      <c r="O1102">
        <f t="shared" ca="1" si="145"/>
        <v>1.5879648087605953</v>
      </c>
      <c r="P1102">
        <f t="shared" ca="1" si="146"/>
        <v>1.4990086929998487</v>
      </c>
      <c r="Q1102">
        <f t="shared" ca="1" si="147"/>
        <v>2.003922386814105</v>
      </c>
      <c r="R1102">
        <f t="shared" ca="1" si="148"/>
        <v>2.1215861749730003</v>
      </c>
    </row>
    <row r="1103" spans="1:18" x14ac:dyDescent="0.3">
      <c r="A1103" s="2">
        <f ca="1">IFERROR(__xludf.DUMMYFUNCTION("""COMPUTED_VALUE"""),45828.6666666666)</f>
        <v>45828.666666666599</v>
      </c>
      <c r="B1103" s="1">
        <f ca="1">IFERROR(__xludf.DUMMYFUNCTION("""COMPUTED_VALUE"""),594.28)</f>
        <v>594.28</v>
      </c>
      <c r="C1103" s="1">
        <f ca="1">IFERROR(__xludf.DUMMYFUNCTION("""COMPUTED_VALUE"""),201)</f>
        <v>201</v>
      </c>
      <c r="D1103" s="1">
        <f ca="1">IFERROR(__xludf.DUMMYFUNCTION("""COMPUTED_VALUE"""),477.4)</f>
        <v>477.4</v>
      </c>
      <c r="E1103" s="1">
        <f ca="1">IFERROR(__xludf.DUMMYFUNCTION("""COMPUTED_VALUE"""),278.27)</f>
        <v>278.27</v>
      </c>
      <c r="F1103">
        <f t="shared" ca="1" si="141"/>
        <v>-5.2892340653456103E-3</v>
      </c>
      <c r="G1103">
        <f t="shared" ca="1" si="142"/>
        <v>2.2484484688167602E-2</v>
      </c>
      <c r="H1103">
        <f t="shared" ca="1" si="143"/>
        <v>-5.9137098117608526E-3</v>
      </c>
      <c r="I1103">
        <f t="shared" ca="1" si="144"/>
        <v>1.1890909090909025E-2</v>
      </c>
      <c r="O1103">
        <f t="shared" ca="1" si="145"/>
        <v>1.5795656911995286</v>
      </c>
      <c r="P1103">
        <f t="shared" ca="1" si="146"/>
        <v>1.5327131310050339</v>
      </c>
      <c r="Q1103">
        <f t="shared" ca="1" si="147"/>
        <v>1.992071771333195</v>
      </c>
      <c r="R1103">
        <f t="shared" ca="1" si="148"/>
        <v>2.1468137633081334</v>
      </c>
    </row>
    <row r="1104" spans="1:18" x14ac:dyDescent="0.3">
      <c r="A1104" s="2">
        <f ca="1">IFERROR(__xludf.DUMMYFUNCTION("""COMPUTED_VALUE"""),45831.6666666666)</f>
        <v>45831.666666666599</v>
      </c>
      <c r="B1104" s="1">
        <f ca="1">IFERROR(__xludf.DUMMYFUNCTION("""COMPUTED_VALUE"""),600.15)</f>
        <v>600.15</v>
      </c>
      <c r="C1104" s="1">
        <f ca="1">IFERROR(__xludf.DUMMYFUNCTION("""COMPUTED_VALUE"""),201.5)</f>
        <v>201.5</v>
      </c>
      <c r="D1104" s="1">
        <f ca="1">IFERROR(__xludf.DUMMYFUNCTION("""COMPUTED_VALUE"""),486)</f>
        <v>486</v>
      </c>
      <c r="E1104" s="1">
        <f ca="1">IFERROR(__xludf.DUMMYFUNCTION("""COMPUTED_VALUE"""),281.26)</f>
        <v>281.26</v>
      </c>
      <c r="F1104">
        <f t="shared" ca="1" si="141"/>
        <v>9.8774988221040673E-3</v>
      </c>
      <c r="G1104">
        <f t="shared" ca="1" si="142"/>
        <v>2.4875621890547263E-3</v>
      </c>
      <c r="H1104">
        <f t="shared" ca="1" si="143"/>
        <v>1.8014243820695483E-2</v>
      </c>
      <c r="I1104">
        <f t="shared" ca="1" si="144"/>
        <v>1.0744959931002298E-2</v>
      </c>
      <c r="O1104">
        <f t="shared" ca="1" si="145"/>
        <v>1.5951678494537878</v>
      </c>
      <c r="P1104">
        <f t="shared" ca="1" si="146"/>
        <v>1.5365258502363899</v>
      </c>
      <c r="Q1104">
        <f t="shared" ca="1" si="147"/>
        <v>2.0279574379303158</v>
      </c>
      <c r="R1104">
        <f t="shared" ca="1" si="148"/>
        <v>2.1698811911742037</v>
      </c>
    </row>
    <row r="1105" spans="1:18" x14ac:dyDescent="0.3">
      <c r="A1105" s="2">
        <f ca="1">IFERROR(__xludf.DUMMYFUNCTION("""COMPUTED_VALUE"""),45832.6666666666)</f>
        <v>45832.666666666599</v>
      </c>
      <c r="B1105" s="1">
        <f ca="1">IFERROR(__xludf.DUMMYFUNCTION("""COMPUTED_VALUE"""),606.78)</f>
        <v>606.78</v>
      </c>
      <c r="C1105" s="1">
        <f ca="1">IFERROR(__xludf.DUMMYFUNCTION("""COMPUTED_VALUE"""),200.3)</f>
        <v>200.3</v>
      </c>
      <c r="D1105" s="1">
        <f ca="1">IFERROR(__xludf.DUMMYFUNCTION("""COMPUTED_VALUE"""),490.11)</f>
        <v>490.11</v>
      </c>
      <c r="E1105" s="1">
        <f ca="1">IFERROR(__xludf.DUMMYFUNCTION("""COMPUTED_VALUE"""),284.06)</f>
        <v>284.06</v>
      </c>
      <c r="F1105">
        <f t="shared" ca="1" si="141"/>
        <v>1.104723819045238E-2</v>
      </c>
      <c r="G1105">
        <f t="shared" ca="1" si="142"/>
        <v>-5.9553349875929957E-3</v>
      </c>
      <c r="H1105">
        <f t="shared" ca="1" si="143"/>
        <v>8.4567901234568182E-3</v>
      </c>
      <c r="I1105">
        <f t="shared" ca="1" si="144"/>
        <v>9.9552015928322957E-3</v>
      </c>
      <c r="O1105">
        <f t="shared" ca="1" si="145"/>
        <v>1.6127900486404552</v>
      </c>
      <c r="P1105">
        <f t="shared" ca="1" si="146"/>
        <v>1.5273753240811359</v>
      </c>
      <c r="Q1105">
        <f t="shared" ca="1" si="147"/>
        <v>2.045107448362196</v>
      </c>
      <c r="R1105">
        <f t="shared" ca="1" si="148"/>
        <v>2.1914827958648382</v>
      </c>
    </row>
    <row r="1106" spans="1:18" x14ac:dyDescent="0.3">
      <c r="A1106" s="2">
        <f ca="1">IFERROR(__xludf.DUMMYFUNCTION("""COMPUTED_VALUE"""),45833.6666666666)</f>
        <v>45833.666666666599</v>
      </c>
      <c r="B1106" s="1">
        <f ca="1">IFERROR(__xludf.DUMMYFUNCTION("""COMPUTED_VALUE"""),607.12)</f>
        <v>607.12</v>
      </c>
      <c r="C1106" s="1">
        <f ca="1">IFERROR(__xludf.DUMMYFUNCTION("""COMPUTED_VALUE"""),201.56)</f>
        <v>201.56</v>
      </c>
      <c r="D1106" s="1">
        <f ca="1">IFERROR(__xludf.DUMMYFUNCTION("""COMPUTED_VALUE"""),492.27)</f>
        <v>492.27</v>
      </c>
      <c r="E1106" s="1">
        <f ca="1">IFERROR(__xludf.DUMMYFUNCTION("""COMPUTED_VALUE"""),288.75)</f>
        <v>288.75</v>
      </c>
      <c r="F1106">
        <f t="shared" ca="1" si="141"/>
        <v>5.6033488249453156E-4</v>
      </c>
      <c r="G1106">
        <f t="shared" ca="1" si="142"/>
        <v>6.2905641537693005E-3</v>
      </c>
      <c r="H1106">
        <f t="shared" ca="1" si="143"/>
        <v>4.407173899736729E-3</v>
      </c>
      <c r="I1106">
        <f t="shared" ca="1" si="144"/>
        <v>1.6510596352883187E-2</v>
      </c>
      <c r="O1106">
        <f t="shared" ca="1" si="145"/>
        <v>1.6136937511628484</v>
      </c>
      <c r="P1106">
        <f t="shared" ca="1" si="146"/>
        <v>1.5369833765441525</v>
      </c>
      <c r="Q1106">
        <f t="shared" ca="1" si="147"/>
        <v>2.0541205925307748</v>
      </c>
      <c r="R1106">
        <f t="shared" ca="1" si="148"/>
        <v>2.2276654837216503</v>
      </c>
    </row>
    <row r="1107" spans="1:18" x14ac:dyDescent="0.3">
      <c r="A1107" s="2">
        <f ca="1">IFERROR(__xludf.DUMMYFUNCTION("""COMPUTED_VALUE"""),45834.6666666666)</f>
        <v>45834.666666666599</v>
      </c>
      <c r="B1107" s="1">
        <f ca="1">IFERROR(__xludf.DUMMYFUNCTION("""COMPUTED_VALUE"""),611.87)</f>
        <v>611.87</v>
      </c>
      <c r="C1107" s="1">
        <f ca="1">IFERROR(__xludf.DUMMYFUNCTION("""COMPUTED_VALUE"""),201)</f>
        <v>201</v>
      </c>
      <c r="D1107" s="1">
        <f ca="1">IFERROR(__xludf.DUMMYFUNCTION("""COMPUTED_VALUE"""),497.45)</f>
        <v>497.45</v>
      </c>
      <c r="E1107" s="1">
        <f ca="1">IFERROR(__xludf.DUMMYFUNCTION("""COMPUTED_VALUE"""),287.11)</f>
        <v>287.11</v>
      </c>
      <c r="F1107">
        <f t="shared" ca="1" si="141"/>
        <v>7.8238239557253918E-3</v>
      </c>
      <c r="G1107">
        <f t="shared" ca="1" si="142"/>
        <v>-2.7783290335384116E-3</v>
      </c>
      <c r="H1107">
        <f t="shared" ca="1" si="143"/>
        <v>1.0522680642736724E-2</v>
      </c>
      <c r="I1107">
        <f t="shared" ca="1" si="144"/>
        <v>-5.6796536796536326E-3</v>
      </c>
      <c r="O1107">
        <f t="shared" ca="1" si="145"/>
        <v>1.6263190069904006</v>
      </c>
      <c r="P1107">
        <f t="shared" ca="1" si="146"/>
        <v>1.5327131310050341</v>
      </c>
      <c r="Q1107">
        <f t="shared" ca="1" si="147"/>
        <v>2.0757354475276455</v>
      </c>
      <c r="R1107">
        <f t="shared" ca="1" si="148"/>
        <v>2.2150131152599934</v>
      </c>
    </row>
    <row r="1108" spans="1:18" x14ac:dyDescent="0.3">
      <c r="A1108" s="2">
        <f ca="1">IFERROR(__xludf.DUMMYFUNCTION("""COMPUTED_VALUE"""),45835.6666666666)</f>
        <v>45835.666666666599</v>
      </c>
      <c r="B1108" s="1">
        <f ca="1">IFERROR(__xludf.DUMMYFUNCTION("""COMPUTED_VALUE"""),614.91)</f>
        <v>614.91</v>
      </c>
      <c r="C1108" s="1">
        <f ca="1">IFERROR(__xludf.DUMMYFUNCTION("""COMPUTED_VALUE"""),201.08)</f>
        <v>201.08</v>
      </c>
      <c r="D1108" s="1">
        <f ca="1">IFERROR(__xludf.DUMMYFUNCTION("""COMPUTED_VALUE"""),495.94)</f>
        <v>495.94</v>
      </c>
      <c r="E1108" s="1">
        <f ca="1">IFERROR(__xludf.DUMMYFUNCTION("""COMPUTED_VALUE"""),289.91)</f>
        <v>289.91000000000003</v>
      </c>
      <c r="F1108">
        <f t="shared" ca="1" si="141"/>
        <v>4.9683756353473179E-3</v>
      </c>
      <c r="G1108">
        <f t="shared" ca="1" si="142"/>
        <v>3.9800995024881844E-4</v>
      </c>
      <c r="H1108">
        <f t="shared" ca="1" si="143"/>
        <v>-3.0354809528595657E-3</v>
      </c>
      <c r="I1108">
        <f t="shared" ca="1" si="144"/>
        <v>9.7523597227543845E-3</v>
      </c>
      <c r="O1108">
        <f t="shared" ca="1" si="145"/>
        <v>1.634399170720034</v>
      </c>
      <c r="P1108">
        <f t="shared" ca="1" si="146"/>
        <v>1.533323166082051</v>
      </c>
      <c r="Q1108">
        <f t="shared" ca="1" si="147"/>
        <v>2.0694345921134998</v>
      </c>
      <c r="R1108">
        <f t="shared" ca="1" si="148"/>
        <v>2.2366147199506279</v>
      </c>
    </row>
    <row r="1109" spans="1:18" x14ac:dyDescent="0.3">
      <c r="A1109" s="2">
        <f ca="1">IFERROR(__xludf.DUMMYFUNCTION("""COMPUTED_VALUE"""),45838.6666666666)</f>
        <v>45838.666666666599</v>
      </c>
      <c r="B1109" s="1">
        <f ca="1">IFERROR(__xludf.DUMMYFUNCTION("""COMPUTED_VALUE"""),617.85)</f>
        <v>617.85</v>
      </c>
      <c r="C1109" s="1">
        <f ca="1">IFERROR(__xludf.DUMMYFUNCTION("""COMPUTED_VALUE"""),205.17)</f>
        <v>205.17</v>
      </c>
      <c r="D1109" s="1">
        <f ca="1">IFERROR(__xludf.DUMMYFUNCTION("""COMPUTED_VALUE"""),497.41)</f>
        <v>497.41</v>
      </c>
      <c r="E1109" s="1">
        <f ca="1">IFERROR(__xludf.DUMMYFUNCTION("""COMPUTED_VALUE"""),290.41)</f>
        <v>290.41000000000003</v>
      </c>
      <c r="F1109">
        <f t="shared" ca="1" si="141"/>
        <v>4.7811874908524092E-3</v>
      </c>
      <c r="G1109">
        <f t="shared" ca="1" si="142"/>
        <v>2.0340163119156429E-2</v>
      </c>
      <c r="H1109">
        <f t="shared" ca="1" si="143"/>
        <v>2.964068234060627E-3</v>
      </c>
      <c r="I1109">
        <f t="shared" ca="1" si="144"/>
        <v>1.7246731744334448E-3</v>
      </c>
      <c r="O1109">
        <f t="shared" ca="1" si="145"/>
        <v>1.64221353959014</v>
      </c>
      <c r="P1109">
        <f t="shared" ca="1" si="146"/>
        <v>1.5645112093945412</v>
      </c>
      <c r="Q1109">
        <f t="shared" ca="1" si="147"/>
        <v>2.0755685374504496</v>
      </c>
      <c r="R1109">
        <f t="shared" ca="1" si="148"/>
        <v>2.2404721493596695</v>
      </c>
    </row>
    <row r="1110" spans="1:18" x14ac:dyDescent="0.3">
      <c r="A1110" s="2">
        <f ca="1">IFERROR(__xludf.DUMMYFUNCTION("""COMPUTED_VALUE"""),45839.6666666666)</f>
        <v>45839.666666666599</v>
      </c>
      <c r="B1110" s="1">
        <f ca="1">IFERROR(__xludf.DUMMYFUNCTION("""COMPUTED_VALUE"""),617.65)</f>
        <v>617.65</v>
      </c>
      <c r="C1110" s="1">
        <f ca="1">IFERROR(__xludf.DUMMYFUNCTION("""COMPUTED_VALUE"""),207.82)</f>
        <v>207.82</v>
      </c>
      <c r="D1110" s="1">
        <f ca="1">IFERROR(__xludf.DUMMYFUNCTION("""COMPUTED_VALUE"""),492.05)</f>
        <v>492.05</v>
      </c>
      <c r="E1110" s="1">
        <f ca="1">IFERROR(__xludf.DUMMYFUNCTION("""COMPUTED_VALUE"""),292)</f>
        <v>292</v>
      </c>
      <c r="F1110">
        <f t="shared" ca="1" si="141"/>
        <v>-3.2370316419850364E-4</v>
      </c>
      <c r="G1110">
        <f t="shared" ca="1" si="142"/>
        <v>1.2916118340888072E-2</v>
      </c>
      <c r="H1110">
        <f t="shared" ca="1" si="143"/>
        <v>-1.0775818741078814E-2</v>
      </c>
      <c r="I1110">
        <f t="shared" ca="1" si="144"/>
        <v>5.4750180778897935E-3</v>
      </c>
      <c r="O1110">
        <f t="shared" ca="1" si="145"/>
        <v>1.6416819498710851</v>
      </c>
      <c r="P1110">
        <f t="shared" ca="1" si="146"/>
        <v>1.5847186213207272</v>
      </c>
      <c r="Q1110">
        <f t="shared" ca="1" si="147"/>
        <v>2.0532025871061976</v>
      </c>
      <c r="R1110">
        <f t="shared" ca="1" si="148"/>
        <v>2.2527387748804224</v>
      </c>
    </row>
    <row r="1111" spans="1:18" x14ac:dyDescent="0.3">
      <c r="A1111" s="2">
        <f ca="1">IFERROR(__xludf.DUMMYFUNCTION("""COMPUTED_VALUE"""),45840.6666666666)</f>
        <v>45840.666666666599</v>
      </c>
      <c r="B1111" s="1">
        <f ca="1">IFERROR(__xludf.DUMMYFUNCTION("""COMPUTED_VALUE"""),620.45)</f>
        <v>620.45000000000005</v>
      </c>
      <c r="C1111" s="1">
        <f ca="1">IFERROR(__xludf.DUMMYFUNCTION("""COMPUTED_VALUE"""),212.44)</f>
        <v>212.44</v>
      </c>
      <c r="D1111" s="1">
        <f ca="1">IFERROR(__xludf.DUMMYFUNCTION("""COMPUTED_VALUE"""),491.09)</f>
        <v>491.09</v>
      </c>
      <c r="E1111" s="1">
        <f ca="1">IFERROR(__xludf.DUMMYFUNCTION("""COMPUTED_VALUE"""),296)</f>
        <v>296</v>
      </c>
      <c r="F1111">
        <f t="shared" ca="1" si="141"/>
        <v>4.5333117461346531E-3</v>
      </c>
      <c r="G1111">
        <f t="shared" ca="1" si="142"/>
        <v>2.2230776633625274E-2</v>
      </c>
      <c r="H1111">
        <f t="shared" ca="1" si="143"/>
        <v>-1.9510212376791715E-3</v>
      </c>
      <c r="I1111">
        <f t="shared" ca="1" si="144"/>
        <v>1.3698630136986301E-2</v>
      </c>
      <c r="O1111">
        <f t="shared" ca="1" si="145"/>
        <v>1.6491242059378528</v>
      </c>
      <c r="P1111">
        <f t="shared" ca="1" si="146"/>
        <v>1.6199481470184549</v>
      </c>
      <c r="Q1111">
        <f t="shared" ca="1" si="147"/>
        <v>2.0491967452534956</v>
      </c>
      <c r="R1111">
        <f t="shared" ca="1" si="148"/>
        <v>2.283598210152757</v>
      </c>
    </row>
    <row r="1112" spans="1:18" x14ac:dyDescent="0.3">
      <c r="A1112" s="2">
        <f ca="1">IFERROR(__xludf.DUMMYFUNCTION("""COMPUTED_VALUE"""),45841.5520833333)</f>
        <v>45841.552083333299</v>
      </c>
      <c r="B1112" s="1">
        <f ca="1">IFERROR(__xludf.DUMMYFUNCTION("""COMPUTED_VALUE"""),625.34)</f>
        <v>625.34</v>
      </c>
      <c r="C1112" s="1">
        <f ca="1">IFERROR(__xludf.DUMMYFUNCTION("""COMPUTED_VALUE"""),213.55)</f>
        <v>213.55</v>
      </c>
      <c r="D1112" s="1">
        <f ca="1">IFERROR(__xludf.DUMMYFUNCTION("""COMPUTED_VALUE"""),498.84)</f>
        <v>498.84</v>
      </c>
      <c r="E1112" s="1">
        <f ca="1">IFERROR(__xludf.DUMMYFUNCTION("""COMPUTED_VALUE"""),291.97)</f>
        <v>291.97000000000003</v>
      </c>
      <c r="F1112">
        <f t="shared" ca="1" si="141"/>
        <v>7.8813764203400534E-3</v>
      </c>
      <c r="G1112">
        <f t="shared" ca="1" si="142"/>
        <v>5.2250047072115125E-3</v>
      </c>
      <c r="H1112">
        <f t="shared" ca="1" si="143"/>
        <v>1.5781221364719298E-2</v>
      </c>
      <c r="I1112">
        <f t="shared" ca="1" si="144"/>
        <v>-1.3614864864864773E-2</v>
      </c>
      <c r="O1112">
        <f t="shared" ca="1" si="145"/>
        <v>1.6621215745687434</v>
      </c>
      <c r="P1112">
        <f t="shared" ca="1" si="146"/>
        <v>1.628412383712065</v>
      </c>
      <c r="Q1112">
        <f t="shared" ca="1" si="147"/>
        <v>2.0815355727102034</v>
      </c>
      <c r="R1112">
        <f t="shared" ca="1" si="148"/>
        <v>2.2525073291158804</v>
      </c>
    </row>
    <row r="1113" spans="1:18" x14ac:dyDescent="0.3">
      <c r="A1113" s="2">
        <f ca="1">IFERROR(__xludf.DUMMYFUNCTION("""COMPUTED_VALUE"""),45845.6666666666)</f>
        <v>45845.666666666599</v>
      </c>
      <c r="B1113" s="1">
        <f ca="1">IFERROR(__xludf.DUMMYFUNCTION("""COMPUTED_VALUE"""),620.68)</f>
        <v>620.67999999999995</v>
      </c>
      <c r="C1113" s="1">
        <f ca="1">IFERROR(__xludf.DUMMYFUNCTION("""COMPUTED_VALUE"""),209.95)</f>
        <v>209.95</v>
      </c>
      <c r="D1113" s="1">
        <f ca="1">IFERROR(__xludf.DUMMYFUNCTION("""COMPUTED_VALUE"""),497.72)</f>
        <v>497.72</v>
      </c>
      <c r="E1113" s="1">
        <f ca="1">IFERROR(__xludf.DUMMYFUNCTION("""COMPUTED_VALUE"""),282.78)</f>
        <v>282.77999999999997</v>
      </c>
      <c r="F1113">
        <f t="shared" ca="1" si="141"/>
        <v>-7.451946141299264E-3</v>
      </c>
      <c r="G1113">
        <f t="shared" ca="1" si="142"/>
        <v>-1.6857878716928225E-2</v>
      </c>
      <c r="H1113">
        <f t="shared" ca="1" si="143"/>
        <v>-2.2452088846121958E-3</v>
      </c>
      <c r="I1113">
        <f t="shared" ca="1" si="144"/>
        <v>-3.147583655855072E-2</v>
      </c>
      <c r="O1113">
        <f t="shared" ca="1" si="145"/>
        <v>1.6497355341147655</v>
      </c>
      <c r="P1113">
        <f t="shared" ca="1" si="146"/>
        <v>1.6009608052463029</v>
      </c>
      <c r="Q1113">
        <f t="shared" ca="1" si="147"/>
        <v>2.0768620905487181</v>
      </c>
      <c r="R1113">
        <f t="shared" ca="1" si="148"/>
        <v>2.1816077765776916</v>
      </c>
    </row>
    <row r="1114" spans="1:18" x14ac:dyDescent="0.3">
      <c r="A1114" s="2">
        <f ca="1">IFERROR(__xludf.DUMMYFUNCTION("""COMPUTED_VALUE"""),45846.6666666666)</f>
        <v>45846.666666666599</v>
      </c>
      <c r="B1114" s="1">
        <f ca="1">IFERROR(__xludf.DUMMYFUNCTION("""COMPUTED_VALUE"""),620.34)</f>
        <v>620.34</v>
      </c>
      <c r="C1114" s="1">
        <f ca="1">IFERROR(__xludf.DUMMYFUNCTION("""COMPUTED_VALUE"""),210.01)</f>
        <v>210.01</v>
      </c>
      <c r="D1114" s="1">
        <f ca="1">IFERROR(__xludf.DUMMYFUNCTION("""COMPUTED_VALUE"""),496.62)</f>
        <v>496.62</v>
      </c>
      <c r="E1114" s="1">
        <f ca="1">IFERROR(__xludf.DUMMYFUNCTION("""COMPUTED_VALUE"""),283.16)</f>
        <v>283.16000000000003</v>
      </c>
      <c r="F1114">
        <f t="shared" ca="1" si="141"/>
        <v>-5.47786298897851E-4</v>
      </c>
      <c r="G1114">
        <f t="shared" ca="1" si="142"/>
        <v>2.8578232912599322E-4</v>
      </c>
      <c r="H1114">
        <f t="shared" ca="1" si="143"/>
        <v>-2.2100779554770204E-3</v>
      </c>
      <c r="I1114">
        <f t="shared" ca="1" si="144"/>
        <v>1.3438008345712296E-3</v>
      </c>
      <c r="O1114">
        <f t="shared" ca="1" si="145"/>
        <v>1.6488318315923725</v>
      </c>
      <c r="P1114">
        <f t="shared" ca="1" si="146"/>
        <v>1.6014183315540658</v>
      </c>
      <c r="Q1114">
        <f t="shared" ca="1" si="147"/>
        <v>2.0722720634258303</v>
      </c>
      <c r="R1114">
        <f t="shared" ca="1" si="148"/>
        <v>2.1845394229285637</v>
      </c>
    </row>
    <row r="1115" spans="1:18" x14ac:dyDescent="0.3">
      <c r="A1115" s="2">
        <f ca="1">IFERROR(__xludf.DUMMYFUNCTION("""COMPUTED_VALUE"""),45847.6666666666)</f>
        <v>45847.666666666599</v>
      </c>
      <c r="B1115" s="1">
        <f ca="1">IFERROR(__xludf.DUMMYFUNCTION("""COMPUTED_VALUE"""),624.06)</f>
        <v>624.05999999999995</v>
      </c>
      <c r="C1115" s="1">
        <f ca="1">IFERROR(__xludf.DUMMYFUNCTION("""COMPUTED_VALUE"""),211.14)</f>
        <v>211.14</v>
      </c>
      <c r="D1115" s="1">
        <f ca="1">IFERROR(__xludf.DUMMYFUNCTION("""COMPUTED_VALUE"""),503.51)</f>
        <v>503.51</v>
      </c>
      <c r="E1115" s="1">
        <f ca="1">IFERROR(__xludf.DUMMYFUNCTION("""COMPUTED_VALUE"""),288.19)</f>
        <v>288.19</v>
      </c>
      <c r="F1115">
        <f t="shared" ca="1" si="141"/>
        <v>5.9967114808007118E-3</v>
      </c>
      <c r="G1115">
        <f t="shared" ca="1" si="142"/>
        <v>5.3806961573258198E-3</v>
      </c>
      <c r="H1115">
        <f t="shared" ca="1" si="143"/>
        <v>1.3873786798759587E-2</v>
      </c>
      <c r="I1115">
        <f t="shared" ca="1" si="144"/>
        <v>1.7763808447520738E-2</v>
      </c>
      <c r="O1115">
        <f t="shared" ca="1" si="145"/>
        <v>1.658719400366792</v>
      </c>
      <c r="P1115">
        <f t="shared" ca="1" si="146"/>
        <v>1.6100350770169296</v>
      </c>
      <c r="Q1115">
        <f t="shared" ca="1" si="147"/>
        <v>2.1010223242228259</v>
      </c>
      <c r="R1115">
        <f t="shared" ca="1" si="148"/>
        <v>2.2233451627835241</v>
      </c>
    </row>
    <row r="1116" spans="1:18" x14ac:dyDescent="0.3">
      <c r="A1116" s="2">
        <f ca="1">IFERROR(__xludf.DUMMYFUNCTION("""COMPUTED_VALUE"""),45848.6666666666)</f>
        <v>45848.666666666599</v>
      </c>
      <c r="B1116" s="1">
        <f ca="1">IFERROR(__xludf.DUMMYFUNCTION("""COMPUTED_VALUE"""),625.82)</f>
        <v>625.82000000000005</v>
      </c>
      <c r="C1116" s="1">
        <f ca="1">IFERROR(__xludf.DUMMYFUNCTION("""COMPUTED_VALUE"""),212.41)</f>
        <v>212.41</v>
      </c>
      <c r="D1116" s="1">
        <f ca="1">IFERROR(__xludf.DUMMYFUNCTION("""COMPUTED_VALUE"""),501.48)</f>
        <v>501.48</v>
      </c>
      <c r="E1116" s="1">
        <f ca="1">IFERROR(__xludf.DUMMYFUNCTION("""COMPUTED_VALUE"""),286.86)</f>
        <v>286.86</v>
      </c>
      <c r="F1116">
        <f t="shared" ca="1" si="141"/>
        <v>2.8202416434318892E-3</v>
      </c>
      <c r="G1116">
        <f t="shared" ca="1" si="142"/>
        <v>6.0149663730226875E-3</v>
      </c>
      <c r="H1116">
        <f t="shared" ca="1" si="143"/>
        <v>-4.0316974836646195E-3</v>
      </c>
      <c r="I1116">
        <f t="shared" ca="1" si="144"/>
        <v>-4.6150109302889901E-3</v>
      </c>
      <c r="O1116">
        <f t="shared" ca="1" si="145"/>
        <v>1.6633973898944749</v>
      </c>
      <c r="P1116">
        <f t="shared" ca="1" si="146"/>
        <v>1.6197193838645734</v>
      </c>
      <c r="Q1116">
        <f t="shared" ca="1" si="147"/>
        <v>2.0925516378051334</v>
      </c>
      <c r="R1116">
        <f t="shared" ca="1" si="148"/>
        <v>2.2130844005554731</v>
      </c>
    </row>
    <row r="1117" spans="1:18" x14ac:dyDescent="0.3">
      <c r="A1117" s="2">
        <f ca="1">IFERROR(__xludf.DUMMYFUNCTION("""COMPUTED_VALUE"""),45849.6666666666)</f>
        <v>45849.666666666599</v>
      </c>
      <c r="B1117" s="1">
        <f ca="1">IFERROR(__xludf.DUMMYFUNCTION("""COMPUTED_VALUE"""),623.62)</f>
        <v>623.62</v>
      </c>
      <c r="C1117" s="1">
        <f ca="1">IFERROR(__xludf.DUMMYFUNCTION("""COMPUTED_VALUE"""),211.16)</f>
        <v>211.16</v>
      </c>
      <c r="D1117" s="1">
        <f ca="1">IFERROR(__xludf.DUMMYFUNCTION("""COMPUTED_VALUE"""),503.32)</f>
        <v>503.32</v>
      </c>
      <c r="E1117" s="1">
        <f ca="1">IFERROR(__xludf.DUMMYFUNCTION("""COMPUTED_VALUE"""),288.7)</f>
        <v>288.7</v>
      </c>
      <c r="F1117">
        <f t="shared" ca="1" si="141"/>
        <v>-3.5153878111917887E-3</v>
      </c>
      <c r="G1117">
        <f t="shared" ca="1" si="142"/>
        <v>-5.8848453462642999E-3</v>
      </c>
      <c r="H1117">
        <f t="shared" ca="1" si="143"/>
        <v>3.6691393475312573E-3</v>
      </c>
      <c r="I1117">
        <f t="shared" ca="1" si="144"/>
        <v>6.4142787422435156E-3</v>
      </c>
      <c r="O1117">
        <f t="shared" ca="1" si="145"/>
        <v>1.6575499029848717</v>
      </c>
      <c r="P1117">
        <f t="shared" ca="1" si="146"/>
        <v>1.6101875857861838</v>
      </c>
      <c r="Q1117">
        <f t="shared" ca="1" si="147"/>
        <v>2.1002295013561452</v>
      </c>
      <c r="R1117">
        <f t="shared" ca="1" si="148"/>
        <v>2.2272797407807468</v>
      </c>
    </row>
    <row r="1118" spans="1:18" x14ac:dyDescent="0.3">
      <c r="A1118" s="2">
        <f ca="1">IFERROR(__xludf.DUMMYFUNCTION("""COMPUTED_VALUE"""),45852.6666666666)</f>
        <v>45852.666666666599</v>
      </c>
      <c r="B1118" s="1">
        <f ca="1">IFERROR(__xludf.DUMMYFUNCTION("""COMPUTED_VALUE"""),624.81)</f>
        <v>624.80999999999995</v>
      </c>
      <c r="C1118" s="1">
        <f ca="1">IFERROR(__xludf.DUMMYFUNCTION("""COMPUTED_VALUE"""),208.62)</f>
        <v>208.62</v>
      </c>
      <c r="D1118" s="1">
        <f ca="1">IFERROR(__xludf.DUMMYFUNCTION("""COMPUTED_VALUE"""),503.02)</f>
        <v>503.02</v>
      </c>
      <c r="E1118" s="1">
        <f ca="1">IFERROR(__xludf.DUMMYFUNCTION("""COMPUTED_VALUE"""),286.55)</f>
        <v>286.55</v>
      </c>
      <c r="F1118">
        <f t="shared" ca="1" si="141"/>
        <v>1.9082133350436818E-3</v>
      </c>
      <c r="G1118">
        <f t="shared" ca="1" si="142"/>
        <v>-1.202879333207043E-2</v>
      </c>
      <c r="H1118">
        <f t="shared" ca="1" si="143"/>
        <v>-5.9604227926569853E-4</v>
      </c>
      <c r="I1118">
        <f t="shared" ca="1" si="144"/>
        <v>-7.4471770003463021E-3</v>
      </c>
      <c r="O1118">
        <f t="shared" ca="1" si="145"/>
        <v>1.6607128618132478</v>
      </c>
      <c r="P1118">
        <f t="shared" ca="1" si="146"/>
        <v>1.5908189720908965</v>
      </c>
      <c r="Q1118">
        <f t="shared" ca="1" si="147"/>
        <v>2.0989776757771756</v>
      </c>
      <c r="R1118">
        <f t="shared" ca="1" si="148"/>
        <v>2.2106927943218673</v>
      </c>
    </row>
    <row r="1119" spans="1:18" x14ac:dyDescent="0.3">
      <c r="A1119" s="2">
        <f ca="1">IFERROR(__xludf.DUMMYFUNCTION("""COMPUTED_VALUE"""),45853.6666666666)</f>
        <v>45853.666666666599</v>
      </c>
      <c r="B1119" s="1">
        <f ca="1">IFERROR(__xludf.DUMMYFUNCTION("""COMPUTED_VALUE"""),622.14)</f>
        <v>622.14</v>
      </c>
      <c r="C1119" s="1">
        <f ca="1">IFERROR(__xludf.DUMMYFUNCTION("""COMPUTED_VALUE"""),209.11)</f>
        <v>209.11</v>
      </c>
      <c r="D1119" s="1">
        <f ca="1">IFERROR(__xludf.DUMMYFUNCTION("""COMPUTED_VALUE"""),505.82)</f>
        <v>505.82</v>
      </c>
      <c r="E1119" s="1">
        <f ca="1">IFERROR(__xludf.DUMMYFUNCTION("""COMPUTED_VALUE"""),285.82)</f>
        <v>285.82</v>
      </c>
      <c r="F1119">
        <f t="shared" ca="1" si="141"/>
        <v>-4.2732990829211425E-3</v>
      </c>
      <c r="G1119">
        <f t="shared" ca="1" si="142"/>
        <v>2.3487680951011845E-3</v>
      </c>
      <c r="H1119">
        <f t="shared" ca="1" si="143"/>
        <v>5.5663790704147181E-3</v>
      </c>
      <c r="I1119">
        <f t="shared" ca="1" si="144"/>
        <v>-2.5475484208690217E-3</v>
      </c>
      <c r="O1119">
        <f t="shared" ca="1" si="145"/>
        <v>1.653616139063866</v>
      </c>
      <c r="P1119">
        <f t="shared" ca="1" si="146"/>
        <v>1.5945554369376251</v>
      </c>
      <c r="Q1119">
        <f t="shared" ca="1" si="147"/>
        <v>2.1106613811808894</v>
      </c>
      <c r="R1119">
        <f t="shared" ca="1" si="148"/>
        <v>2.2050609473846663</v>
      </c>
    </row>
    <row r="1120" spans="1:18" x14ac:dyDescent="0.3">
      <c r="A1120" s="2">
        <f ca="1">IFERROR(__xludf.DUMMYFUNCTION("""COMPUTED_VALUE"""),45854.6666666666)</f>
        <v>45854.666666666599</v>
      </c>
      <c r="B1120" s="1">
        <f ca="1">IFERROR(__xludf.DUMMYFUNCTION("""COMPUTED_VALUE"""),624.22)</f>
        <v>624.22</v>
      </c>
      <c r="C1120" s="1">
        <f ca="1">IFERROR(__xludf.DUMMYFUNCTION("""COMPUTED_VALUE"""),210.16)</f>
        <v>210.16</v>
      </c>
      <c r="D1120" s="1">
        <f ca="1">IFERROR(__xludf.DUMMYFUNCTION("""COMPUTED_VALUE"""),505.62)</f>
        <v>505.62</v>
      </c>
      <c r="E1120" s="1">
        <f ca="1">IFERROR(__xludf.DUMMYFUNCTION("""COMPUTED_VALUE"""),289.9)</f>
        <v>289.89999999999998</v>
      </c>
      <c r="F1120">
        <f t="shared" ca="1" si="141"/>
        <v>3.3432989359308855E-3</v>
      </c>
      <c r="G1120">
        <f t="shared" ca="1" si="142"/>
        <v>5.0212806656782689E-3</v>
      </c>
      <c r="H1120">
        <f t="shared" ca="1" si="143"/>
        <v>-3.9539757225888386E-4</v>
      </c>
      <c r="I1120">
        <f t="shared" ca="1" si="144"/>
        <v>1.4274718354208887E-2</v>
      </c>
      <c r="O1120">
        <f t="shared" ca="1" si="145"/>
        <v>1.6591446721420364</v>
      </c>
      <c r="P1120">
        <f t="shared" ca="1" si="146"/>
        <v>1.6025621473234721</v>
      </c>
      <c r="Q1120">
        <f t="shared" ca="1" si="147"/>
        <v>2.1098268307949097</v>
      </c>
      <c r="R1120">
        <f t="shared" ca="1" si="148"/>
        <v>2.2365375713624474</v>
      </c>
    </row>
    <row r="1121" spans="1:18" x14ac:dyDescent="0.3">
      <c r="A1121" s="2">
        <f ca="1">IFERROR(__xludf.DUMMYFUNCTION("""COMPUTED_VALUE"""),45855.6666666666)</f>
        <v>45855.666666666599</v>
      </c>
      <c r="B1121" s="1">
        <f ca="1">IFERROR(__xludf.DUMMYFUNCTION("""COMPUTED_VALUE"""),628.04)</f>
        <v>628.04</v>
      </c>
      <c r="C1121" s="1">
        <f ca="1">IFERROR(__xludf.DUMMYFUNCTION("""COMPUTED_VALUE"""),210.02)</f>
        <v>210.02</v>
      </c>
      <c r="D1121" s="1">
        <f ca="1">IFERROR(__xludf.DUMMYFUNCTION("""COMPUTED_VALUE"""),511.7)</f>
        <v>511.7</v>
      </c>
      <c r="E1121" s="1">
        <f ca="1">IFERROR(__xludf.DUMMYFUNCTION("""COMPUTED_VALUE"""),291.27)</f>
        <v>291.27</v>
      </c>
      <c r="F1121">
        <f t="shared" ca="1" si="141"/>
        <v>6.1196373073594823E-3</v>
      </c>
      <c r="G1121">
        <f t="shared" ca="1" si="142"/>
        <v>-6.6615911686327735E-4</v>
      </c>
      <c r="H1121">
        <f t="shared" ca="1" si="143"/>
        <v>1.2024840789525698E-2</v>
      </c>
      <c r="I1121">
        <f t="shared" ca="1" si="144"/>
        <v>4.7257675060365803E-3</v>
      </c>
      <c r="O1121">
        <f t="shared" ca="1" si="145"/>
        <v>1.6692980357759837</v>
      </c>
      <c r="P1121">
        <f t="shared" ca="1" si="146"/>
        <v>1.6014945859386926</v>
      </c>
      <c r="Q1121">
        <f t="shared" ca="1" si="147"/>
        <v>2.1351971625286881</v>
      </c>
      <c r="R1121">
        <f t="shared" ca="1" si="148"/>
        <v>2.2471069279432219</v>
      </c>
    </row>
    <row r="1122" spans="1:18" x14ac:dyDescent="0.3">
      <c r="A1122" s="2">
        <f ca="1">IFERROR(__xludf.DUMMYFUNCTION("""COMPUTED_VALUE"""),45856.6666666666)</f>
        <v>45856.666666666599</v>
      </c>
      <c r="B1122" s="1">
        <f ca="1">IFERROR(__xludf.DUMMYFUNCTION("""COMPUTED_VALUE"""),627.58)</f>
        <v>627.58000000000004</v>
      </c>
      <c r="C1122" s="1">
        <f ca="1">IFERROR(__xludf.DUMMYFUNCTION("""COMPUTED_VALUE"""),211.18)</f>
        <v>211.18</v>
      </c>
      <c r="D1122" s="1">
        <f ca="1">IFERROR(__xludf.DUMMYFUNCTION("""COMPUTED_VALUE"""),510.05)</f>
        <v>510.05</v>
      </c>
      <c r="E1122" s="1">
        <f ca="1">IFERROR(__xludf.DUMMYFUNCTION("""COMPUTED_VALUE"""),290.97)</f>
        <v>290.97000000000003</v>
      </c>
      <c r="F1122">
        <f t="shared" ca="1" si="141"/>
        <v>-7.3243742436775161E-4</v>
      </c>
      <c r="G1122">
        <f t="shared" ca="1" si="142"/>
        <v>5.5232834968098115E-3</v>
      </c>
      <c r="H1122">
        <f t="shared" ca="1" si="143"/>
        <v>-3.2245456322063265E-3</v>
      </c>
      <c r="I1122">
        <f t="shared" ca="1" si="144"/>
        <v>-1.0299721907506938E-3</v>
      </c>
      <c r="O1122">
        <f t="shared" ca="1" si="145"/>
        <v>1.6680753794221577</v>
      </c>
      <c r="P1122">
        <f t="shared" ca="1" si="146"/>
        <v>1.610340094555438</v>
      </c>
      <c r="Q1122">
        <f t="shared" ca="1" si="147"/>
        <v>2.128312121844357</v>
      </c>
      <c r="R1122">
        <f t="shared" ca="1" si="148"/>
        <v>2.244792470297797</v>
      </c>
    </row>
    <row r="1123" spans="1:18" x14ac:dyDescent="0.3">
      <c r="A1123" s="2">
        <f ca="1">IFERROR(__xludf.DUMMYFUNCTION("""COMPUTED_VALUE"""),45859.6666666666)</f>
        <v>45859.666666666599</v>
      </c>
      <c r="B1123" s="1">
        <f ca="1">IFERROR(__xludf.DUMMYFUNCTION("""COMPUTED_VALUE"""),628.77)</f>
        <v>628.77</v>
      </c>
      <c r="C1123" s="1">
        <f ca="1">IFERROR(__xludf.DUMMYFUNCTION("""COMPUTED_VALUE"""),212.48)</f>
        <v>212.48</v>
      </c>
      <c r="D1123" s="1">
        <f ca="1">IFERROR(__xludf.DUMMYFUNCTION("""COMPUTED_VALUE"""),510.06)</f>
        <v>510.06</v>
      </c>
      <c r="E1123" s="1">
        <f ca="1">IFERROR(__xludf.DUMMYFUNCTION("""COMPUTED_VALUE"""),291.43)</f>
        <v>291.43</v>
      </c>
      <c r="F1123">
        <f t="shared" ca="1" si="141"/>
        <v>1.8961725995091316E-3</v>
      </c>
      <c r="G1123">
        <f t="shared" ca="1" si="142"/>
        <v>6.155885974050492E-3</v>
      </c>
      <c r="H1123">
        <f t="shared" ca="1" si="143"/>
        <v>1.9605920988120585E-5</v>
      </c>
      <c r="I1123">
        <f t="shared" ca="1" si="144"/>
        <v>1.5809189950853335E-3</v>
      </c>
      <c r="O1123">
        <f t="shared" ca="1" si="145"/>
        <v>1.6712383382505336</v>
      </c>
      <c r="P1123">
        <f t="shared" ca="1" si="146"/>
        <v>1.6202531645569629</v>
      </c>
      <c r="Q1123">
        <f t="shared" ca="1" si="147"/>
        <v>2.128353849363656</v>
      </c>
      <c r="R1123">
        <f t="shared" ca="1" si="148"/>
        <v>2.2483413053541152</v>
      </c>
    </row>
    <row r="1124" spans="1:18" x14ac:dyDescent="0.3">
      <c r="A1124" s="2">
        <f ca="1">IFERROR(__xludf.DUMMYFUNCTION("""COMPUTED_VALUE"""),45860.6666666666)</f>
        <v>45860.666666666599</v>
      </c>
      <c r="B1124" s="1">
        <f ca="1">IFERROR(__xludf.DUMMYFUNCTION("""COMPUTED_VALUE"""),628.86)</f>
        <v>628.86</v>
      </c>
      <c r="C1124" s="1">
        <f ca="1">IFERROR(__xludf.DUMMYFUNCTION("""COMPUTED_VALUE"""),214.4)</f>
        <v>214.4</v>
      </c>
      <c r="D1124" s="1">
        <f ca="1">IFERROR(__xludf.DUMMYFUNCTION("""COMPUTED_VALUE"""),505.27)</f>
        <v>505.27</v>
      </c>
      <c r="E1124" s="1">
        <f ca="1">IFERROR(__xludf.DUMMYFUNCTION("""COMPUTED_VALUE"""),296.76)</f>
        <v>296.76</v>
      </c>
      <c r="F1124">
        <f t="shared" ca="1" si="141"/>
        <v>1.4313660002867795E-4</v>
      </c>
      <c r="G1124">
        <f t="shared" ca="1" si="142"/>
        <v>9.0361445783133289E-3</v>
      </c>
      <c r="H1124">
        <f t="shared" ca="1" si="143"/>
        <v>-9.3910520330941858E-3</v>
      </c>
      <c r="I1124">
        <f t="shared" ca="1" si="144"/>
        <v>1.8289126033695858E-2</v>
      </c>
      <c r="O1124">
        <f t="shared" ca="1" si="145"/>
        <v>1.6714775536241082</v>
      </c>
      <c r="P1124">
        <f t="shared" ca="1" si="146"/>
        <v>1.6348940064053694</v>
      </c>
      <c r="Q1124">
        <f t="shared" ca="1" si="147"/>
        <v>2.1083663676194457</v>
      </c>
      <c r="R1124">
        <f t="shared" ca="1" si="148"/>
        <v>2.2894615028545009</v>
      </c>
    </row>
    <row r="1125" spans="1:18" x14ac:dyDescent="0.3">
      <c r="A1125" s="2">
        <f ca="1">IFERROR(__xludf.DUMMYFUNCTION("""COMPUTED_VALUE"""),45861.6666666666)</f>
        <v>45861.666666666599</v>
      </c>
      <c r="B1125" s="1">
        <f ca="1">IFERROR(__xludf.DUMMYFUNCTION("""COMPUTED_VALUE"""),634.21)</f>
        <v>634.21</v>
      </c>
      <c r="C1125" s="1">
        <f ca="1">IFERROR(__xludf.DUMMYFUNCTION("""COMPUTED_VALUE"""),214.15)</f>
        <v>214.15</v>
      </c>
      <c r="D1125" s="1">
        <f ca="1">IFERROR(__xludf.DUMMYFUNCTION("""COMPUTED_VALUE"""),505.87)</f>
        <v>505.87</v>
      </c>
      <c r="E1125" s="1">
        <f ca="1">IFERROR(__xludf.DUMMYFUNCTION("""COMPUTED_VALUE"""),296.55)</f>
        <v>296.55</v>
      </c>
      <c r="F1125">
        <f t="shared" ca="1" si="141"/>
        <v>8.5074579397640526E-3</v>
      </c>
      <c r="G1125">
        <f t="shared" ca="1" si="142"/>
        <v>-1.1660447761194029E-3</v>
      </c>
      <c r="H1125">
        <f t="shared" ca="1" si="143"/>
        <v>1.1874839194886352E-3</v>
      </c>
      <c r="I1125">
        <f t="shared" ca="1" si="144"/>
        <v>-7.0764253942572964E-4</v>
      </c>
      <c r="O1125">
        <f t="shared" ca="1" si="145"/>
        <v>1.6856975786088253</v>
      </c>
      <c r="P1125">
        <f t="shared" ca="1" si="146"/>
        <v>1.6329876467896915</v>
      </c>
      <c r="Q1125">
        <f t="shared" ca="1" si="147"/>
        <v>2.1108700187773843</v>
      </c>
      <c r="R1125">
        <f t="shared" ca="1" si="148"/>
        <v>2.2878413825027035</v>
      </c>
    </row>
    <row r="1126" spans="1:18" x14ac:dyDescent="0.3">
      <c r="A1126" s="2">
        <f ca="1">IFERROR(__xludf.DUMMYFUNCTION("""COMPUTED_VALUE"""),45862.6666666666)</f>
        <v>45862.666666666599</v>
      </c>
      <c r="B1126" s="1">
        <f ca="1">IFERROR(__xludf.DUMMYFUNCTION("""COMPUTED_VALUE"""),634.42)</f>
        <v>634.41999999999996</v>
      </c>
      <c r="C1126" s="1">
        <f ca="1">IFERROR(__xludf.DUMMYFUNCTION("""COMPUTED_VALUE"""),213.76)</f>
        <v>213.76</v>
      </c>
      <c r="D1126" s="1">
        <f ca="1">IFERROR(__xludf.DUMMYFUNCTION("""COMPUTED_VALUE"""),510.88)</f>
        <v>510.88</v>
      </c>
      <c r="E1126" s="1">
        <f ca="1">IFERROR(__xludf.DUMMYFUNCTION("""COMPUTED_VALUE"""),298.62)</f>
        <v>298.62</v>
      </c>
      <c r="F1126">
        <f t="shared" ca="1" si="141"/>
        <v>3.3112060673897082E-4</v>
      </c>
      <c r="G1126">
        <f t="shared" ca="1" si="142"/>
        <v>-1.8211533971515983E-3</v>
      </c>
      <c r="H1126">
        <f t="shared" ca="1" si="143"/>
        <v>9.9037302073655114E-3</v>
      </c>
      <c r="I1126">
        <f t="shared" ca="1" si="144"/>
        <v>6.9802731411228907E-3</v>
      </c>
      <c r="O1126">
        <f t="shared" ca="1" si="145"/>
        <v>1.6862557478138325</v>
      </c>
      <c r="P1126">
        <f t="shared" ca="1" si="146"/>
        <v>1.630013725789234</v>
      </c>
      <c r="Q1126">
        <f t="shared" ca="1" si="147"/>
        <v>2.1317755059461718</v>
      </c>
      <c r="R1126">
        <f t="shared" ca="1" si="148"/>
        <v>2.3038111402561365</v>
      </c>
    </row>
    <row r="1127" spans="1:18" x14ac:dyDescent="0.3">
      <c r="A1127" s="2">
        <f ca="1">IFERROR(__xludf.DUMMYFUNCTION("""COMPUTED_VALUE"""),45863.6666666666)</f>
        <v>45863.666666666599</v>
      </c>
      <c r="B1127" s="1">
        <f ca="1">IFERROR(__xludf.DUMMYFUNCTION("""COMPUTED_VALUE"""),637.1)</f>
        <v>637.1</v>
      </c>
      <c r="C1127" s="1">
        <f ca="1">IFERROR(__xludf.DUMMYFUNCTION("""COMPUTED_VALUE"""),213.88)</f>
        <v>213.88</v>
      </c>
      <c r="D1127" s="1">
        <f ca="1">IFERROR(__xludf.DUMMYFUNCTION("""COMPUTED_VALUE"""),513.71)</f>
        <v>513.71</v>
      </c>
      <c r="E1127" s="1">
        <f ca="1">IFERROR(__xludf.DUMMYFUNCTION("""COMPUTED_VALUE"""),298.28)</f>
        <v>298.27999999999997</v>
      </c>
      <c r="F1127">
        <f t="shared" ca="1" si="141"/>
        <v>4.2243308849028464E-3</v>
      </c>
      <c r="G1127">
        <f t="shared" ca="1" si="142"/>
        <v>5.6137724550900337E-4</v>
      </c>
      <c r="H1127">
        <f t="shared" ca="1" si="143"/>
        <v>5.5394613216411702E-3</v>
      </c>
      <c r="I1127">
        <f t="shared" ca="1" si="144"/>
        <v>-1.1385707588240299E-3</v>
      </c>
      <c r="O1127">
        <f t="shared" ca="1" si="145"/>
        <v>1.6933790500491674</v>
      </c>
      <c r="P1127">
        <f t="shared" ca="1" si="146"/>
        <v>1.6309287784047595</v>
      </c>
      <c r="Q1127">
        <f t="shared" ca="1" si="147"/>
        <v>2.1435843939077825</v>
      </c>
      <c r="R1127">
        <f t="shared" ca="1" si="148"/>
        <v>2.3011880882579878</v>
      </c>
    </row>
    <row r="1128" spans="1:18" x14ac:dyDescent="0.3">
      <c r="A1128" s="2">
        <f ca="1">IFERROR(__xludf.DUMMYFUNCTION("""COMPUTED_VALUE"""),45866.6666666666)</f>
        <v>45866.666666666599</v>
      </c>
      <c r="B1128" s="1">
        <f ca="1">IFERROR(__xludf.DUMMYFUNCTION("""COMPUTED_VALUE"""),636.94)</f>
        <v>636.94000000000005</v>
      </c>
      <c r="C1128" s="1">
        <f ca="1">IFERROR(__xludf.DUMMYFUNCTION("""COMPUTED_VALUE"""),214.05)</f>
        <v>214.05</v>
      </c>
      <c r="D1128" s="1">
        <f ca="1">IFERROR(__xludf.DUMMYFUNCTION("""COMPUTED_VALUE"""),512.5)</f>
        <v>512.5</v>
      </c>
      <c r="E1128" s="1">
        <f ca="1">IFERROR(__xludf.DUMMYFUNCTION("""COMPUTED_VALUE"""),297.04)</f>
        <v>297.04000000000002</v>
      </c>
      <c r="F1128">
        <f t="shared" ca="1" si="141"/>
        <v>-2.5113796892162638E-4</v>
      </c>
      <c r="G1128">
        <f t="shared" ca="1" si="142"/>
        <v>7.9483822704327618E-4</v>
      </c>
      <c r="H1128">
        <f t="shared" ca="1" si="143"/>
        <v>-2.3554145334917292E-3</v>
      </c>
      <c r="I1128">
        <f t="shared" ca="1" si="144"/>
        <v>-4.1571677618343584E-3</v>
      </c>
      <c r="O1128">
        <f t="shared" ca="1" si="145"/>
        <v>1.6929537782739237</v>
      </c>
      <c r="P1128">
        <f t="shared" ca="1" si="146"/>
        <v>1.6322251029434205</v>
      </c>
      <c r="Q1128">
        <f t="shared" ca="1" si="147"/>
        <v>2.1385353640726059</v>
      </c>
      <c r="R1128">
        <f t="shared" ca="1" si="148"/>
        <v>2.2916216633235642</v>
      </c>
    </row>
    <row r="1129" spans="1:18" x14ac:dyDescent="0.3">
      <c r="A1129" s="2">
        <f ca="1">IFERROR(__xludf.DUMMYFUNCTION("""COMPUTED_VALUE"""),45867.6666666666)</f>
        <v>45867.666666666599</v>
      </c>
      <c r="B1129" s="1">
        <f ca="1">IFERROR(__xludf.DUMMYFUNCTION("""COMPUTED_VALUE"""),635.26)</f>
        <v>635.26</v>
      </c>
      <c r="C1129" s="1">
        <f ca="1">IFERROR(__xludf.DUMMYFUNCTION("""COMPUTED_VALUE"""),211.27)</f>
        <v>211.27</v>
      </c>
      <c r="D1129" s="1">
        <f ca="1">IFERROR(__xludf.DUMMYFUNCTION("""COMPUTED_VALUE"""),512.57)</f>
        <v>512.57000000000005</v>
      </c>
      <c r="E1129" s="1">
        <f ca="1">IFERROR(__xludf.DUMMYFUNCTION("""COMPUTED_VALUE"""),299.63)</f>
        <v>299.63</v>
      </c>
      <c r="F1129">
        <f t="shared" ca="1" si="141"/>
        <v>-2.6376110779666273E-3</v>
      </c>
      <c r="G1129">
        <f t="shared" ca="1" si="142"/>
        <v>-1.298761971501986E-2</v>
      </c>
      <c r="H1129">
        <f t="shared" ca="1" si="143"/>
        <v>1.3658536585375614E-4</v>
      </c>
      <c r="I1129">
        <f t="shared" ca="1" si="144"/>
        <v>8.7193643953675428E-3</v>
      </c>
      <c r="O1129">
        <f t="shared" ca="1" si="145"/>
        <v>1.6884884246338629</v>
      </c>
      <c r="P1129">
        <f t="shared" ca="1" si="146"/>
        <v>1.6110263840170822</v>
      </c>
      <c r="Q1129">
        <f t="shared" ca="1" si="147"/>
        <v>2.1388274567076988</v>
      </c>
      <c r="R1129">
        <f t="shared" ca="1" si="148"/>
        <v>2.3116031476624008</v>
      </c>
    </row>
    <row r="1130" spans="1:18" x14ac:dyDescent="0.3">
      <c r="A1130" s="2">
        <f ca="1">IFERROR(__xludf.DUMMYFUNCTION("""COMPUTED_VALUE"""),45868.6666666666)</f>
        <v>45868.666666666599</v>
      </c>
      <c r="B1130" s="1">
        <f ca="1">IFERROR(__xludf.DUMMYFUNCTION("""COMPUTED_VALUE"""),634.46)</f>
        <v>634.46</v>
      </c>
      <c r="C1130" s="1">
        <f ca="1">IFERROR(__xludf.DUMMYFUNCTION("""COMPUTED_VALUE"""),209.05)</f>
        <v>209.05</v>
      </c>
      <c r="D1130" s="1">
        <f ca="1">IFERROR(__xludf.DUMMYFUNCTION("""COMPUTED_VALUE"""),513.24)</f>
        <v>513.24</v>
      </c>
      <c r="E1130" s="1">
        <f ca="1">IFERROR(__xludf.DUMMYFUNCTION("""COMPUTED_VALUE"""),296.24)</f>
        <v>296.24</v>
      </c>
      <c r="F1130">
        <f t="shared" ca="1" si="141"/>
        <v>-1.2593268897773424E-3</v>
      </c>
      <c r="G1130">
        <f t="shared" ca="1" si="142"/>
        <v>-1.0507880910683007E-2</v>
      </c>
      <c r="H1130">
        <f t="shared" ca="1" si="143"/>
        <v>1.3071385371753303E-3</v>
      </c>
      <c r="I1130">
        <f t="shared" ca="1" si="144"/>
        <v>-1.1313953876447574E-2</v>
      </c>
      <c r="O1130">
        <f t="shared" ca="1" si="145"/>
        <v>1.6863620657576437</v>
      </c>
      <c r="P1130">
        <f t="shared" ca="1" si="146"/>
        <v>1.5940979106298625</v>
      </c>
      <c r="Q1130">
        <f t="shared" ca="1" si="147"/>
        <v>2.1416232005007299</v>
      </c>
      <c r="R1130">
        <f t="shared" ca="1" si="148"/>
        <v>2.2854497762690973</v>
      </c>
    </row>
    <row r="1131" spans="1:18" x14ac:dyDescent="0.3">
      <c r="A1131" s="2">
        <f ca="1">IFERROR(__xludf.DUMMYFUNCTION("""COMPUTED_VALUE"""),45869.6666666666)</f>
        <v>45869.666666666599</v>
      </c>
      <c r="B1131" s="1">
        <f ca="1">IFERROR(__xludf.DUMMYFUNCTION("""COMPUTED_VALUE"""),632.08)</f>
        <v>632.08000000000004</v>
      </c>
      <c r="C1131" s="1">
        <f ca="1">IFERROR(__xludf.DUMMYFUNCTION("""COMPUTED_VALUE"""),207.57)</f>
        <v>207.57</v>
      </c>
      <c r="D1131" s="1">
        <f ca="1">IFERROR(__xludf.DUMMYFUNCTION("""COMPUTED_VALUE"""),533.5)</f>
        <v>533.5</v>
      </c>
      <c r="E1131" s="1">
        <f ca="1">IFERROR(__xludf.DUMMYFUNCTION("""COMPUTED_VALUE"""),289.37)</f>
        <v>289.37</v>
      </c>
      <c r="F1131">
        <f t="shared" ca="1" si="141"/>
        <v>-3.7512215112063727E-3</v>
      </c>
      <c r="G1131">
        <f t="shared" ca="1" si="142"/>
        <v>-7.0796460176992017E-3</v>
      </c>
      <c r="H1131">
        <f t="shared" ca="1" si="143"/>
        <v>3.9474709687475629E-2</v>
      </c>
      <c r="I1131">
        <f t="shared" ca="1" si="144"/>
        <v>-2.3190656224682703E-2</v>
      </c>
      <c r="O1131">
        <f t="shared" ca="1" si="145"/>
        <v>1.6800361481008912</v>
      </c>
      <c r="P1131">
        <f t="shared" ca="1" si="146"/>
        <v>1.5828122617050493</v>
      </c>
      <c r="Q1131">
        <f t="shared" ca="1" si="147"/>
        <v>2.2261631546004588</v>
      </c>
      <c r="R1131">
        <f t="shared" ca="1" si="148"/>
        <v>2.2324486961888628</v>
      </c>
    </row>
    <row r="1132" spans="1:18" x14ac:dyDescent="0.3">
      <c r="A1132" s="2">
        <f ca="1">IFERROR(__xludf.DUMMYFUNCTION("""COMPUTED_VALUE"""),45870.6666666666)</f>
        <v>45870.666666666599</v>
      </c>
      <c r="B1132" s="1">
        <f ca="1">IFERROR(__xludf.DUMMYFUNCTION("""COMPUTED_VALUE"""),621.72)</f>
        <v>621.72</v>
      </c>
      <c r="C1132" s="1">
        <f ca="1">IFERROR(__xludf.DUMMYFUNCTION("""COMPUTED_VALUE"""),202.38)</f>
        <v>202.38</v>
      </c>
      <c r="D1132" s="1">
        <f ca="1">IFERROR(__xludf.DUMMYFUNCTION("""COMPUTED_VALUE"""),524.11)</f>
        <v>524.11</v>
      </c>
      <c r="E1132" s="1">
        <f ca="1">IFERROR(__xludf.DUMMYFUNCTION("""COMPUTED_VALUE"""),294.26)</f>
        <v>294.26</v>
      </c>
      <c r="F1132">
        <f t="shared" ca="1" si="141"/>
        <v>-1.6390330337931927E-2</v>
      </c>
      <c r="G1132">
        <f t="shared" ca="1" si="142"/>
        <v>-2.5003613238907346E-2</v>
      </c>
      <c r="H1132">
        <f t="shared" ca="1" si="143"/>
        <v>-1.7600749765698195E-2</v>
      </c>
      <c r="I1132">
        <f t="shared" ca="1" si="144"/>
        <v>1.6898780108511546E-2</v>
      </c>
      <c r="O1132">
        <f t="shared" ca="1" si="145"/>
        <v>1.6524998006538509</v>
      </c>
      <c r="P1132">
        <f t="shared" ca="1" si="146"/>
        <v>1.5432362360835761</v>
      </c>
      <c r="Q1132">
        <f t="shared" ca="1" si="147"/>
        <v>2.1869810139787189</v>
      </c>
      <c r="R1132">
        <f t="shared" ca="1" si="148"/>
        <v>2.2701743558092917</v>
      </c>
    </row>
    <row r="1133" spans="1:18" x14ac:dyDescent="0.3">
      <c r="A1133" s="2">
        <f ca="1">IFERROR(__xludf.DUMMYFUNCTION("""COMPUTED_VALUE"""),45873.6666666666)</f>
        <v>45873.666666666599</v>
      </c>
      <c r="B1133" s="1">
        <f ca="1">IFERROR(__xludf.DUMMYFUNCTION("""COMPUTED_VALUE"""),631.17)</f>
        <v>631.16999999999996</v>
      </c>
      <c r="C1133" s="1">
        <f ca="1">IFERROR(__xludf.DUMMYFUNCTION("""COMPUTED_VALUE"""),203.35)</f>
        <v>203.35</v>
      </c>
      <c r="D1133" s="1">
        <f ca="1">IFERROR(__xludf.DUMMYFUNCTION("""COMPUTED_VALUE"""),535.64)</f>
        <v>535.64</v>
      </c>
      <c r="E1133" s="1">
        <f ca="1">IFERROR(__xludf.DUMMYFUNCTION("""COMPUTED_VALUE"""),291.37)</f>
        <v>291.37</v>
      </c>
      <c r="F1133">
        <f t="shared" ca="1" si="141"/>
        <v>1.519976838448165E-2</v>
      </c>
      <c r="G1133">
        <f t="shared" ca="1" si="142"/>
        <v>4.7929637315940257E-3</v>
      </c>
      <c r="H1133">
        <f t="shared" ca="1" si="143"/>
        <v>2.1999198641506502E-2</v>
      </c>
      <c r="I1133">
        <f t="shared" ca="1" si="144"/>
        <v>-9.8212465166858786E-3</v>
      </c>
      <c r="O1133">
        <f t="shared" ca="1" si="145"/>
        <v>1.6776174148791914</v>
      </c>
      <c r="P1133">
        <f t="shared" ca="1" si="146"/>
        <v>1.5506329113924062</v>
      </c>
      <c r="Q1133">
        <f t="shared" ca="1" si="147"/>
        <v>2.23509284373044</v>
      </c>
      <c r="R1133">
        <f t="shared" ca="1" si="148"/>
        <v>2.2478784138250298</v>
      </c>
    </row>
    <row r="1134" spans="1:18" x14ac:dyDescent="0.3">
      <c r="A1134" s="2">
        <f ca="1">IFERROR(__xludf.DUMMYFUNCTION("""COMPUTED_VALUE"""),45874.6666666666)</f>
        <v>45874.666666666599</v>
      </c>
      <c r="B1134" s="1">
        <f ca="1">IFERROR(__xludf.DUMMYFUNCTION("""COMPUTED_VALUE"""),627.97)</f>
        <v>627.97</v>
      </c>
      <c r="C1134" s="1">
        <f ca="1">IFERROR(__xludf.DUMMYFUNCTION("""COMPUTED_VALUE"""),202.92)</f>
        <v>202.92</v>
      </c>
      <c r="D1134" s="1">
        <f ca="1">IFERROR(__xludf.DUMMYFUNCTION("""COMPUTED_VALUE"""),527.75)</f>
        <v>527.75</v>
      </c>
      <c r="E1134" s="1">
        <f ca="1">IFERROR(__xludf.DUMMYFUNCTION("""COMPUTED_VALUE"""),291.35)</f>
        <v>291.35000000000002</v>
      </c>
      <c r="F1134">
        <f t="shared" ca="1" si="141"/>
        <v>-5.0699494589412234E-3</v>
      </c>
      <c r="G1134">
        <f t="shared" ca="1" si="142"/>
        <v>-2.114580772067897E-3</v>
      </c>
      <c r="H1134">
        <f t="shared" ca="1" si="143"/>
        <v>-1.4730042565902447E-2</v>
      </c>
      <c r="I1134">
        <f t="shared" ca="1" si="144"/>
        <v>-6.8641246524974461E-5</v>
      </c>
      <c r="O1134">
        <f t="shared" ca="1" si="145"/>
        <v>1.6691119793743141</v>
      </c>
      <c r="P1134">
        <f t="shared" ca="1" si="146"/>
        <v>1.54735397285344</v>
      </c>
      <c r="Q1134">
        <f t="shared" ca="1" si="147"/>
        <v>2.2021698310035465</v>
      </c>
      <c r="R1134">
        <f t="shared" ca="1" si="148"/>
        <v>2.2477241166486683</v>
      </c>
    </row>
    <row r="1135" spans="1:18" x14ac:dyDescent="0.3">
      <c r="A1135" s="2">
        <f ca="1">IFERROR(__xludf.DUMMYFUNCTION("""COMPUTED_VALUE"""),45875.6666666666)</f>
        <v>45875.666666666599</v>
      </c>
      <c r="B1135" s="1">
        <f ca="1">IFERROR(__xludf.DUMMYFUNCTION("""COMPUTED_VALUE"""),632.78)</f>
        <v>632.78</v>
      </c>
      <c r="C1135" s="1">
        <f ca="1">IFERROR(__xludf.DUMMYFUNCTION("""COMPUTED_VALUE"""),213.25)</f>
        <v>213.25</v>
      </c>
      <c r="D1135" s="1">
        <f ca="1">IFERROR(__xludf.DUMMYFUNCTION("""COMPUTED_VALUE"""),524.94)</f>
        <v>524.94000000000005</v>
      </c>
      <c r="E1135" s="1">
        <f ca="1">IFERROR(__xludf.DUMMYFUNCTION("""COMPUTED_VALUE"""),286.94)</f>
        <v>286.94</v>
      </c>
      <c r="F1135">
        <f t="shared" ca="1" si="141"/>
        <v>7.6596015733234792E-3</v>
      </c>
      <c r="G1135">
        <f t="shared" ca="1" si="142"/>
        <v>5.0906761285235629E-2</v>
      </c>
      <c r="H1135">
        <f t="shared" ca="1" si="143"/>
        <v>-5.3244907626716163E-3</v>
      </c>
      <c r="I1135">
        <f t="shared" ca="1" si="144"/>
        <v>-1.513643384245761E-2</v>
      </c>
      <c r="O1135">
        <f t="shared" ca="1" si="145"/>
        <v>1.6818967121175827</v>
      </c>
      <c r="P1135">
        <f t="shared" ca="1" si="146"/>
        <v>1.6261247521732511</v>
      </c>
      <c r="Q1135">
        <f t="shared" ca="1" si="147"/>
        <v>2.1904443980805341</v>
      </c>
      <c r="R1135">
        <f t="shared" ca="1" si="148"/>
        <v>2.2137015892609191</v>
      </c>
    </row>
    <row r="1136" spans="1:18" x14ac:dyDescent="0.3">
      <c r="A1136" s="2">
        <f ca="1">IFERROR(__xludf.DUMMYFUNCTION("""COMPUTED_VALUE"""),45876.6666666666)</f>
        <v>45876.666666666599</v>
      </c>
      <c r="B1136" s="1">
        <f ca="1">IFERROR(__xludf.DUMMYFUNCTION("""COMPUTED_VALUE"""),632.25)</f>
        <v>632.25</v>
      </c>
      <c r="C1136" s="1">
        <f ca="1">IFERROR(__xludf.DUMMYFUNCTION("""COMPUTED_VALUE"""),220.03)</f>
        <v>220.03</v>
      </c>
      <c r="D1136" s="1">
        <f ca="1">IFERROR(__xludf.DUMMYFUNCTION("""COMPUTED_VALUE"""),520.84)</f>
        <v>520.84</v>
      </c>
      <c r="E1136" s="1">
        <f ca="1">IFERROR(__xludf.DUMMYFUNCTION("""COMPUTED_VALUE"""),288.76)</f>
        <v>288.76</v>
      </c>
      <c r="F1136">
        <f t="shared" ca="1" si="141"/>
        <v>-8.37573880337515E-4</v>
      </c>
      <c r="G1136">
        <f t="shared" ca="1" si="142"/>
        <v>3.1793669402110203E-2</v>
      </c>
      <c r="H1136">
        <f t="shared" ca="1" si="143"/>
        <v>-7.8104164285442571E-3</v>
      </c>
      <c r="I1136">
        <f t="shared" ca="1" si="144"/>
        <v>6.3427894333309863E-3</v>
      </c>
      <c r="O1136">
        <f t="shared" ca="1" si="145"/>
        <v>1.6804879993620874</v>
      </c>
      <c r="P1136">
        <f t="shared" ca="1" si="146"/>
        <v>1.6778252249504357</v>
      </c>
      <c r="Q1136">
        <f t="shared" ca="1" si="147"/>
        <v>2.1733361151679533</v>
      </c>
      <c r="R1136">
        <f t="shared" ca="1" si="148"/>
        <v>2.2277426323098313</v>
      </c>
    </row>
    <row r="1137" spans="1:18" x14ac:dyDescent="0.3">
      <c r="A1137" s="2">
        <f ca="1">IFERROR(__xludf.DUMMYFUNCTION("""COMPUTED_VALUE"""),45877.6666666666)</f>
        <v>45877.666666666599</v>
      </c>
      <c r="B1137" s="1">
        <f ca="1">IFERROR(__xludf.DUMMYFUNCTION("""COMPUTED_VALUE"""),637.18)</f>
        <v>637.17999999999995</v>
      </c>
      <c r="C1137" s="1">
        <f ca="1">IFERROR(__xludf.DUMMYFUNCTION("""COMPUTED_VALUE"""),229.35)</f>
        <v>229.35</v>
      </c>
      <c r="D1137" s="1">
        <f ca="1">IFERROR(__xludf.DUMMYFUNCTION("""COMPUTED_VALUE"""),522.04)</f>
        <v>522.04</v>
      </c>
      <c r="E1137" s="1">
        <f ca="1">IFERROR(__xludf.DUMMYFUNCTION("""COMPUTED_VALUE"""),289.56)</f>
        <v>289.56</v>
      </c>
      <c r="F1137">
        <f t="shared" ca="1" si="141"/>
        <v>7.7975484381177544E-3</v>
      </c>
      <c r="G1137">
        <f t="shared" ca="1" si="142"/>
        <v>4.2357860291778363E-2</v>
      </c>
      <c r="H1137">
        <f t="shared" ca="1" si="143"/>
        <v>2.3039705091773516E-3</v>
      </c>
      <c r="I1137">
        <f t="shared" ca="1" si="144"/>
        <v>2.7704668236598262E-3</v>
      </c>
      <c r="O1137">
        <f t="shared" ca="1" si="145"/>
        <v>1.693591685936789</v>
      </c>
      <c r="P1137">
        <f t="shared" ca="1" si="146"/>
        <v>1.7488943114229081</v>
      </c>
      <c r="Q1137">
        <f t="shared" ca="1" si="147"/>
        <v>2.1783434174838305</v>
      </c>
      <c r="R1137">
        <f t="shared" ca="1" si="148"/>
        <v>2.2339145193642982</v>
      </c>
    </row>
    <row r="1138" spans="1:18" x14ac:dyDescent="0.3">
      <c r="A1138" s="2">
        <f ca="1">IFERROR(__xludf.DUMMYFUNCTION("""COMPUTED_VALUE"""),45880.6666666666)</f>
        <v>45880.666666666599</v>
      </c>
      <c r="B1138" s="1">
        <f ca="1">IFERROR(__xludf.DUMMYFUNCTION("""COMPUTED_VALUE"""),635.92)</f>
        <v>635.91999999999996</v>
      </c>
      <c r="C1138" s="1">
        <f ca="1">IFERROR(__xludf.DUMMYFUNCTION("""COMPUTED_VALUE"""),227.18)</f>
        <v>227.18</v>
      </c>
      <c r="D1138" s="1">
        <f ca="1">IFERROR(__xludf.DUMMYFUNCTION("""COMPUTED_VALUE"""),521.77)</f>
        <v>521.77</v>
      </c>
      <c r="E1138" s="1">
        <f ca="1">IFERROR(__xludf.DUMMYFUNCTION("""COMPUTED_VALUE"""),292.85)</f>
        <v>292.85000000000002</v>
      </c>
      <c r="F1138">
        <f t="shared" ca="1" si="141"/>
        <v>-1.9774631972127046E-3</v>
      </c>
      <c r="G1138">
        <f t="shared" ca="1" si="142"/>
        <v>-9.4615216917374647E-3</v>
      </c>
      <c r="H1138">
        <f t="shared" ca="1" si="143"/>
        <v>-5.1720174699253284E-4</v>
      </c>
      <c r="I1138">
        <f t="shared" ca="1" si="144"/>
        <v>1.1362066583782362E-2</v>
      </c>
      <c r="O1138">
        <f t="shared" ca="1" si="145"/>
        <v>1.6902426707067435</v>
      </c>
      <c r="P1138">
        <f t="shared" ca="1" si="146"/>
        <v>1.7323471099588241</v>
      </c>
      <c r="Q1138">
        <f t="shared" ca="1" si="147"/>
        <v>2.177216774462758</v>
      </c>
      <c r="R1138">
        <f t="shared" ca="1" si="148"/>
        <v>2.2592964048757933</v>
      </c>
    </row>
    <row r="1139" spans="1:18" x14ac:dyDescent="0.3">
      <c r="A1139" s="2">
        <f ca="1">IFERROR(__xludf.DUMMYFUNCTION("""COMPUTED_VALUE"""),45881.6666666666)</f>
        <v>45881.666666666599</v>
      </c>
      <c r="B1139" s="1">
        <f ca="1">IFERROR(__xludf.DUMMYFUNCTION("""COMPUTED_VALUE"""),642.69)</f>
        <v>642.69000000000005</v>
      </c>
      <c r="C1139" s="1">
        <f ca="1">IFERROR(__xludf.DUMMYFUNCTION("""COMPUTED_VALUE"""),229.65)</f>
        <v>229.65</v>
      </c>
      <c r="D1139" s="1">
        <f ca="1">IFERROR(__xludf.DUMMYFUNCTION("""COMPUTED_VALUE"""),529.24)</f>
        <v>529.24</v>
      </c>
      <c r="E1139" s="1">
        <f ca="1">IFERROR(__xludf.DUMMYFUNCTION("""COMPUTED_VALUE"""),290.53)</f>
        <v>290.52999999999997</v>
      </c>
      <c r="F1139">
        <f t="shared" ca="1" si="141"/>
        <v>1.0645993206692817E-2</v>
      </c>
      <c r="G1139">
        <f t="shared" ca="1" si="142"/>
        <v>1.0872435953869173E-2</v>
      </c>
      <c r="H1139">
        <f t="shared" ca="1" si="143"/>
        <v>1.431665293136828E-2</v>
      </c>
      <c r="I1139">
        <f t="shared" ca="1" si="144"/>
        <v>-7.9221444425475497E-3</v>
      </c>
      <c r="O1139">
        <f t="shared" ca="1" si="145"/>
        <v>1.7082369826967501</v>
      </c>
      <c r="P1139">
        <f t="shared" ca="1" si="146"/>
        <v>1.7511819429617219</v>
      </c>
      <c r="Q1139">
        <f t="shared" ca="1" si="147"/>
        <v>2.2083872313790947</v>
      </c>
      <c r="R1139">
        <f t="shared" ca="1" si="148"/>
        <v>2.241397932417839</v>
      </c>
    </row>
    <row r="1140" spans="1:18" x14ac:dyDescent="0.3">
      <c r="A1140" s="2">
        <f ca="1">IFERROR(__xludf.DUMMYFUNCTION("""COMPUTED_VALUE"""),45882.6666666666)</f>
        <v>45882.666666666599</v>
      </c>
      <c r="B1140" s="1">
        <f ca="1">IFERROR(__xludf.DUMMYFUNCTION("""COMPUTED_VALUE"""),644.89)</f>
        <v>644.89</v>
      </c>
      <c r="C1140" s="1">
        <f ca="1">IFERROR(__xludf.DUMMYFUNCTION("""COMPUTED_VALUE"""),233.33)</f>
        <v>233.33</v>
      </c>
      <c r="D1140" s="1">
        <f ca="1">IFERROR(__xludf.DUMMYFUNCTION("""COMPUTED_VALUE"""),520.58)</f>
        <v>520.58000000000004</v>
      </c>
      <c r="E1140" s="1">
        <f ca="1">IFERROR(__xludf.DUMMYFUNCTION("""COMPUTED_VALUE"""),294.16)</f>
        <v>294.16000000000003</v>
      </c>
      <c r="F1140">
        <f t="shared" ca="1" si="141"/>
        <v>3.4231122314022804E-3</v>
      </c>
      <c r="G1140">
        <f t="shared" ca="1" si="142"/>
        <v>1.6024384933594631E-2</v>
      </c>
      <c r="H1140">
        <f t="shared" ca="1" si="143"/>
        <v>-1.6363086690348364E-2</v>
      </c>
      <c r="I1140">
        <f t="shared" ca="1" si="144"/>
        <v>1.2494406773827325E-2</v>
      </c>
      <c r="O1140">
        <f t="shared" ca="1" si="145"/>
        <v>1.7140844696063531</v>
      </c>
      <c r="P1140">
        <f t="shared" ca="1" si="146"/>
        <v>1.7792435565045006</v>
      </c>
      <c r="Q1140">
        <f t="shared" ca="1" si="147"/>
        <v>2.1722511996661802</v>
      </c>
      <c r="R1140">
        <f t="shared" ca="1" si="148"/>
        <v>2.2694028699274829</v>
      </c>
    </row>
    <row r="1141" spans="1:18" x14ac:dyDescent="0.3">
      <c r="A1141" s="2">
        <f ca="1">IFERROR(__xludf.DUMMYFUNCTION("""COMPUTED_VALUE"""),45883.6666666666)</f>
        <v>45883.666666666599</v>
      </c>
      <c r="B1141" s="1">
        <f ca="1">IFERROR(__xludf.DUMMYFUNCTION("""COMPUTED_VALUE"""),644.95)</f>
        <v>644.95000000000005</v>
      </c>
      <c r="C1141" s="1">
        <f ca="1">IFERROR(__xludf.DUMMYFUNCTION("""COMPUTED_VALUE"""),232.78)</f>
        <v>232.78</v>
      </c>
      <c r="D1141" s="1">
        <f ca="1">IFERROR(__xludf.DUMMYFUNCTION("""COMPUTED_VALUE"""),522.48)</f>
        <v>522.48</v>
      </c>
      <c r="E1141" s="1">
        <f ca="1">IFERROR(__xludf.DUMMYFUNCTION("""COMPUTED_VALUE"""),290.49)</f>
        <v>290.49</v>
      </c>
      <c r="F1141">
        <f t="shared" ca="1" si="141"/>
        <v>9.3039122951292649E-5</v>
      </c>
      <c r="G1141">
        <f t="shared" ca="1" si="142"/>
        <v>-2.3571765310933497E-3</v>
      </c>
      <c r="H1141">
        <f t="shared" ca="1" si="143"/>
        <v>3.6497752506818876E-3</v>
      </c>
      <c r="I1141">
        <f t="shared" ca="1" si="144"/>
        <v>-1.2476203426706607E-2</v>
      </c>
      <c r="O1141">
        <f t="shared" ca="1" si="145"/>
        <v>1.7142439465220696</v>
      </c>
      <c r="P1141">
        <f t="shared" ca="1" si="146"/>
        <v>1.7750495653500091</v>
      </c>
      <c r="Q1141">
        <f t="shared" ca="1" si="147"/>
        <v>2.1801794283329858</v>
      </c>
      <c r="R1141">
        <f t="shared" ca="1" si="148"/>
        <v>2.2410893380651156</v>
      </c>
    </row>
    <row r="1142" spans="1:18" x14ac:dyDescent="0.3">
      <c r="A1142" s="2">
        <f ca="1">IFERROR(__xludf.DUMMYFUNCTION("""COMPUTED_VALUE"""),45884.6666666666)</f>
        <v>45884.666666666599</v>
      </c>
      <c r="B1142" s="1">
        <f ca="1">IFERROR(__xludf.DUMMYFUNCTION("""COMPUTED_VALUE"""),643.44)</f>
        <v>643.44000000000005</v>
      </c>
      <c r="C1142" s="1">
        <f ca="1">IFERROR(__xludf.DUMMYFUNCTION("""COMPUTED_VALUE"""),231.59)</f>
        <v>231.59</v>
      </c>
      <c r="D1142" s="1">
        <f ca="1">IFERROR(__xludf.DUMMYFUNCTION("""COMPUTED_VALUE"""),520.17)</f>
        <v>520.16999999999996</v>
      </c>
      <c r="E1142" s="1">
        <f ca="1">IFERROR(__xludf.DUMMYFUNCTION("""COMPUTED_VALUE"""),291.53)</f>
        <v>291.52999999999997</v>
      </c>
      <c r="F1142">
        <f t="shared" ca="1" si="141"/>
        <v>-2.3412667648654794E-3</v>
      </c>
      <c r="G1142">
        <f t="shared" ca="1" si="142"/>
        <v>-5.1121230346249579E-3</v>
      </c>
      <c r="H1142">
        <f t="shared" ca="1" si="143"/>
        <v>-4.4212218649518813E-3</v>
      </c>
      <c r="I1142">
        <f t="shared" ca="1" si="144"/>
        <v>3.5801576646354904E-3</v>
      </c>
      <c r="O1142">
        <f t="shared" ca="1" si="145"/>
        <v>1.7102304441432057</v>
      </c>
      <c r="P1142">
        <f t="shared" ca="1" si="146"/>
        <v>1.7659752935793824</v>
      </c>
      <c r="Q1142">
        <f t="shared" ca="1" si="147"/>
        <v>2.1705403713749218</v>
      </c>
      <c r="R1142">
        <f t="shared" ca="1" si="148"/>
        <v>2.2491127912359223</v>
      </c>
    </row>
    <row r="1143" spans="1:18" x14ac:dyDescent="0.3">
      <c r="A1143" s="2">
        <f ca="1">IFERROR(__xludf.DUMMYFUNCTION("""COMPUTED_VALUE"""),45887.6666666666)</f>
        <v>45887.666666666599</v>
      </c>
      <c r="B1143" s="1">
        <f ca="1">IFERROR(__xludf.DUMMYFUNCTION("""COMPUTED_VALUE"""),643.3)</f>
        <v>643.29999999999995</v>
      </c>
      <c r="C1143" s="1">
        <f ca="1">IFERROR(__xludf.DUMMYFUNCTION("""COMPUTED_VALUE"""),230.89)</f>
        <v>230.89</v>
      </c>
      <c r="D1143" s="1">
        <f ca="1">IFERROR(__xludf.DUMMYFUNCTION("""COMPUTED_VALUE"""),517.1)</f>
        <v>517.1</v>
      </c>
      <c r="E1143" s="1">
        <f ca="1">IFERROR(__xludf.DUMMYFUNCTION("""COMPUTED_VALUE"""),290.66)</f>
        <v>290.66000000000003</v>
      </c>
      <c r="F1143">
        <f t="shared" ca="1" si="141"/>
        <v>-2.1758050478692657E-4</v>
      </c>
      <c r="G1143">
        <f t="shared" ca="1" si="142"/>
        <v>-3.02258301308354E-3</v>
      </c>
      <c r="H1143">
        <f t="shared" ca="1" si="143"/>
        <v>-5.9019166810849082E-3</v>
      </c>
      <c r="I1143">
        <f t="shared" ca="1" si="144"/>
        <v>-2.9842554797103139E-3</v>
      </c>
      <c r="O1143">
        <f t="shared" ca="1" si="145"/>
        <v>1.709858331339867</v>
      </c>
      <c r="P1143">
        <f t="shared" ca="1" si="146"/>
        <v>1.7606374866554841</v>
      </c>
      <c r="Q1143">
        <f t="shared" ca="1" si="147"/>
        <v>2.1577300229501359</v>
      </c>
      <c r="R1143">
        <f t="shared" ca="1" si="148"/>
        <v>2.2424008640641899</v>
      </c>
    </row>
    <row r="1144" spans="1:18" x14ac:dyDescent="0.3">
      <c r="A1144" s="2">
        <f ca="1">IFERROR(__xludf.DUMMYFUNCTION("""COMPUTED_VALUE"""),45888.6666666666)</f>
        <v>45888.666666666599</v>
      </c>
      <c r="B1144" s="1">
        <f ca="1">IFERROR(__xludf.DUMMYFUNCTION("""COMPUTED_VALUE"""),639.81)</f>
        <v>639.80999999999995</v>
      </c>
      <c r="C1144" s="1">
        <f ca="1">IFERROR(__xludf.DUMMYFUNCTION("""COMPUTED_VALUE"""),230.56)</f>
        <v>230.56</v>
      </c>
      <c r="D1144" s="1">
        <f ca="1">IFERROR(__xludf.DUMMYFUNCTION("""COMPUTED_VALUE"""),509.77)</f>
        <v>509.77</v>
      </c>
      <c r="E1144" s="1">
        <f ca="1">IFERROR(__xludf.DUMMYFUNCTION("""COMPUTED_VALUE"""),292.24)</f>
        <v>292.24</v>
      </c>
      <c r="F1144">
        <f t="shared" ca="1" si="141"/>
        <v>-5.4251515622571259E-3</v>
      </c>
      <c r="G1144">
        <f t="shared" ca="1" si="142"/>
        <v>-1.429252024773633E-3</v>
      </c>
      <c r="H1144">
        <f t="shared" ca="1" si="143"/>
        <v>-1.4175207890156721E-2</v>
      </c>
      <c r="I1144">
        <f t="shared" ca="1" si="144"/>
        <v>5.4359044932222661E-3</v>
      </c>
      <c r="O1144">
        <f t="shared" ca="1" si="145"/>
        <v>1.7005820907423601</v>
      </c>
      <c r="P1144">
        <f t="shared" ca="1" si="146"/>
        <v>1.7581210919627894</v>
      </c>
      <c r="Q1144">
        <f t="shared" ca="1" si="147"/>
        <v>2.127143751303985</v>
      </c>
      <c r="R1144">
        <f t="shared" ca="1" si="148"/>
        <v>2.2545903409967618</v>
      </c>
    </row>
    <row r="1145" spans="1:18" x14ac:dyDescent="0.3">
      <c r="A1145" s="2">
        <f ca="1">IFERROR(__xludf.DUMMYFUNCTION("""COMPUTED_VALUE"""),45889.6666666666)</f>
        <v>45889.666666666599</v>
      </c>
      <c r="B1145" s="1">
        <f ca="1">IFERROR(__xludf.DUMMYFUNCTION("""COMPUTED_VALUE"""),638.11)</f>
        <v>638.11</v>
      </c>
      <c r="C1145" s="1">
        <f ca="1">IFERROR(__xludf.DUMMYFUNCTION("""COMPUTED_VALUE"""),226.01)</f>
        <v>226.01</v>
      </c>
      <c r="D1145" s="1">
        <f ca="1">IFERROR(__xludf.DUMMYFUNCTION("""COMPUTED_VALUE"""),505.72)</f>
        <v>505.72</v>
      </c>
      <c r="E1145" s="1">
        <f ca="1">IFERROR(__xludf.DUMMYFUNCTION("""COMPUTED_VALUE"""),291.47)</f>
        <v>291.47000000000003</v>
      </c>
      <c r="F1145">
        <f t="shared" ca="1" si="141"/>
        <v>-2.6570388083961361E-3</v>
      </c>
      <c r="G1145">
        <f t="shared" ca="1" si="142"/>
        <v>-1.9734559333796024E-2</v>
      </c>
      <c r="H1145">
        <f t="shared" ca="1" si="143"/>
        <v>-7.9447594012985352E-3</v>
      </c>
      <c r="I1145">
        <f t="shared" ca="1" si="144"/>
        <v>-2.6348206953188537E-3</v>
      </c>
      <c r="O1145">
        <f t="shared" ca="1" si="145"/>
        <v>1.6960635781303941</v>
      </c>
      <c r="P1145">
        <f t="shared" ca="1" si="146"/>
        <v>1.7234253469574516</v>
      </c>
      <c r="Q1145">
        <f t="shared" ca="1" si="147"/>
        <v>2.1102441059878991</v>
      </c>
      <c r="R1145">
        <f t="shared" ca="1" si="148"/>
        <v>2.2486498997068374</v>
      </c>
    </row>
    <row r="1146" spans="1:18" x14ac:dyDescent="0.3">
      <c r="A1146" s="2">
        <f ca="1">IFERROR(__xludf.DUMMYFUNCTION("""COMPUTED_VALUE"""),45890.6666666666)</f>
        <v>45890.666666666599</v>
      </c>
      <c r="B1146" s="1">
        <f ca="1">IFERROR(__xludf.DUMMYFUNCTION("""COMPUTED_VALUE"""),635.55)</f>
        <v>635.54999999999995</v>
      </c>
      <c r="C1146" s="1">
        <f ca="1">IFERROR(__xludf.DUMMYFUNCTION("""COMPUTED_VALUE"""),224.9)</f>
        <v>224.9</v>
      </c>
      <c r="D1146" s="1">
        <f ca="1">IFERROR(__xludf.DUMMYFUNCTION("""COMPUTED_VALUE"""),504.24)</f>
        <v>504.24</v>
      </c>
      <c r="E1146" s="1">
        <f ca="1">IFERROR(__xludf.DUMMYFUNCTION("""COMPUTED_VALUE"""),296.24)</f>
        <v>296.24</v>
      </c>
      <c r="F1146">
        <f t="shared" ca="1" si="141"/>
        <v>-4.0118474871104655E-3</v>
      </c>
      <c r="G1146">
        <f t="shared" ca="1" si="142"/>
        <v>-4.9112871111897053E-3</v>
      </c>
      <c r="H1146">
        <f t="shared" ca="1" si="143"/>
        <v>-2.926520604286993E-3</v>
      </c>
      <c r="I1146">
        <f t="shared" ca="1" si="144"/>
        <v>1.6365320616186851E-2</v>
      </c>
      <c r="O1146">
        <f t="shared" ca="1" si="145"/>
        <v>1.6892592297264921</v>
      </c>
      <c r="P1146">
        <f t="shared" ca="1" si="146"/>
        <v>1.7149611102638418</v>
      </c>
      <c r="Q1146">
        <f t="shared" ca="1" si="147"/>
        <v>2.1040684331316504</v>
      </c>
      <c r="R1146">
        <f t="shared" ca="1" si="148"/>
        <v>2.2854497762690964</v>
      </c>
    </row>
    <row r="1147" spans="1:18" x14ac:dyDescent="0.3">
      <c r="A1147" s="2">
        <f ca="1">IFERROR(__xludf.DUMMYFUNCTION("""COMPUTED_VALUE"""),45891.6666666666)</f>
        <v>45891.666666666599</v>
      </c>
      <c r="B1147" s="1">
        <f ca="1">IFERROR(__xludf.DUMMYFUNCTION("""COMPUTED_VALUE"""),645.31)</f>
        <v>645.30999999999995</v>
      </c>
      <c r="C1147" s="1">
        <f ca="1">IFERROR(__xludf.DUMMYFUNCTION("""COMPUTED_VALUE"""),227.76)</f>
        <v>227.76</v>
      </c>
      <c r="D1147" s="1">
        <f ca="1">IFERROR(__xludf.DUMMYFUNCTION("""COMPUTED_VALUE"""),507.23)</f>
        <v>507.23</v>
      </c>
      <c r="E1147" s="1">
        <f ca="1">IFERROR(__xludf.DUMMYFUNCTION("""COMPUTED_VALUE"""),294.9)</f>
        <v>294.89999999999998</v>
      </c>
      <c r="F1147">
        <f t="shared" ca="1" si="141"/>
        <v>1.5356777594209727E-2</v>
      </c>
      <c r="G1147">
        <f t="shared" ca="1" si="142"/>
        <v>1.2716763005780281E-2</v>
      </c>
      <c r="H1147">
        <f t="shared" ca="1" si="143"/>
        <v>5.9297160082500576E-3</v>
      </c>
      <c r="I1147">
        <f t="shared" ca="1" si="144"/>
        <v>-4.5233594382933827E-3</v>
      </c>
      <c r="O1147">
        <f t="shared" ca="1" si="145"/>
        <v>1.7152008080163681</v>
      </c>
      <c r="P1147">
        <f t="shared" ca="1" si="146"/>
        <v>1.7367698642671969</v>
      </c>
      <c r="Q1147">
        <f t="shared" ca="1" si="147"/>
        <v>2.1165449614020448</v>
      </c>
      <c r="R1147">
        <f t="shared" ca="1" si="148"/>
        <v>2.2751118654528639</v>
      </c>
    </row>
    <row r="1148" spans="1:18" x14ac:dyDescent="0.3">
      <c r="A1148" s="2">
        <f ca="1">IFERROR(__xludf.DUMMYFUNCTION("""COMPUTED_VALUE"""),45894.6666666666)</f>
        <v>45894.666666666599</v>
      </c>
      <c r="B1148" s="1">
        <f ca="1">IFERROR(__xludf.DUMMYFUNCTION("""COMPUTED_VALUE"""),642.47)</f>
        <v>642.47</v>
      </c>
      <c r="C1148" s="1">
        <f ca="1">IFERROR(__xludf.DUMMYFUNCTION("""COMPUTED_VALUE"""),227.16)</f>
        <v>227.16</v>
      </c>
      <c r="D1148" s="1">
        <f ca="1">IFERROR(__xludf.DUMMYFUNCTION("""COMPUTED_VALUE"""),504.26)</f>
        <v>504.26</v>
      </c>
      <c r="E1148" s="1">
        <f ca="1">IFERROR(__xludf.DUMMYFUNCTION("""COMPUTED_VALUE"""),298.57)</f>
        <v>298.57</v>
      </c>
      <c r="F1148">
        <f t="shared" ca="1" si="141"/>
        <v>-4.4009855728253371E-3</v>
      </c>
      <c r="G1148">
        <f t="shared" ca="1" si="142"/>
        <v>-2.6343519494204178E-3</v>
      </c>
      <c r="H1148">
        <f t="shared" ca="1" si="143"/>
        <v>-5.8553319007157052E-3</v>
      </c>
      <c r="I1148">
        <f t="shared" ca="1" si="144"/>
        <v>1.2444896575110262E-2</v>
      </c>
      <c r="O1148">
        <f t="shared" ca="1" si="145"/>
        <v>1.7076522340057898</v>
      </c>
      <c r="P1148">
        <f t="shared" ca="1" si="146"/>
        <v>1.7321946011895699</v>
      </c>
      <c r="Q1148">
        <f t="shared" ca="1" si="147"/>
        <v>2.1041518881702483</v>
      </c>
      <c r="R1148">
        <f t="shared" ca="1" si="148"/>
        <v>2.3034253973152312</v>
      </c>
    </row>
    <row r="1149" spans="1:18" x14ac:dyDescent="0.3">
      <c r="A1149" s="2">
        <f ca="1">IFERROR(__xludf.DUMMYFUNCTION("""COMPUTED_VALUE"""),45895.6666666666)</f>
        <v>45895.666666666599</v>
      </c>
      <c r="B1149" s="1">
        <f ca="1">IFERROR(__xludf.DUMMYFUNCTION("""COMPUTED_VALUE"""),645.16)</f>
        <v>645.16</v>
      </c>
      <c r="C1149" s="1">
        <f ca="1">IFERROR(__xludf.DUMMYFUNCTION("""COMPUTED_VALUE"""),229.31)</f>
        <v>229.31</v>
      </c>
      <c r="D1149" s="1">
        <f ca="1">IFERROR(__xludf.DUMMYFUNCTION("""COMPUTED_VALUE"""),502.04)</f>
        <v>502.04</v>
      </c>
      <c r="E1149" s="1">
        <f ca="1">IFERROR(__xludf.DUMMYFUNCTION("""COMPUTED_VALUE"""),299.28)</f>
        <v>299.27999999999997</v>
      </c>
      <c r="F1149">
        <f t="shared" ca="1" si="141"/>
        <v>4.1869659283701038E-3</v>
      </c>
      <c r="G1149">
        <f t="shared" ca="1" si="142"/>
        <v>9.4646944884663048E-3</v>
      </c>
      <c r="H1149">
        <f t="shared" ca="1" si="143"/>
        <v>-4.4024907785665543E-3</v>
      </c>
      <c r="I1149">
        <f t="shared" ca="1" si="144"/>
        <v>2.3780018086210254E-3</v>
      </c>
      <c r="O1149">
        <f t="shared" ca="1" si="145"/>
        <v>1.7148021157270774</v>
      </c>
      <c r="P1149">
        <f t="shared" ca="1" si="146"/>
        <v>1.7485892938843997</v>
      </c>
      <c r="Q1149">
        <f t="shared" ca="1" si="147"/>
        <v>2.0948883788858752</v>
      </c>
      <c r="R1149">
        <f t="shared" ca="1" si="148"/>
        <v>2.3089029470760702</v>
      </c>
    </row>
    <row r="1150" spans="1:18" x14ac:dyDescent="0.3">
      <c r="A1150" s="2">
        <f ca="1">IFERROR(__xludf.DUMMYFUNCTION("""COMPUTED_VALUE"""),45896.6666666666)</f>
        <v>45896.666666666599</v>
      </c>
      <c r="B1150" s="1">
        <f ca="1">IFERROR(__xludf.DUMMYFUNCTION("""COMPUTED_VALUE"""),646.63)</f>
        <v>646.63</v>
      </c>
      <c r="C1150" s="1">
        <f ca="1">IFERROR(__xludf.DUMMYFUNCTION("""COMPUTED_VALUE"""),230.49)</f>
        <v>230.49</v>
      </c>
      <c r="D1150" s="1">
        <f ca="1">IFERROR(__xludf.DUMMYFUNCTION("""COMPUTED_VALUE"""),506.74)</f>
        <v>506.74</v>
      </c>
      <c r="E1150" s="1">
        <f ca="1">IFERROR(__xludf.DUMMYFUNCTION("""COMPUTED_VALUE"""),301.07)</f>
        <v>301.07</v>
      </c>
      <c r="F1150">
        <f t="shared" ca="1" si="141"/>
        <v>2.2785045570091565E-3</v>
      </c>
      <c r="G1150">
        <f t="shared" ca="1" si="142"/>
        <v>5.1458723998081494E-3</v>
      </c>
      <c r="H1150">
        <f t="shared" ca="1" si="143"/>
        <v>9.3618038403314244E-3</v>
      </c>
      <c r="I1150">
        <f t="shared" ca="1" si="144"/>
        <v>5.9810211173483719E-3</v>
      </c>
      <c r="O1150">
        <f t="shared" ca="1" si="145"/>
        <v>1.7187093001621303</v>
      </c>
      <c r="P1150">
        <f t="shared" ca="1" si="146"/>
        <v>1.7575873112703995</v>
      </c>
      <c r="Q1150">
        <f t="shared" ca="1" si="147"/>
        <v>2.1145003129563946</v>
      </c>
      <c r="R1150">
        <f t="shared" ca="1" si="148"/>
        <v>2.3227125443604399</v>
      </c>
    </row>
    <row r="1151" spans="1:18" x14ac:dyDescent="0.3">
      <c r="A1151" s="2">
        <f ca="1">IFERROR(__xludf.DUMMYFUNCTION("""COMPUTED_VALUE"""),45897.6666666666)</f>
        <v>45897.666666666599</v>
      </c>
      <c r="B1151" s="1">
        <f ca="1">IFERROR(__xludf.DUMMYFUNCTION("""COMPUTED_VALUE"""),648.92)</f>
        <v>648.91999999999996</v>
      </c>
      <c r="C1151" s="1">
        <f ca="1">IFERROR(__xludf.DUMMYFUNCTION("""COMPUTED_VALUE"""),232.56)</f>
        <v>232.56</v>
      </c>
      <c r="D1151" s="1">
        <f ca="1">IFERROR(__xludf.DUMMYFUNCTION("""COMPUTED_VALUE"""),509.64)</f>
        <v>509.64</v>
      </c>
      <c r="E1151" s="1">
        <f ca="1">IFERROR(__xludf.DUMMYFUNCTION("""COMPUTED_VALUE"""),301.42)</f>
        <v>301.42</v>
      </c>
      <c r="F1151">
        <f t="shared" ca="1" si="141"/>
        <v>3.5414379165828428E-3</v>
      </c>
      <c r="G1151">
        <f t="shared" ca="1" si="142"/>
        <v>8.9808668488871243E-3</v>
      </c>
      <c r="H1151">
        <f t="shared" ca="1" si="143"/>
        <v>5.722855902435129E-3</v>
      </c>
      <c r="I1151">
        <f t="shared" ca="1" si="144"/>
        <v>1.1625203441060974E-3</v>
      </c>
      <c r="O1151">
        <f t="shared" ca="1" si="145"/>
        <v>1.724796002445308</v>
      </c>
      <c r="P1151">
        <f t="shared" ca="1" si="146"/>
        <v>1.7733719688882124</v>
      </c>
      <c r="Q1151">
        <f t="shared" ca="1" si="147"/>
        <v>2.1266012935530982</v>
      </c>
      <c r="R1151">
        <f t="shared" ca="1" si="148"/>
        <v>2.3254127449467696</v>
      </c>
    </row>
    <row r="1152" spans="1:18" x14ac:dyDescent="0.3">
      <c r="A1152" s="2">
        <f ca="1">IFERROR(__xludf.DUMMYFUNCTION("""COMPUTED_VALUE"""),45898.6666666666)</f>
        <v>45898.666666666599</v>
      </c>
      <c r="B1152" s="1">
        <f ca="1">IFERROR(__xludf.DUMMYFUNCTION("""COMPUTED_VALUE"""),645.05)</f>
        <v>645.04999999999995</v>
      </c>
      <c r="C1152" s="1">
        <f ca="1">IFERROR(__xludf.DUMMYFUNCTION("""COMPUTED_VALUE"""),232.14)</f>
        <v>232.14</v>
      </c>
      <c r="D1152" s="1">
        <f ca="1">IFERROR(__xludf.DUMMYFUNCTION("""COMPUTED_VALUE"""),506.69)</f>
        <v>506.69</v>
      </c>
      <c r="E1152" s="1">
        <f ca="1">IFERROR(__xludf.DUMMYFUNCTION("""COMPUTED_VALUE"""),299.7)</f>
        <v>299.7</v>
      </c>
      <c r="F1152">
        <f t="shared" ca="1" si="141"/>
        <v>-5.9637551624237266E-3</v>
      </c>
      <c r="G1152">
        <f t="shared" ca="1" si="142"/>
        <v>-1.8059855521156516E-3</v>
      </c>
      <c r="H1152">
        <f t="shared" ca="1" si="143"/>
        <v>-5.7883996546581676E-3</v>
      </c>
      <c r="I1152">
        <f t="shared" ca="1" si="144"/>
        <v>-5.7063234025613004E-3</v>
      </c>
      <c r="O1152">
        <f t="shared" ca="1" si="145"/>
        <v>1.7145097413815968</v>
      </c>
      <c r="P1152">
        <f t="shared" ca="1" si="146"/>
        <v>1.7701692847338735</v>
      </c>
      <c r="Q1152">
        <f t="shared" ca="1" si="147"/>
        <v>2.1142916753598997</v>
      </c>
      <c r="R1152">
        <f t="shared" ca="1" si="148"/>
        <v>2.3121431877796654</v>
      </c>
    </row>
    <row r="1153" spans="1:18" x14ac:dyDescent="0.3">
      <c r="A1153" s="2">
        <f ca="1">IFERROR(__xludf.DUMMYFUNCTION("""COMPUTED_VALUE"""),45902.6666666666)</f>
        <v>45902.666666666599</v>
      </c>
      <c r="B1153" s="1">
        <f ca="1">IFERROR(__xludf.DUMMYFUNCTION("""COMPUTED_VALUE"""),640.27)</f>
        <v>640.27</v>
      </c>
      <c r="C1153" s="1">
        <f ca="1">IFERROR(__xludf.DUMMYFUNCTION("""COMPUTED_VALUE"""),229.72)</f>
        <v>229.72</v>
      </c>
      <c r="D1153" s="1">
        <f ca="1">IFERROR(__xludf.DUMMYFUNCTION("""COMPUTED_VALUE"""),505.12)</f>
        <v>505.12</v>
      </c>
      <c r="E1153" s="1">
        <f ca="1">IFERROR(__xludf.DUMMYFUNCTION("""COMPUTED_VALUE"""),299.51)</f>
        <v>299.51</v>
      </c>
      <c r="F1153">
        <f t="shared" ca="1" si="141"/>
        <v>-7.4102782730020508E-3</v>
      </c>
      <c r="G1153">
        <f t="shared" ca="1" si="142"/>
        <v>-1.0424743689153044E-2</v>
      </c>
      <c r="H1153">
        <f t="shared" ca="1" si="143"/>
        <v>-3.0985415145355012E-3</v>
      </c>
      <c r="I1153">
        <f t="shared" ca="1" si="144"/>
        <v>-6.3396730063395971E-4</v>
      </c>
      <c r="O1153">
        <f t="shared" ca="1" si="145"/>
        <v>1.7018047470961866</v>
      </c>
      <c r="P1153">
        <f t="shared" ca="1" si="146"/>
        <v>1.7517157236541114</v>
      </c>
      <c r="Q1153">
        <f t="shared" ca="1" si="147"/>
        <v>2.1077404548299601</v>
      </c>
      <c r="R1153">
        <f t="shared" ca="1" si="148"/>
        <v>2.3106773646042296</v>
      </c>
    </row>
    <row r="1154" spans="1:18" x14ac:dyDescent="0.3">
      <c r="A1154" s="2">
        <f ca="1">IFERROR(__xludf.DUMMYFUNCTION("""COMPUTED_VALUE"""),45903.6666666666)</f>
        <v>45903.666666666599</v>
      </c>
      <c r="B1154" s="1">
        <f ca="1">IFERROR(__xludf.DUMMYFUNCTION("""COMPUTED_VALUE"""),643.74)</f>
        <v>643.74</v>
      </c>
      <c r="C1154" s="1">
        <f ca="1">IFERROR(__xludf.DUMMYFUNCTION("""COMPUTED_VALUE"""),238.47)</f>
        <v>238.47</v>
      </c>
      <c r="D1154" s="1">
        <f ca="1">IFERROR(__xludf.DUMMYFUNCTION("""COMPUTED_VALUE"""),505.35)</f>
        <v>505.35</v>
      </c>
      <c r="E1154" s="1">
        <f ca="1">IFERROR(__xludf.DUMMYFUNCTION("""COMPUTED_VALUE"""),303.82)</f>
        <v>303.82</v>
      </c>
      <c r="F1154">
        <f t="shared" ca="1" si="141"/>
        <v>5.419588611054754E-3</v>
      </c>
      <c r="G1154">
        <f t="shared" ca="1" si="142"/>
        <v>3.8089848511231067E-2</v>
      </c>
      <c r="H1154">
        <f t="shared" ca="1" si="143"/>
        <v>4.5533734558128402E-4</v>
      </c>
      <c r="I1154">
        <f t="shared" ca="1" si="144"/>
        <v>1.4390170611999608E-2</v>
      </c>
      <c r="O1154">
        <f t="shared" ca="1" si="145"/>
        <v>1.7110278287217882</v>
      </c>
      <c r="P1154">
        <f t="shared" ca="1" si="146"/>
        <v>1.8184383102028381</v>
      </c>
      <c r="Q1154">
        <f t="shared" ca="1" si="147"/>
        <v>2.1087001877738367</v>
      </c>
      <c r="R1154">
        <f t="shared" ca="1" si="148"/>
        <v>2.3439284061101699</v>
      </c>
    </row>
    <row r="1155" spans="1:18" x14ac:dyDescent="0.3">
      <c r="A1155" s="2">
        <f ca="1">IFERROR(__xludf.DUMMYFUNCTION("""COMPUTED_VALUE"""),45904.6666666666)</f>
        <v>45904.666666666599</v>
      </c>
      <c r="B1155" s="1">
        <f ca="1">IFERROR(__xludf.DUMMYFUNCTION("""COMPUTED_VALUE"""),649.12)</f>
        <v>649.12</v>
      </c>
      <c r="C1155" s="1">
        <f ca="1">IFERROR(__xludf.DUMMYFUNCTION("""COMPUTED_VALUE"""),239.78)</f>
        <v>239.78</v>
      </c>
      <c r="D1155" s="1">
        <f ca="1">IFERROR(__xludf.DUMMYFUNCTION("""COMPUTED_VALUE"""),507.97)</f>
        <v>507.97</v>
      </c>
      <c r="E1155" s="1">
        <f ca="1">IFERROR(__xludf.DUMMYFUNCTION("""COMPUTED_VALUE"""),294.38)</f>
        <v>294.38</v>
      </c>
      <c r="F1155">
        <f t="shared" ca="1" si="141"/>
        <v>8.3574113772641057E-3</v>
      </c>
      <c r="G1155">
        <f t="shared" ca="1" si="142"/>
        <v>5.4933534616513702E-3</v>
      </c>
      <c r="H1155">
        <f t="shared" ca="1" si="143"/>
        <v>5.184525576333243E-3</v>
      </c>
      <c r="I1155">
        <f t="shared" ca="1" si="144"/>
        <v>-3.1071028898690008E-2</v>
      </c>
      <c r="O1155">
        <f t="shared" ca="1" si="145"/>
        <v>1.7253275921643634</v>
      </c>
      <c r="P1155">
        <f t="shared" ca="1" si="146"/>
        <v>1.8284276345889905</v>
      </c>
      <c r="Q1155">
        <f t="shared" ca="1" si="147"/>
        <v>2.1196327978301688</v>
      </c>
      <c r="R1155">
        <f t="shared" ca="1" si="148"/>
        <v>2.2711001388674608</v>
      </c>
    </row>
    <row r="1156" spans="1:18" x14ac:dyDescent="0.3">
      <c r="A1156" s="2">
        <f ca="1">IFERROR(__xludf.DUMMYFUNCTION("""COMPUTED_VALUE"""),45905.6666666666)</f>
        <v>45905.666666666599</v>
      </c>
      <c r="B1156" s="1">
        <f ca="1">IFERROR(__xludf.DUMMYFUNCTION("""COMPUTED_VALUE"""),647.24)</f>
        <v>647.24</v>
      </c>
      <c r="C1156" s="1">
        <f ca="1">IFERROR(__xludf.DUMMYFUNCTION("""COMPUTED_VALUE"""),239.69)</f>
        <v>239.69</v>
      </c>
      <c r="D1156" s="1">
        <f ca="1">IFERROR(__xludf.DUMMYFUNCTION("""COMPUTED_VALUE"""),495)</f>
        <v>495</v>
      </c>
      <c r="E1156" s="1">
        <f ca="1">IFERROR(__xludf.DUMMYFUNCTION("""COMPUTED_VALUE"""),292.91)</f>
        <v>292.91000000000003</v>
      </c>
      <c r="F1156">
        <f t="shared" ref="F1156:F1219" ca="1" si="149">(B1156-B1155)/B1155</f>
        <v>-2.8962287404486003E-3</v>
      </c>
      <c r="G1156">
        <f t="shared" ref="G1156:G1219" ca="1" si="150">(C1156-C1155)/C1155</f>
        <v>-3.7534406539329137E-4</v>
      </c>
      <c r="H1156">
        <f t="shared" ref="H1156:H1219" ca="1" si="151">(D1156-D1155)/D1155</f>
        <v>-2.5533003917554239E-2</v>
      </c>
      <c r="I1156">
        <f t="shared" ref="I1156:I1219" ca="1" si="152">(E1156-E1155)/E1155</f>
        <v>-4.9935457571844907E-3</v>
      </c>
      <c r="O1156">
        <f t="shared" ref="O1156:O1219" ca="1" si="153">O1155*(1+F1156)</f>
        <v>1.7203306488052479</v>
      </c>
      <c r="P1156">
        <f t="shared" ref="P1156:P1219" ca="1" si="154">P1155*(1+G1156)</f>
        <v>1.8277413451273463</v>
      </c>
      <c r="Q1156">
        <f t="shared" ref="Q1156:Q1219" ca="1" si="155">Q1155*(1+H1156)</f>
        <v>2.0655122052993948</v>
      </c>
      <c r="R1156">
        <f t="shared" ref="R1156:R1219" ca="1" si="156">R1155*(1+I1156)</f>
        <v>2.2597592964048783</v>
      </c>
    </row>
    <row r="1157" spans="1:18" x14ac:dyDescent="0.3">
      <c r="A1157" s="2">
        <f ca="1">IFERROR(__xludf.DUMMYFUNCTION("""COMPUTED_VALUE"""),45908.6666666666)</f>
        <v>45908.666666666599</v>
      </c>
      <c r="B1157" s="1">
        <f ca="1">IFERROR(__xludf.DUMMYFUNCTION("""COMPUTED_VALUE"""),648.83)</f>
        <v>648.83000000000004</v>
      </c>
      <c r="C1157" s="1">
        <f ca="1">IFERROR(__xludf.DUMMYFUNCTION("""COMPUTED_VALUE"""),237.88)</f>
        <v>237.88</v>
      </c>
      <c r="D1157" s="1">
        <f ca="1">IFERROR(__xludf.DUMMYFUNCTION("""COMPUTED_VALUE"""),498.2)</f>
        <v>498.2</v>
      </c>
      <c r="E1157" s="1">
        <f ca="1">IFERROR(__xludf.DUMMYFUNCTION("""COMPUTED_VALUE"""),297.85)</f>
        <v>297.85000000000002</v>
      </c>
      <c r="F1157">
        <f t="shared" ca="1" si="149"/>
        <v>2.4565848835053951E-3</v>
      </c>
      <c r="G1157">
        <f t="shared" ca="1" si="150"/>
        <v>-7.5514205849222006E-3</v>
      </c>
      <c r="H1157">
        <f t="shared" ca="1" si="151"/>
        <v>6.4646464646464421E-3</v>
      </c>
      <c r="I1157">
        <f t="shared" ca="1" si="152"/>
        <v>1.6865248711208213E-2</v>
      </c>
      <c r="O1157">
        <f t="shared" ca="1" si="153"/>
        <v>1.724556787071734</v>
      </c>
      <c r="P1157">
        <f t="shared" ca="1" si="154"/>
        <v>1.8139393015098384</v>
      </c>
      <c r="Q1157">
        <f t="shared" ca="1" si="155"/>
        <v>2.078865011475068</v>
      </c>
      <c r="R1157">
        <f t="shared" ca="1" si="156"/>
        <v>2.2978706989662112</v>
      </c>
    </row>
    <row r="1158" spans="1:18" x14ac:dyDescent="0.3">
      <c r="A1158" s="2">
        <f ca="1">IFERROR(__xludf.DUMMYFUNCTION("""COMPUTED_VALUE"""),45909.6666666666)</f>
        <v>45909.666666666599</v>
      </c>
      <c r="B1158" s="1">
        <f ca="1">IFERROR(__xludf.DUMMYFUNCTION("""COMPUTED_VALUE"""),650.33)</f>
        <v>650.33000000000004</v>
      </c>
      <c r="C1158" s="1">
        <f ca="1">IFERROR(__xludf.DUMMYFUNCTION("""COMPUTED_VALUE"""),234.35)</f>
        <v>234.35</v>
      </c>
      <c r="D1158" s="1">
        <f ca="1">IFERROR(__xludf.DUMMYFUNCTION("""COMPUTED_VALUE"""),498.41)</f>
        <v>498.41</v>
      </c>
      <c r="E1158" s="1">
        <f ca="1">IFERROR(__xludf.DUMMYFUNCTION("""COMPUTED_VALUE"""),300.54)</f>
        <v>300.54000000000002</v>
      </c>
      <c r="F1158">
        <f t="shared" ca="1" si="149"/>
        <v>2.3118536442519612E-3</v>
      </c>
      <c r="G1158">
        <f t="shared" ca="1" si="150"/>
        <v>-1.4839414831007236E-2</v>
      </c>
      <c r="H1158">
        <f t="shared" ca="1" si="151"/>
        <v>4.215174628663918E-4</v>
      </c>
      <c r="I1158">
        <f t="shared" ca="1" si="152"/>
        <v>9.0313916400872832E-3</v>
      </c>
      <c r="O1158">
        <f t="shared" ca="1" si="153"/>
        <v>1.7285437099646452</v>
      </c>
      <c r="P1158">
        <f t="shared" ca="1" si="154"/>
        <v>1.7870215037364663</v>
      </c>
      <c r="Q1158">
        <f t="shared" ca="1" si="155"/>
        <v>2.0797412893803466</v>
      </c>
      <c r="R1158">
        <f t="shared" ca="1" si="156"/>
        <v>2.3186236691868563</v>
      </c>
    </row>
    <row r="1159" spans="1:18" x14ac:dyDescent="0.3">
      <c r="A1159" s="2">
        <f ca="1">IFERROR(__xludf.DUMMYFUNCTION("""COMPUTED_VALUE"""),45910.6666666666)</f>
        <v>45910.666666666599</v>
      </c>
      <c r="B1159" s="1">
        <f ca="1">IFERROR(__xludf.DUMMYFUNCTION("""COMPUTED_VALUE"""),652.21)</f>
        <v>652.21</v>
      </c>
      <c r="C1159" s="1">
        <f ca="1">IFERROR(__xludf.DUMMYFUNCTION("""COMPUTED_VALUE"""),226.79)</f>
        <v>226.79</v>
      </c>
      <c r="D1159" s="1">
        <f ca="1">IFERROR(__xludf.DUMMYFUNCTION("""COMPUTED_VALUE"""),500.37)</f>
        <v>500.37</v>
      </c>
      <c r="E1159" s="1">
        <f ca="1">IFERROR(__xludf.DUMMYFUNCTION("""COMPUTED_VALUE"""),305.56)</f>
        <v>305.56</v>
      </c>
      <c r="F1159">
        <f t="shared" ca="1" si="149"/>
        <v>2.8908400350591166E-3</v>
      </c>
      <c r="G1159">
        <f t="shared" ca="1" si="150"/>
        <v>-3.2259441007040764E-2</v>
      </c>
      <c r="H1159">
        <f t="shared" ca="1" si="151"/>
        <v>3.9325053670672327E-3</v>
      </c>
      <c r="I1159">
        <f t="shared" ca="1" si="152"/>
        <v>1.6703267451919815E-2</v>
      </c>
      <c r="O1159">
        <f t="shared" ca="1" si="153"/>
        <v>1.7335406533237607</v>
      </c>
      <c r="P1159">
        <f t="shared" ca="1" si="154"/>
        <v>1.7293731889583663</v>
      </c>
      <c r="Q1159">
        <f t="shared" ca="1" si="155"/>
        <v>2.0879198831629457</v>
      </c>
      <c r="R1159">
        <f t="shared" ca="1" si="156"/>
        <v>2.3573522604536361</v>
      </c>
    </row>
    <row r="1160" spans="1:18" x14ac:dyDescent="0.3">
      <c r="A1160" s="2">
        <f ca="1">IFERROR(__xludf.DUMMYFUNCTION("""COMPUTED_VALUE"""),45911.6666666666)</f>
        <v>45911.666666666599</v>
      </c>
      <c r="B1160" s="1">
        <f ca="1">IFERROR(__xludf.DUMMYFUNCTION("""COMPUTED_VALUE"""),657.63)</f>
        <v>657.63</v>
      </c>
      <c r="C1160" s="1">
        <f ca="1">IFERROR(__xludf.DUMMYFUNCTION("""COMPUTED_VALUE"""),230.03)</f>
        <v>230.03</v>
      </c>
      <c r="D1160" s="1">
        <f ca="1">IFERROR(__xludf.DUMMYFUNCTION("""COMPUTED_VALUE"""),501.01)</f>
        <v>501.01</v>
      </c>
      <c r="E1160" s="1">
        <f ca="1">IFERROR(__xludf.DUMMYFUNCTION("""COMPUTED_VALUE"""),306.91)</f>
        <v>306.91000000000003</v>
      </c>
      <c r="F1160">
        <f t="shared" ca="1" si="149"/>
        <v>8.3102068352217204E-3</v>
      </c>
      <c r="G1160">
        <f t="shared" ca="1" si="150"/>
        <v>1.4286344195070371E-2</v>
      </c>
      <c r="H1160">
        <f t="shared" ca="1" si="151"/>
        <v>1.2790535004096695E-3</v>
      </c>
      <c r="I1160">
        <f t="shared" ca="1" si="152"/>
        <v>4.4181175546538247E-3</v>
      </c>
      <c r="O1160">
        <f t="shared" ca="1" si="153"/>
        <v>1.7479467347101465</v>
      </c>
      <c r="P1160">
        <f t="shared" ca="1" si="154"/>
        <v>1.7540796095775522</v>
      </c>
      <c r="Q1160">
        <f t="shared" ca="1" si="155"/>
        <v>2.0905904443980803</v>
      </c>
      <c r="R1160">
        <f t="shared" ca="1" si="156"/>
        <v>2.3677673198580491</v>
      </c>
    </row>
    <row r="1161" spans="1:18" x14ac:dyDescent="0.3">
      <c r="A1161" s="2">
        <f ca="1">IFERROR(__xludf.DUMMYFUNCTION("""COMPUTED_VALUE"""),45912.6666666666)</f>
        <v>45912.666666666599</v>
      </c>
      <c r="B1161" s="1">
        <f ca="1">IFERROR(__xludf.DUMMYFUNCTION("""COMPUTED_VALUE"""),657.41)</f>
        <v>657.41</v>
      </c>
      <c r="C1161" s="1">
        <f ca="1">IFERROR(__xludf.DUMMYFUNCTION("""COMPUTED_VALUE"""),234.07)</f>
        <v>234.07</v>
      </c>
      <c r="D1161" s="1">
        <f ca="1">IFERROR(__xludf.DUMMYFUNCTION("""COMPUTED_VALUE"""),509.9)</f>
        <v>509.9</v>
      </c>
      <c r="E1161" s="1">
        <f ca="1">IFERROR(__xludf.DUMMYFUNCTION("""COMPUTED_VALUE"""),308.9)</f>
        <v>308.89999999999998</v>
      </c>
      <c r="F1161">
        <f t="shared" ca="1" si="149"/>
        <v>-3.3453461672981353E-4</v>
      </c>
      <c r="G1161">
        <f t="shared" ca="1" si="150"/>
        <v>1.7562926574794559E-2</v>
      </c>
      <c r="H1161">
        <f t="shared" ca="1" si="151"/>
        <v>1.7744156803257392E-2</v>
      </c>
      <c r="I1161">
        <f t="shared" ca="1" si="152"/>
        <v>6.4839855332180516E-3</v>
      </c>
      <c r="O1161">
        <f t="shared" ca="1" si="153"/>
        <v>1.747361986019186</v>
      </c>
      <c r="P1161">
        <f t="shared" ca="1" si="154"/>
        <v>1.7848863809669069</v>
      </c>
      <c r="Q1161">
        <f t="shared" ca="1" si="155"/>
        <v>2.1276862090548714</v>
      </c>
      <c r="R1161">
        <f t="shared" ca="1" si="156"/>
        <v>2.3831198889060357</v>
      </c>
    </row>
    <row r="1162" spans="1:18" x14ac:dyDescent="0.3">
      <c r="A1162" s="2">
        <f ca="1">IFERROR(__xludf.DUMMYFUNCTION("""COMPUTED_VALUE"""),45915.6666666666)</f>
        <v>45915.666666666599</v>
      </c>
      <c r="B1162" s="1">
        <f ca="1">IFERROR(__xludf.DUMMYFUNCTION("""COMPUTED_VALUE"""),660.91)</f>
        <v>660.91</v>
      </c>
      <c r="C1162" s="1">
        <f ca="1">IFERROR(__xludf.DUMMYFUNCTION("""COMPUTED_VALUE"""),236.7)</f>
        <v>236.7</v>
      </c>
      <c r="D1162" s="1">
        <f ca="1">IFERROR(__xludf.DUMMYFUNCTION("""COMPUTED_VALUE"""),515.36)</f>
        <v>515.36</v>
      </c>
      <c r="E1162" s="1">
        <f ca="1">IFERROR(__xludf.DUMMYFUNCTION("""COMPUTED_VALUE"""),309.19)</f>
        <v>309.19</v>
      </c>
      <c r="F1162">
        <f t="shared" ca="1" si="149"/>
        <v>5.3239226662204712E-3</v>
      </c>
      <c r="G1162">
        <f t="shared" ca="1" si="150"/>
        <v>1.1235955056179756E-2</v>
      </c>
      <c r="H1162">
        <f t="shared" ca="1" si="151"/>
        <v>1.0707981957246591E-2</v>
      </c>
      <c r="I1162">
        <f t="shared" ca="1" si="152"/>
        <v>9.3881515053421982E-4</v>
      </c>
      <c r="O1162">
        <f t="shared" ca="1" si="153"/>
        <v>1.7566648061026457</v>
      </c>
      <c r="P1162">
        <f t="shared" ca="1" si="154"/>
        <v>1.8049412841238384</v>
      </c>
      <c r="Q1162">
        <f t="shared" ca="1" si="155"/>
        <v>2.1504694345921136</v>
      </c>
      <c r="R1162">
        <f t="shared" ca="1" si="156"/>
        <v>2.3853571979632804</v>
      </c>
    </row>
    <row r="1163" spans="1:18" x14ac:dyDescent="0.3">
      <c r="A1163" s="2">
        <f ca="1">IFERROR(__xludf.DUMMYFUNCTION("""COMPUTED_VALUE"""),45916.6666666666)</f>
        <v>45916.666666666599</v>
      </c>
      <c r="B1163" s="1">
        <f ca="1">IFERROR(__xludf.DUMMYFUNCTION("""COMPUTED_VALUE"""),660)</f>
        <v>660</v>
      </c>
      <c r="C1163" s="1">
        <f ca="1">IFERROR(__xludf.DUMMYFUNCTION("""COMPUTED_VALUE"""),238.15)</f>
        <v>238.15</v>
      </c>
      <c r="D1163" s="1">
        <f ca="1">IFERROR(__xludf.DUMMYFUNCTION("""COMPUTED_VALUE"""),509.04)</f>
        <v>509.04</v>
      </c>
      <c r="E1163" s="1">
        <f ca="1">IFERROR(__xludf.DUMMYFUNCTION("""COMPUTED_VALUE"""),311.75)</f>
        <v>311.75</v>
      </c>
      <c r="F1163">
        <f t="shared" ca="1" si="149"/>
        <v>-1.3768894403170904E-3</v>
      </c>
      <c r="G1163">
        <f t="shared" ca="1" si="150"/>
        <v>6.1258977608788217E-3</v>
      </c>
      <c r="H1163">
        <f t="shared" ca="1" si="151"/>
        <v>-1.2263272275690766E-2</v>
      </c>
      <c r="I1163">
        <f t="shared" ca="1" si="152"/>
        <v>8.279698567224044E-3</v>
      </c>
      <c r="O1163">
        <f t="shared" ca="1" si="153"/>
        <v>1.7542460728809464</v>
      </c>
      <c r="P1163">
        <f t="shared" ca="1" si="154"/>
        <v>1.8159981698947705</v>
      </c>
      <c r="Q1163">
        <f t="shared" ca="1" si="155"/>
        <v>2.1240976423951596</v>
      </c>
      <c r="R1163">
        <f t="shared" ca="1" si="156"/>
        <v>2.4051072365375745</v>
      </c>
    </row>
    <row r="1164" spans="1:18" x14ac:dyDescent="0.3">
      <c r="A1164" s="2">
        <f ca="1">IFERROR(__xludf.DUMMYFUNCTION("""COMPUTED_VALUE"""),45917.6666666666)</f>
        <v>45917.666666666599</v>
      </c>
      <c r="B1164" s="1">
        <f ca="1">IFERROR(__xludf.DUMMYFUNCTION("""COMPUTED_VALUE"""),659.18)</f>
        <v>659.18</v>
      </c>
      <c r="C1164" s="1">
        <f ca="1">IFERROR(__xludf.DUMMYFUNCTION("""COMPUTED_VALUE"""),238.99)</f>
        <v>238.99</v>
      </c>
      <c r="D1164" s="1">
        <f ca="1">IFERROR(__xludf.DUMMYFUNCTION("""COMPUTED_VALUE"""),510.02)</f>
        <v>510.02</v>
      </c>
      <c r="E1164" s="1">
        <f ca="1">IFERROR(__xludf.DUMMYFUNCTION("""COMPUTED_VALUE"""),313.23)</f>
        <v>313.23</v>
      </c>
      <c r="F1164">
        <f t="shared" ca="1" si="149"/>
        <v>-1.2424242424243183E-3</v>
      </c>
      <c r="G1164">
        <f t="shared" ca="1" si="150"/>
        <v>3.5271887465882991E-3</v>
      </c>
      <c r="H1164">
        <f t="shared" ca="1" si="151"/>
        <v>1.9251925192518492E-3</v>
      </c>
      <c r="I1164">
        <f t="shared" ca="1" si="152"/>
        <v>4.7473937449880295E-3</v>
      </c>
      <c r="O1164">
        <f t="shared" ca="1" si="153"/>
        <v>1.7520665550328216</v>
      </c>
      <c r="P1164">
        <f t="shared" ca="1" si="154"/>
        <v>1.822403538203448</v>
      </c>
      <c r="Q1164">
        <f t="shared" ca="1" si="155"/>
        <v>2.1281869392864592</v>
      </c>
      <c r="R1164">
        <f t="shared" ca="1" si="156"/>
        <v>2.4165252275883384</v>
      </c>
    </row>
    <row r="1165" spans="1:18" x14ac:dyDescent="0.3">
      <c r="A1165" s="2">
        <f ca="1">IFERROR(__xludf.DUMMYFUNCTION("""COMPUTED_VALUE"""),45918.6666666666)</f>
        <v>45918.666666666599</v>
      </c>
      <c r="B1165" s="1">
        <f ca="1">IFERROR(__xludf.DUMMYFUNCTION("""COMPUTED_VALUE"""),662.26)</f>
        <v>662.26</v>
      </c>
      <c r="C1165" s="1">
        <f ca="1">IFERROR(__xludf.DUMMYFUNCTION("""COMPUTED_VALUE"""),237.88)</f>
        <v>237.88</v>
      </c>
      <c r="D1165" s="1">
        <f ca="1">IFERROR(__xludf.DUMMYFUNCTION("""COMPUTED_VALUE"""),508.45)</f>
        <v>508.45</v>
      </c>
      <c r="E1165" s="1">
        <f ca="1">IFERROR(__xludf.DUMMYFUNCTION("""COMPUTED_VALUE"""),314.78)</f>
        <v>314.77999999999997</v>
      </c>
      <c r="F1165">
        <f t="shared" ca="1" si="149"/>
        <v>4.6724718589763667E-3</v>
      </c>
      <c r="G1165">
        <f t="shared" ca="1" si="150"/>
        <v>-4.6445457968953248E-3</v>
      </c>
      <c r="H1165">
        <f t="shared" ca="1" si="151"/>
        <v>-3.0783106544841248E-3</v>
      </c>
      <c r="I1165">
        <f t="shared" ca="1" si="152"/>
        <v>4.948440443124715E-3</v>
      </c>
      <c r="O1165">
        <f t="shared" ca="1" si="153"/>
        <v>1.7602530367062661</v>
      </c>
      <c r="P1165">
        <f t="shared" ca="1" si="154"/>
        <v>1.813939301509838</v>
      </c>
      <c r="Q1165">
        <f t="shared" ca="1" si="155"/>
        <v>2.1216357187565196</v>
      </c>
      <c r="R1165">
        <f t="shared" ca="1" si="156"/>
        <v>2.4284832587563678</v>
      </c>
    </row>
    <row r="1166" spans="1:18" x14ac:dyDescent="0.3">
      <c r="A1166" s="2">
        <f ca="1">IFERROR(__xludf.DUMMYFUNCTION("""COMPUTED_VALUE"""),45919.6666666666)</f>
        <v>45919.666666666599</v>
      </c>
      <c r="B1166" s="1">
        <f ca="1">IFERROR(__xludf.DUMMYFUNCTION("""COMPUTED_VALUE"""),663.7)</f>
        <v>663.7</v>
      </c>
      <c r="C1166" s="1">
        <f ca="1">IFERROR(__xludf.DUMMYFUNCTION("""COMPUTED_VALUE"""),245.5)</f>
        <v>245.5</v>
      </c>
      <c r="D1166" s="1">
        <f ca="1">IFERROR(__xludf.DUMMYFUNCTION("""COMPUTED_VALUE"""),517.93)</f>
        <v>517.92999999999995</v>
      </c>
      <c r="E1166" s="1">
        <f ca="1">IFERROR(__xludf.DUMMYFUNCTION("""COMPUTED_VALUE"""),312.44)</f>
        <v>312.44</v>
      </c>
      <c r="F1166">
        <f t="shared" ca="1" si="149"/>
        <v>2.174372602905286E-3</v>
      </c>
      <c r="G1166">
        <f t="shared" ca="1" si="150"/>
        <v>3.2032957793845657E-2</v>
      </c>
      <c r="H1166">
        <f t="shared" ca="1" si="151"/>
        <v>1.8644901170223153E-2</v>
      </c>
      <c r="I1166">
        <f t="shared" ca="1" si="152"/>
        <v>-7.4337632632313841E-3</v>
      </c>
      <c r="O1166">
        <f t="shared" ca="1" si="153"/>
        <v>1.7640804826834611</v>
      </c>
      <c r="P1166">
        <f t="shared" ca="1" si="154"/>
        <v>1.8720451425957003</v>
      </c>
      <c r="Q1166">
        <f t="shared" ca="1" si="155"/>
        <v>2.1611934070519503</v>
      </c>
      <c r="R1166">
        <f t="shared" ca="1" si="156"/>
        <v>2.410430489122052</v>
      </c>
    </row>
    <row r="1167" spans="1:18" x14ac:dyDescent="0.3">
      <c r="A1167" s="2">
        <f ca="1">IFERROR(__xludf.DUMMYFUNCTION("""COMPUTED_VALUE"""),45922.6666666666)</f>
        <v>45922.666666666599</v>
      </c>
      <c r="B1167" s="1">
        <f ca="1">IFERROR(__xludf.DUMMYFUNCTION("""COMPUTED_VALUE"""),666.84)</f>
        <v>666.84</v>
      </c>
      <c r="C1167" s="1">
        <f ca="1">IFERROR(__xludf.DUMMYFUNCTION("""COMPUTED_VALUE"""),256.08)</f>
        <v>256.08</v>
      </c>
      <c r="D1167" s="1">
        <f ca="1">IFERROR(__xludf.DUMMYFUNCTION("""COMPUTED_VALUE"""),514.45)</f>
        <v>514.45000000000005</v>
      </c>
      <c r="E1167" s="1">
        <f ca="1">IFERROR(__xludf.DUMMYFUNCTION("""COMPUTED_VALUE"""),312.74)</f>
        <v>312.74</v>
      </c>
      <c r="F1167">
        <f t="shared" ca="1" si="149"/>
        <v>4.731053186680708E-3</v>
      </c>
      <c r="G1167">
        <f t="shared" ca="1" si="150"/>
        <v>4.3095723014256557E-2</v>
      </c>
      <c r="H1167">
        <f t="shared" ca="1" si="151"/>
        <v>-6.719054698511198E-3</v>
      </c>
      <c r="I1167">
        <f t="shared" ca="1" si="152"/>
        <v>9.6018435539627252E-4</v>
      </c>
      <c r="O1167">
        <f t="shared" ca="1" si="153"/>
        <v>1.7724264412726218</v>
      </c>
      <c r="P1167">
        <f t="shared" ca="1" si="154"/>
        <v>1.9527222815311891</v>
      </c>
      <c r="Q1167">
        <f t="shared" ca="1" si="155"/>
        <v>2.1466722303359065</v>
      </c>
      <c r="R1167">
        <f t="shared" ca="1" si="156"/>
        <v>2.4127449467674773</v>
      </c>
    </row>
    <row r="1168" spans="1:18" x14ac:dyDescent="0.3">
      <c r="A1168" s="2">
        <f ca="1">IFERROR(__xludf.DUMMYFUNCTION("""COMPUTED_VALUE"""),45923.6666666666)</f>
        <v>45923.666666666599</v>
      </c>
      <c r="B1168" s="1">
        <f ca="1">IFERROR(__xludf.DUMMYFUNCTION("""COMPUTED_VALUE"""),663.21)</f>
        <v>663.21</v>
      </c>
      <c r="C1168" s="1">
        <f ca="1">IFERROR(__xludf.DUMMYFUNCTION("""COMPUTED_VALUE"""),254.43)</f>
        <v>254.43</v>
      </c>
      <c r="D1168" s="1">
        <f ca="1">IFERROR(__xludf.DUMMYFUNCTION("""COMPUTED_VALUE"""),509.23)</f>
        <v>509.23</v>
      </c>
      <c r="E1168" s="1">
        <f ca="1">IFERROR(__xludf.DUMMYFUNCTION("""COMPUTED_VALUE"""),313.42)</f>
        <v>313.42</v>
      </c>
      <c r="F1168">
        <f t="shared" ca="1" si="149"/>
        <v>-5.4435846679863169E-3</v>
      </c>
      <c r="G1168">
        <f t="shared" ca="1" si="150"/>
        <v>-6.4432989690720761E-3</v>
      </c>
      <c r="H1168">
        <f t="shared" ca="1" si="151"/>
        <v>-1.0146758674312424E-2</v>
      </c>
      <c r="I1168">
        <f t="shared" ca="1" si="152"/>
        <v>2.1743301144721071E-3</v>
      </c>
      <c r="O1168">
        <f t="shared" ca="1" si="153"/>
        <v>1.7627780878717767</v>
      </c>
      <c r="P1168">
        <f t="shared" ca="1" si="154"/>
        <v>1.9401403080677151</v>
      </c>
      <c r="Q1168">
        <f t="shared" ca="1" si="155"/>
        <v>2.1248904652618399</v>
      </c>
      <c r="R1168">
        <f t="shared" ca="1" si="156"/>
        <v>2.4179910507637743</v>
      </c>
    </row>
    <row r="1169" spans="1:18" x14ac:dyDescent="0.3">
      <c r="A1169" s="2">
        <f ca="1">IFERROR(__xludf.DUMMYFUNCTION("""COMPUTED_VALUE"""),45924.6666666666)</f>
        <v>45924.666666666599</v>
      </c>
      <c r="B1169" s="1">
        <f ca="1">IFERROR(__xludf.DUMMYFUNCTION("""COMPUTED_VALUE"""),661.1)</f>
        <v>661.1</v>
      </c>
      <c r="C1169" s="1">
        <f ca="1">IFERROR(__xludf.DUMMYFUNCTION("""COMPUTED_VALUE"""),252.31)</f>
        <v>252.31</v>
      </c>
      <c r="D1169" s="1">
        <f ca="1">IFERROR(__xludf.DUMMYFUNCTION("""COMPUTED_VALUE"""),509.23)</f>
        <v>509.23</v>
      </c>
      <c r="E1169" s="1">
        <f ca="1">IFERROR(__xludf.DUMMYFUNCTION("""COMPUTED_VALUE"""),313.45)</f>
        <v>313.45</v>
      </c>
      <c r="F1169">
        <f t="shared" ca="1" si="149"/>
        <v>-3.1814960570558551E-3</v>
      </c>
      <c r="G1169">
        <f t="shared" ca="1" si="150"/>
        <v>-8.332350744802125E-3</v>
      </c>
      <c r="H1169">
        <f t="shared" ca="1" si="151"/>
        <v>0</v>
      </c>
      <c r="I1169">
        <f t="shared" ca="1" si="152"/>
        <v>9.571820560261857E-5</v>
      </c>
      <c r="O1169">
        <f t="shared" ca="1" si="153"/>
        <v>1.7571698163357481</v>
      </c>
      <c r="P1169">
        <f t="shared" ca="1" si="154"/>
        <v>1.9239743785267664</v>
      </c>
      <c r="Q1169">
        <f t="shared" ca="1" si="155"/>
        <v>2.1248904652618399</v>
      </c>
      <c r="R1169">
        <f t="shared" ca="1" si="156"/>
        <v>2.4182224965283168</v>
      </c>
    </row>
    <row r="1170" spans="1:18" x14ac:dyDescent="0.3">
      <c r="A1170" s="2">
        <f ca="1">IFERROR(__xludf.DUMMYFUNCTION("""COMPUTED_VALUE"""),45925.6666666666)</f>
        <v>45925.666666666599</v>
      </c>
      <c r="B1170" s="1">
        <f ca="1">IFERROR(__xludf.DUMMYFUNCTION("""COMPUTED_VALUE"""),658.05)</f>
        <v>658.05</v>
      </c>
      <c r="C1170" s="1">
        <f ca="1">IFERROR(__xludf.DUMMYFUNCTION("""COMPUTED_VALUE"""),256.87)</f>
        <v>256.87</v>
      </c>
      <c r="D1170" s="1">
        <f ca="1">IFERROR(__xludf.DUMMYFUNCTION("""COMPUTED_VALUE"""),507.03)</f>
        <v>507.03</v>
      </c>
      <c r="E1170" s="1">
        <f ca="1">IFERROR(__xludf.DUMMYFUNCTION("""COMPUTED_VALUE"""),316.06)</f>
        <v>316.06</v>
      </c>
      <c r="F1170">
        <f t="shared" ca="1" si="149"/>
        <v>-4.6135229163516379E-3</v>
      </c>
      <c r="G1170">
        <f t="shared" ca="1" si="150"/>
        <v>1.8073005429828395E-2</v>
      </c>
      <c r="H1170">
        <f t="shared" ca="1" si="151"/>
        <v>-4.3202482178976995E-3</v>
      </c>
      <c r="I1170">
        <f t="shared" ca="1" si="152"/>
        <v>8.3266868719094386E-3</v>
      </c>
      <c r="O1170">
        <f t="shared" ca="1" si="153"/>
        <v>1.7490630731201617</v>
      </c>
      <c r="P1170">
        <f t="shared" ca="1" si="154"/>
        <v>1.9587463779167313</v>
      </c>
      <c r="Q1170">
        <f t="shared" ca="1" si="155"/>
        <v>2.1157104110160647</v>
      </c>
      <c r="R1170">
        <f t="shared" ca="1" si="156"/>
        <v>2.4383582780435149</v>
      </c>
    </row>
    <row r="1171" spans="1:18" x14ac:dyDescent="0.3">
      <c r="A1171" s="2">
        <f ca="1">IFERROR(__xludf.DUMMYFUNCTION("""COMPUTED_VALUE"""),45926.6666666666)</f>
        <v>45926.666666666599</v>
      </c>
      <c r="B1171" s="1">
        <f ca="1">IFERROR(__xludf.DUMMYFUNCTION("""COMPUTED_VALUE"""),661.82)</f>
        <v>661.82</v>
      </c>
      <c r="C1171" s="1">
        <f ca="1">IFERROR(__xludf.DUMMYFUNCTION("""COMPUTED_VALUE"""),255.46)</f>
        <v>255.46</v>
      </c>
      <c r="D1171" s="1">
        <f ca="1">IFERROR(__xludf.DUMMYFUNCTION("""COMPUTED_VALUE"""),511.46)</f>
        <v>511.46</v>
      </c>
      <c r="E1171" s="1">
        <f ca="1">IFERROR(__xludf.DUMMYFUNCTION("""COMPUTED_VALUE"""),315.69)</f>
        <v>315.69</v>
      </c>
      <c r="F1171">
        <f t="shared" ca="1" si="149"/>
        <v>5.7290479446852E-3</v>
      </c>
      <c r="G1171">
        <f t="shared" ca="1" si="150"/>
        <v>-5.4891579398139E-3</v>
      </c>
      <c r="H1171">
        <f t="shared" ca="1" si="151"/>
        <v>8.7371555923712735E-3</v>
      </c>
      <c r="I1171">
        <f t="shared" ca="1" si="152"/>
        <v>-1.1706637980130499E-3</v>
      </c>
      <c r="O1171">
        <f t="shared" ca="1" si="153"/>
        <v>1.7590835393243456</v>
      </c>
      <c r="P1171">
        <f t="shared" ca="1" si="154"/>
        <v>1.9479945096843081</v>
      </c>
      <c r="Q1171">
        <f t="shared" ca="1" si="155"/>
        <v>2.1341957020655116</v>
      </c>
      <c r="R1171">
        <f t="shared" ca="1" si="156"/>
        <v>2.4355037802808241</v>
      </c>
    </row>
    <row r="1172" spans="1:18" x14ac:dyDescent="0.3">
      <c r="A1172" s="2">
        <f ca="1">IFERROR(__xludf.DUMMYFUNCTION("""COMPUTED_VALUE"""),45929.6666666666)</f>
        <v>45929.666666666599</v>
      </c>
      <c r="B1172" s="1">
        <f ca="1">IFERROR(__xludf.DUMMYFUNCTION("""COMPUTED_VALUE"""),663.68)</f>
        <v>663.68</v>
      </c>
      <c r="C1172" s="1">
        <f ca="1">IFERROR(__xludf.DUMMYFUNCTION("""COMPUTED_VALUE"""),254.43)</f>
        <v>254.43</v>
      </c>
      <c r="D1172" s="1">
        <f ca="1">IFERROR(__xludf.DUMMYFUNCTION("""COMPUTED_VALUE"""),514.6)</f>
        <v>514.6</v>
      </c>
      <c r="E1172" s="1">
        <f ca="1">IFERROR(__xludf.DUMMYFUNCTION("""COMPUTED_VALUE"""),315.43)</f>
        <v>315.43</v>
      </c>
      <c r="F1172">
        <f t="shared" ca="1" si="149"/>
        <v>2.8104318394728172E-3</v>
      </c>
      <c r="G1172">
        <f t="shared" ca="1" si="150"/>
        <v>-4.0319423784545569E-3</v>
      </c>
      <c r="H1172">
        <f t="shared" ca="1" si="151"/>
        <v>6.1392875298166881E-3</v>
      </c>
      <c r="I1172">
        <f t="shared" ca="1" si="152"/>
        <v>-8.2359276505429666E-4</v>
      </c>
      <c r="O1172">
        <f t="shared" ca="1" si="153"/>
        <v>1.7640273237115554</v>
      </c>
      <c r="P1172">
        <f t="shared" ca="1" si="154"/>
        <v>1.9401403080677151</v>
      </c>
      <c r="Q1172">
        <f t="shared" ca="1" si="155"/>
        <v>2.1472981431253908</v>
      </c>
      <c r="R1172">
        <f t="shared" ca="1" si="156"/>
        <v>2.4334979169881223</v>
      </c>
    </row>
    <row r="1173" spans="1:18" x14ac:dyDescent="0.3">
      <c r="A1173" s="2">
        <f ca="1">IFERROR(__xludf.DUMMYFUNCTION("""COMPUTED_VALUE"""),45930.6666666666)</f>
        <v>45930.666666666599</v>
      </c>
      <c r="B1173" s="1">
        <f ca="1">IFERROR(__xludf.DUMMYFUNCTION("""COMPUTED_VALUE"""),666.18)</f>
        <v>666.18</v>
      </c>
      <c r="C1173" s="1">
        <f ca="1">IFERROR(__xludf.DUMMYFUNCTION("""COMPUTED_VALUE"""),254.63)</f>
        <v>254.63</v>
      </c>
      <c r="D1173" s="1">
        <f ca="1">IFERROR(__xludf.DUMMYFUNCTION("""COMPUTED_VALUE"""),517.95)</f>
        <v>517.95000000000005</v>
      </c>
      <c r="E1173" s="1">
        <f ca="1">IFERROR(__xludf.DUMMYFUNCTION("""COMPUTED_VALUE"""),310.71)</f>
        <v>310.70999999999998</v>
      </c>
      <c r="F1173">
        <f t="shared" ca="1" si="149"/>
        <v>3.7668756027000967E-3</v>
      </c>
      <c r="G1173">
        <f t="shared" ca="1" si="150"/>
        <v>7.8607082498128613E-4</v>
      </c>
      <c r="H1173">
        <f t="shared" ca="1" si="151"/>
        <v>6.5099106101827097E-3</v>
      </c>
      <c r="I1173">
        <f t="shared" ca="1" si="152"/>
        <v>-1.4963700345560115E-2</v>
      </c>
      <c r="O1173">
        <f t="shared" ca="1" si="153"/>
        <v>1.7706721951997406</v>
      </c>
      <c r="P1173">
        <f t="shared" ca="1" si="154"/>
        <v>1.9416653957602574</v>
      </c>
      <c r="Q1173">
        <f t="shared" ca="1" si="155"/>
        <v>2.1612768620905483</v>
      </c>
      <c r="R1173">
        <f t="shared" ca="1" si="156"/>
        <v>2.3970837833667673</v>
      </c>
    </row>
    <row r="1174" spans="1:18" x14ac:dyDescent="0.3">
      <c r="A1174" s="2">
        <f ca="1">IFERROR(__xludf.DUMMYFUNCTION("""COMPUTED_VALUE"""),45931.6666666666)</f>
        <v>45931.666666666599</v>
      </c>
      <c r="B1174" s="1">
        <f ca="1">IFERROR(__xludf.DUMMYFUNCTION("""COMPUTED_VALUE"""),668.45)</f>
        <v>668.45</v>
      </c>
      <c r="C1174" s="1">
        <f ca="1">IFERROR(__xludf.DUMMYFUNCTION("""COMPUTED_VALUE"""),255.45)</f>
        <v>255.45</v>
      </c>
      <c r="D1174" s="1">
        <f ca="1">IFERROR(__xludf.DUMMYFUNCTION("""COMPUTED_VALUE"""),519.71)</f>
        <v>519.71</v>
      </c>
      <c r="E1174" s="1">
        <f ca="1">IFERROR(__xludf.DUMMYFUNCTION("""COMPUTED_VALUE"""),307.55)</f>
        <v>307.55</v>
      </c>
      <c r="F1174">
        <f t="shared" ca="1" si="149"/>
        <v>3.4074874658502141E-3</v>
      </c>
      <c r="G1174">
        <f t="shared" ca="1" si="150"/>
        <v>3.2203589522051337E-3</v>
      </c>
      <c r="H1174">
        <f t="shared" ca="1" si="151"/>
        <v>3.3980113910608953E-3</v>
      </c>
      <c r="I1174">
        <f t="shared" ca="1" si="152"/>
        <v>-1.0170255221911005E-2</v>
      </c>
      <c r="O1174">
        <f t="shared" ca="1" si="153"/>
        <v>1.7767057385110134</v>
      </c>
      <c r="P1174">
        <f t="shared" ca="1" si="154"/>
        <v>1.9479182552996808</v>
      </c>
      <c r="Q1174">
        <f t="shared" ca="1" si="155"/>
        <v>2.1686209054871686</v>
      </c>
      <c r="R1174">
        <f t="shared" ca="1" si="156"/>
        <v>2.3727048295016235</v>
      </c>
    </row>
    <row r="1175" spans="1:18" x14ac:dyDescent="0.3">
      <c r="A1175" s="2">
        <f ca="1">IFERROR(__xludf.DUMMYFUNCTION("""COMPUTED_VALUE"""),45932.6666666666)</f>
        <v>45932.666666666599</v>
      </c>
      <c r="B1175" s="1">
        <f ca="1">IFERROR(__xludf.DUMMYFUNCTION("""COMPUTED_VALUE"""),669.22)</f>
        <v>669.22</v>
      </c>
      <c r="C1175" s="1">
        <f ca="1">IFERROR(__xludf.DUMMYFUNCTION("""COMPUTED_VALUE"""),257.13)</f>
        <v>257.13</v>
      </c>
      <c r="D1175" s="1">
        <f ca="1">IFERROR(__xludf.DUMMYFUNCTION("""COMPUTED_VALUE"""),515.74)</f>
        <v>515.74</v>
      </c>
      <c r="E1175" s="1">
        <f ca="1">IFERROR(__xludf.DUMMYFUNCTION("""COMPUTED_VALUE"""),310.03)</f>
        <v>310.02999999999997</v>
      </c>
      <c r="F1175">
        <f t="shared" ca="1" si="149"/>
        <v>1.1519186176976314E-3</v>
      </c>
      <c r="G1175">
        <f t="shared" ca="1" si="150"/>
        <v>6.5766294773928636E-3</v>
      </c>
      <c r="H1175">
        <f t="shared" ca="1" si="151"/>
        <v>-7.6388755267361164E-3</v>
      </c>
      <c r="I1175">
        <f t="shared" ca="1" si="152"/>
        <v>8.0637294748820074E-3</v>
      </c>
      <c r="O1175">
        <f t="shared" ca="1" si="153"/>
        <v>1.7787523589293743</v>
      </c>
      <c r="P1175">
        <f t="shared" ca="1" si="154"/>
        <v>1.9607289919170361</v>
      </c>
      <c r="Q1175">
        <f t="shared" ca="1" si="155"/>
        <v>2.1520550803254741</v>
      </c>
      <c r="R1175">
        <f t="shared" ca="1" si="156"/>
        <v>2.3918376793704708</v>
      </c>
    </row>
    <row r="1176" spans="1:18" x14ac:dyDescent="0.3">
      <c r="A1176" s="2">
        <f ca="1">IFERROR(__xludf.DUMMYFUNCTION("""COMPUTED_VALUE"""),45933.6666666666)</f>
        <v>45933.666666666599</v>
      </c>
      <c r="B1176" s="1">
        <f ca="1">IFERROR(__xludf.DUMMYFUNCTION("""COMPUTED_VALUE"""),669.21)</f>
        <v>669.21</v>
      </c>
      <c r="C1176" s="1">
        <f ca="1">IFERROR(__xludf.DUMMYFUNCTION("""COMPUTED_VALUE"""),258.02)</f>
        <v>258.02</v>
      </c>
      <c r="D1176" s="1">
        <f ca="1">IFERROR(__xludf.DUMMYFUNCTION("""COMPUTED_VALUE"""),517.35)</f>
        <v>517.35</v>
      </c>
      <c r="E1176" s="1">
        <f ca="1">IFERROR(__xludf.DUMMYFUNCTION("""COMPUTED_VALUE"""),309.18)</f>
        <v>309.18</v>
      </c>
      <c r="F1176">
        <f t="shared" ca="1" si="149"/>
        <v>-1.4942769193973439E-5</v>
      </c>
      <c r="G1176">
        <f t="shared" ca="1" si="150"/>
        <v>3.461284175319824E-3</v>
      </c>
      <c r="H1176">
        <f t="shared" ca="1" si="151"/>
        <v>3.1217280024818969E-3</v>
      </c>
      <c r="I1176">
        <f t="shared" ca="1" si="152"/>
        <v>-2.7416701609520562E-3</v>
      </c>
      <c r="O1176">
        <f t="shared" ca="1" si="153"/>
        <v>1.7787257794434215</v>
      </c>
      <c r="P1176">
        <f t="shared" ca="1" si="154"/>
        <v>1.9675156321488494</v>
      </c>
      <c r="Q1176">
        <f t="shared" ca="1" si="155"/>
        <v>2.1587732109326097</v>
      </c>
      <c r="R1176">
        <f t="shared" ca="1" si="156"/>
        <v>2.3852800493750999</v>
      </c>
    </row>
    <row r="1177" spans="1:18" x14ac:dyDescent="0.3">
      <c r="A1177" s="2">
        <f ca="1">IFERROR(__xludf.DUMMYFUNCTION("""COMPUTED_VALUE"""),45936.6666666666)</f>
        <v>45936.666666666599</v>
      </c>
      <c r="B1177" s="1">
        <f ca="1">IFERROR(__xludf.DUMMYFUNCTION("""COMPUTED_VALUE"""),671.61)</f>
        <v>671.61</v>
      </c>
      <c r="C1177" s="1">
        <f ca="1">IFERROR(__xludf.DUMMYFUNCTION("""COMPUTED_VALUE"""),256.69)</f>
        <v>256.69</v>
      </c>
      <c r="D1177" s="1">
        <f ca="1">IFERROR(__xludf.DUMMYFUNCTION("""COMPUTED_VALUE"""),528.57)</f>
        <v>528.57000000000005</v>
      </c>
      <c r="E1177" s="1">
        <f ca="1">IFERROR(__xludf.DUMMYFUNCTION("""COMPUTED_VALUE"""),307.69)</f>
        <v>307.69</v>
      </c>
      <c r="F1177">
        <f t="shared" ca="1" si="149"/>
        <v>3.5863181960819131E-3</v>
      </c>
      <c r="G1177">
        <f t="shared" ca="1" si="150"/>
        <v>-5.1546391752576703E-3</v>
      </c>
      <c r="H1177">
        <f t="shared" ca="1" si="151"/>
        <v>2.1687445636416405E-2</v>
      </c>
      <c r="I1177">
        <f t="shared" ca="1" si="152"/>
        <v>-4.819199172003393E-3</v>
      </c>
      <c r="O1177">
        <f t="shared" ca="1" si="153"/>
        <v>1.7851048560720797</v>
      </c>
      <c r="P1177">
        <f t="shared" ca="1" si="154"/>
        <v>1.957373798993443</v>
      </c>
      <c r="Q1177">
        <f t="shared" ca="1" si="155"/>
        <v>2.2055914875860627</v>
      </c>
      <c r="R1177">
        <f t="shared" ca="1" si="156"/>
        <v>2.3737849097361554</v>
      </c>
    </row>
    <row r="1178" spans="1:18" x14ac:dyDescent="0.3">
      <c r="A1178" s="2">
        <f ca="1">IFERROR(__xludf.DUMMYFUNCTION("""COMPUTED_VALUE"""),45937.6666666666)</f>
        <v>45937.666666666599</v>
      </c>
      <c r="B1178" s="1">
        <f ca="1">IFERROR(__xludf.DUMMYFUNCTION("""COMPUTED_VALUE"""),669.12)</f>
        <v>669.12</v>
      </c>
      <c r="C1178" s="1">
        <f ca="1">IFERROR(__xludf.DUMMYFUNCTION("""COMPUTED_VALUE"""),256.48)</f>
        <v>256.48</v>
      </c>
      <c r="D1178" s="1">
        <f ca="1">IFERROR(__xludf.DUMMYFUNCTION("""COMPUTED_VALUE"""),523.98)</f>
        <v>523.98</v>
      </c>
      <c r="E1178" s="1">
        <f ca="1">IFERROR(__xludf.DUMMYFUNCTION("""COMPUTED_VALUE"""),304.03)</f>
        <v>304.02999999999997</v>
      </c>
      <c r="F1178">
        <f t="shared" ca="1" si="149"/>
        <v>-3.7075088220842587E-3</v>
      </c>
      <c r="G1178">
        <f t="shared" ca="1" si="150"/>
        <v>-8.1810744477766781E-4</v>
      </c>
      <c r="H1178">
        <f t="shared" ca="1" si="151"/>
        <v>-8.6838072535331771E-3</v>
      </c>
      <c r="I1178">
        <f t="shared" ca="1" si="152"/>
        <v>-1.189508921316918E-2</v>
      </c>
      <c r="O1178">
        <f t="shared" ca="1" si="153"/>
        <v>1.7784865640698471</v>
      </c>
      <c r="P1178">
        <f t="shared" ca="1" si="154"/>
        <v>1.9557724569162738</v>
      </c>
      <c r="Q1178">
        <f t="shared" ca="1" si="155"/>
        <v>2.1864385562278321</v>
      </c>
      <c r="R1178">
        <f t="shared" ca="1" si="156"/>
        <v>2.3455485264619691</v>
      </c>
    </row>
    <row r="1179" spans="1:18" x14ac:dyDescent="0.3">
      <c r="A1179" s="2">
        <f ca="1">IFERROR(__xludf.DUMMYFUNCTION("""COMPUTED_VALUE"""),45938.6666666666)</f>
        <v>45938.666666666599</v>
      </c>
      <c r="B1179" s="1">
        <f ca="1">IFERROR(__xludf.DUMMYFUNCTION("""COMPUTED_VALUE"""),673.11)</f>
        <v>673.11</v>
      </c>
      <c r="C1179" s="1">
        <f ca="1">IFERROR(__xludf.DUMMYFUNCTION("""COMPUTED_VALUE"""),258.06)</f>
        <v>258.06</v>
      </c>
      <c r="D1179" s="1">
        <f ca="1">IFERROR(__xludf.DUMMYFUNCTION("""COMPUTED_VALUE"""),524.85)</f>
        <v>524.85</v>
      </c>
      <c r="E1179" s="1">
        <f ca="1">IFERROR(__xludf.DUMMYFUNCTION("""COMPUTED_VALUE"""),305.53)</f>
        <v>305.52999999999997</v>
      </c>
      <c r="F1179">
        <f t="shared" ca="1" si="149"/>
        <v>5.9630559540889659E-3</v>
      </c>
      <c r="G1179">
        <f t="shared" ca="1" si="150"/>
        <v>6.1603243917653771E-3</v>
      </c>
      <c r="H1179">
        <f t="shared" ca="1" si="151"/>
        <v>1.6603687163632287E-3</v>
      </c>
      <c r="I1179">
        <f t="shared" ca="1" si="152"/>
        <v>4.9337236456928595E-3</v>
      </c>
      <c r="O1179">
        <f t="shared" ca="1" si="153"/>
        <v>1.7890917789649907</v>
      </c>
      <c r="P1179">
        <f t="shared" ca="1" si="154"/>
        <v>1.967820649687358</v>
      </c>
      <c r="Q1179">
        <f t="shared" ca="1" si="155"/>
        <v>2.1900688504068433</v>
      </c>
      <c r="R1179">
        <f t="shared" ca="1" si="156"/>
        <v>2.3571208146890945</v>
      </c>
    </row>
    <row r="1180" spans="1:18" x14ac:dyDescent="0.3">
      <c r="A1180" s="2">
        <f ca="1">IFERROR(__xludf.DUMMYFUNCTION("""COMPUTED_VALUE"""),45939.6666666666)</f>
        <v>45939.666666666599</v>
      </c>
      <c r="B1180" s="1">
        <f ca="1">IFERROR(__xludf.DUMMYFUNCTION("""COMPUTED_VALUE"""),671.16)</f>
        <v>671.16</v>
      </c>
      <c r="C1180" s="1">
        <f ca="1">IFERROR(__xludf.DUMMYFUNCTION("""COMPUTED_VALUE"""),254.04)</f>
        <v>254.04</v>
      </c>
      <c r="D1180" s="1">
        <f ca="1">IFERROR(__xludf.DUMMYFUNCTION("""COMPUTED_VALUE"""),522.4)</f>
        <v>522.4</v>
      </c>
      <c r="E1180" s="1">
        <f ca="1">IFERROR(__xludf.DUMMYFUNCTION("""COMPUTED_VALUE"""),300.89)</f>
        <v>300.89</v>
      </c>
      <c r="F1180">
        <f t="shared" ca="1" si="149"/>
        <v>-2.8970004902616887E-3</v>
      </c>
      <c r="G1180">
        <f t="shared" ca="1" si="150"/>
        <v>-1.5577772611020732E-2</v>
      </c>
      <c r="H1180">
        <f t="shared" ca="1" si="151"/>
        <v>-4.6680003810613416E-3</v>
      </c>
      <c r="I1180">
        <f t="shared" ca="1" si="152"/>
        <v>-1.5186724707884616E-2</v>
      </c>
      <c r="O1180">
        <f t="shared" ca="1" si="153"/>
        <v>1.7839087792042061</v>
      </c>
      <c r="P1180">
        <f t="shared" ca="1" si="154"/>
        <v>1.9371663870672573</v>
      </c>
      <c r="Q1180">
        <f t="shared" ca="1" si="155"/>
        <v>2.1798456081785935</v>
      </c>
      <c r="R1180">
        <f t="shared" ca="1" si="156"/>
        <v>2.3213238697731864</v>
      </c>
    </row>
    <row r="1181" spans="1:18" x14ac:dyDescent="0.3">
      <c r="A1181" s="2">
        <f ca="1">IFERROR(__xludf.DUMMYFUNCTION("""COMPUTED_VALUE"""),45940.6666666666)</f>
        <v>45940.666666666599</v>
      </c>
      <c r="B1181" s="1">
        <f ca="1">IFERROR(__xludf.DUMMYFUNCTION("""COMPUTED_VALUE"""),653.02)</f>
        <v>653.02</v>
      </c>
      <c r="C1181" s="1">
        <f ca="1">IFERROR(__xludf.DUMMYFUNCTION("""COMPUTED_VALUE"""),245.27)</f>
        <v>245.27</v>
      </c>
      <c r="D1181" s="1">
        <f ca="1">IFERROR(__xludf.DUMMYFUNCTION("""COMPUTED_VALUE"""),510.96)</f>
        <v>510.96</v>
      </c>
      <c r="E1181" s="1">
        <f ca="1">IFERROR(__xludf.DUMMYFUNCTION("""COMPUTED_VALUE"""),307.97)</f>
        <v>307.97000000000003</v>
      </c>
      <c r="F1181">
        <f t="shared" ca="1" si="149"/>
        <v>-2.7027832409559551E-2</v>
      </c>
      <c r="G1181">
        <f t="shared" ca="1" si="150"/>
        <v>-3.4522122500393569E-2</v>
      </c>
      <c r="H1181">
        <f t="shared" ca="1" si="151"/>
        <v>-2.1898928024502294E-2</v>
      </c>
      <c r="I1181">
        <f t="shared" ca="1" si="152"/>
        <v>2.3530193758516539E-2</v>
      </c>
      <c r="O1181">
        <f t="shared" ca="1" si="153"/>
        <v>1.7356935916859328</v>
      </c>
      <c r="P1181">
        <f t="shared" ca="1" si="154"/>
        <v>1.8702912917492767</v>
      </c>
      <c r="Q1181">
        <f t="shared" ca="1" si="155"/>
        <v>2.1321093261005628</v>
      </c>
      <c r="R1181">
        <f t="shared" ca="1" si="156"/>
        <v>2.3759450702052192</v>
      </c>
    </row>
    <row r="1182" spans="1:18" x14ac:dyDescent="0.3">
      <c r="A1182" s="2">
        <f ca="1">IFERROR(__xludf.DUMMYFUNCTION("""COMPUTED_VALUE"""),45943.6666666666)</f>
        <v>45943.666666666599</v>
      </c>
      <c r="B1182" s="1">
        <f ca="1">IFERROR(__xludf.DUMMYFUNCTION("""COMPUTED_VALUE"""),663.04)</f>
        <v>663.04</v>
      </c>
      <c r="C1182" s="1">
        <f ca="1">IFERROR(__xludf.DUMMYFUNCTION("""COMPUTED_VALUE"""),247.66)</f>
        <v>247.66</v>
      </c>
      <c r="D1182" s="1">
        <f ca="1">IFERROR(__xludf.DUMMYFUNCTION("""COMPUTED_VALUE"""),514.05)</f>
        <v>514.04999999999995</v>
      </c>
      <c r="E1182" s="1">
        <f ca="1">IFERROR(__xludf.DUMMYFUNCTION("""COMPUTED_VALUE"""),302.08)</f>
        <v>302.08</v>
      </c>
      <c r="F1182">
        <f t="shared" ca="1" si="149"/>
        <v>1.5344093595908215E-2</v>
      </c>
      <c r="G1182">
        <f t="shared" ca="1" si="150"/>
        <v>9.7443633546703077E-3</v>
      </c>
      <c r="H1182">
        <f t="shared" ca="1" si="151"/>
        <v>6.0474401127289324E-3</v>
      </c>
      <c r="I1182">
        <f t="shared" ca="1" si="152"/>
        <v>-1.9125239471377221E-2</v>
      </c>
      <c r="O1182">
        <f t="shared" ca="1" si="153"/>
        <v>1.7623262366105799</v>
      </c>
      <c r="P1182">
        <f t="shared" ca="1" si="154"/>
        <v>1.8885160896751574</v>
      </c>
      <c r="Q1182">
        <f t="shared" ca="1" si="155"/>
        <v>2.1450031295639467</v>
      </c>
      <c r="R1182">
        <f t="shared" ca="1" si="156"/>
        <v>2.330504551766706</v>
      </c>
    </row>
    <row r="1183" spans="1:18" x14ac:dyDescent="0.3">
      <c r="A1183" s="2">
        <f ca="1">IFERROR(__xludf.DUMMYFUNCTION("""COMPUTED_VALUE"""),45944.6666666666)</f>
        <v>45944.666666666599</v>
      </c>
      <c r="B1183" s="1">
        <f ca="1">IFERROR(__xludf.DUMMYFUNCTION("""COMPUTED_VALUE"""),662.23)</f>
        <v>662.23</v>
      </c>
      <c r="C1183" s="1">
        <f ca="1">IFERROR(__xludf.DUMMYFUNCTION("""COMPUTED_VALUE"""),247.77)</f>
        <v>247.77</v>
      </c>
      <c r="D1183" s="1">
        <f ca="1">IFERROR(__xludf.DUMMYFUNCTION("""COMPUTED_VALUE"""),513.57)</f>
        <v>513.57000000000005</v>
      </c>
      <c r="E1183" s="1">
        <f ca="1">IFERROR(__xludf.DUMMYFUNCTION("""COMPUTED_VALUE"""),305.69)</f>
        <v>305.69</v>
      </c>
      <c r="F1183">
        <f t="shared" ca="1" si="149"/>
        <v>-1.2216457528956707E-3</v>
      </c>
      <c r="G1183">
        <f t="shared" ca="1" si="150"/>
        <v>4.4415731244453545E-4</v>
      </c>
      <c r="H1183">
        <f t="shared" ca="1" si="151"/>
        <v>-9.3376130726564453E-4</v>
      </c>
      <c r="I1183">
        <f t="shared" ca="1" si="152"/>
        <v>1.19504766949153E-2</v>
      </c>
      <c r="O1183">
        <f t="shared" ca="1" si="153"/>
        <v>1.760173298248408</v>
      </c>
      <c r="P1183">
        <f t="shared" ca="1" si="154"/>
        <v>1.8893548879060558</v>
      </c>
      <c r="Q1183">
        <f t="shared" ca="1" si="155"/>
        <v>2.1430002086375963</v>
      </c>
      <c r="R1183">
        <f t="shared" ca="1" si="156"/>
        <v>2.3583551920999879</v>
      </c>
    </row>
    <row r="1184" spans="1:18" x14ac:dyDescent="0.3">
      <c r="A1184" s="2">
        <f ca="1">IFERROR(__xludf.DUMMYFUNCTION("""COMPUTED_VALUE"""),45945.6666666666)</f>
        <v>45945.666666666599</v>
      </c>
      <c r="B1184" s="1">
        <f ca="1">IFERROR(__xludf.DUMMYFUNCTION("""COMPUTED_VALUE"""),665.17)</f>
        <v>665.17</v>
      </c>
      <c r="C1184" s="1">
        <f ca="1">IFERROR(__xludf.DUMMYFUNCTION("""COMPUTED_VALUE"""),249.34)</f>
        <v>249.34</v>
      </c>
      <c r="D1184" s="1">
        <f ca="1">IFERROR(__xludf.DUMMYFUNCTION("""COMPUTED_VALUE"""),513.43)</f>
        <v>513.42999999999995</v>
      </c>
      <c r="E1184" s="1">
        <f ca="1">IFERROR(__xludf.DUMMYFUNCTION("""COMPUTED_VALUE"""),298.54)</f>
        <v>298.54000000000002</v>
      </c>
      <c r="F1184">
        <f t="shared" ca="1" si="149"/>
        <v>4.4395451731270722E-3</v>
      </c>
      <c r="G1184">
        <f t="shared" ca="1" si="150"/>
        <v>6.336521774226069E-3</v>
      </c>
      <c r="H1184">
        <f t="shared" ca="1" si="151"/>
        <v>-2.7260159277235825E-4</v>
      </c>
      <c r="I1184">
        <f t="shared" ca="1" si="152"/>
        <v>-2.3389708528247496E-2</v>
      </c>
      <c r="O1184">
        <f t="shared" ca="1" si="153"/>
        <v>1.767987667118514</v>
      </c>
      <c r="P1184">
        <f t="shared" ca="1" si="154"/>
        <v>1.9013268262925132</v>
      </c>
      <c r="Q1184">
        <f t="shared" ca="1" si="155"/>
        <v>2.1424160233674101</v>
      </c>
      <c r="R1184">
        <f t="shared" ca="1" si="156"/>
        <v>2.3031939515506901</v>
      </c>
    </row>
    <row r="1185" spans="1:18" x14ac:dyDescent="0.3">
      <c r="A1185" s="2">
        <f ca="1">IFERROR(__xludf.DUMMYFUNCTION("""COMPUTED_VALUE"""),45946.6666666666)</f>
        <v>45946.666666666599</v>
      </c>
      <c r="B1185" s="1">
        <f ca="1">IFERROR(__xludf.DUMMYFUNCTION("""COMPUTED_VALUE"""),660.64)</f>
        <v>660.64</v>
      </c>
      <c r="C1185" s="1">
        <f ca="1">IFERROR(__xludf.DUMMYFUNCTION("""COMPUTED_VALUE"""),247.45)</f>
        <v>247.45</v>
      </c>
      <c r="D1185" s="1">
        <f ca="1">IFERROR(__xludf.DUMMYFUNCTION("""COMPUTED_VALUE"""),511.61)</f>
        <v>511.61</v>
      </c>
      <c r="E1185" s="1">
        <f ca="1">IFERROR(__xludf.DUMMYFUNCTION("""COMPUTED_VALUE"""),297.56)</f>
        <v>297.56</v>
      </c>
      <c r="F1185">
        <f t="shared" ca="1" si="149"/>
        <v>-6.8102890990272757E-3</v>
      </c>
      <c r="G1185">
        <f t="shared" ca="1" si="150"/>
        <v>-7.5800112296463256E-3</v>
      </c>
      <c r="H1185">
        <f t="shared" ca="1" si="151"/>
        <v>-3.5447870206258623E-3</v>
      </c>
      <c r="I1185">
        <f t="shared" ca="1" si="152"/>
        <v>-3.2826421920011326E-3</v>
      </c>
      <c r="O1185">
        <f t="shared" ca="1" si="153"/>
        <v>1.7559471599819221</v>
      </c>
      <c r="P1185">
        <f t="shared" ca="1" si="154"/>
        <v>1.8869147475979879</v>
      </c>
      <c r="Q1185">
        <f t="shared" ca="1" si="155"/>
        <v>2.1348216148549963</v>
      </c>
      <c r="R1185">
        <f t="shared" ca="1" si="156"/>
        <v>2.2956333899089678</v>
      </c>
    </row>
    <row r="1186" spans="1:18" x14ac:dyDescent="0.3">
      <c r="A1186" s="2">
        <f ca="1">IFERROR(__xludf.DUMMYFUNCTION("""COMPUTED_VALUE"""),45947.6666666666)</f>
        <v>45947.666666666599</v>
      </c>
      <c r="B1186" s="1">
        <f ca="1">IFERROR(__xludf.DUMMYFUNCTION("""COMPUTED_VALUE"""),664.39)</f>
        <v>664.39</v>
      </c>
      <c r="C1186" s="1">
        <f ca="1">IFERROR(__xludf.DUMMYFUNCTION("""COMPUTED_VALUE"""),252.29)</f>
        <v>252.29</v>
      </c>
      <c r="D1186" s="1">
        <f ca="1">IFERROR(__xludf.DUMMYFUNCTION("""COMPUTED_VALUE"""),513.58)</f>
        <v>513.58000000000004</v>
      </c>
      <c r="E1186" s="1">
        <f ca="1">IFERROR(__xludf.DUMMYFUNCTION("""COMPUTED_VALUE"""),302.36)</f>
        <v>302.36</v>
      </c>
      <c r="F1186">
        <f t="shared" ca="1" si="149"/>
        <v>5.6763138774521679E-3</v>
      </c>
      <c r="G1186">
        <f t="shared" ca="1" si="150"/>
        <v>1.9559506971105287E-2</v>
      </c>
      <c r="H1186">
        <f t="shared" ca="1" si="151"/>
        <v>3.8505893160806614E-3</v>
      </c>
      <c r="I1186">
        <f t="shared" ca="1" si="152"/>
        <v>1.6131200430165384E-2</v>
      </c>
      <c r="O1186">
        <f t="shared" ca="1" si="153"/>
        <v>1.7659144672142004</v>
      </c>
      <c r="P1186">
        <f t="shared" ca="1" si="154"/>
        <v>1.923821869757512</v>
      </c>
      <c r="Q1186">
        <f t="shared" ca="1" si="155"/>
        <v>2.1430419361568953</v>
      </c>
      <c r="R1186">
        <f t="shared" ca="1" si="156"/>
        <v>2.3326647122357698</v>
      </c>
    </row>
    <row r="1187" spans="1:18" x14ac:dyDescent="0.3">
      <c r="A1187" s="2">
        <f ca="1">IFERROR(__xludf.DUMMYFUNCTION("""COMPUTED_VALUE"""),45950.6666666666)</f>
        <v>45950.666666666599</v>
      </c>
      <c r="B1187" s="1">
        <f ca="1">IFERROR(__xludf.DUMMYFUNCTION("""COMPUTED_VALUE"""),671.3)</f>
        <v>671.3</v>
      </c>
      <c r="C1187" s="1">
        <f ca="1">IFERROR(__xludf.DUMMYFUNCTION("""COMPUTED_VALUE"""),262.24)</f>
        <v>262.24</v>
      </c>
      <c r="D1187" s="1">
        <f ca="1">IFERROR(__xludf.DUMMYFUNCTION("""COMPUTED_VALUE"""),516.79)</f>
        <v>516.79</v>
      </c>
      <c r="E1187" s="1">
        <f ca="1">IFERROR(__xludf.DUMMYFUNCTION("""COMPUTED_VALUE"""),297.09)</f>
        <v>297.08999999999997</v>
      </c>
      <c r="F1187">
        <f t="shared" ca="1" si="149"/>
        <v>1.0400517768178281E-2</v>
      </c>
      <c r="G1187">
        <f t="shared" ca="1" si="150"/>
        <v>3.943874113123793E-2</v>
      </c>
      <c r="H1187">
        <f t="shared" ca="1" si="151"/>
        <v>6.2502433895399402E-3</v>
      </c>
      <c r="I1187">
        <f t="shared" ca="1" si="152"/>
        <v>-1.7429554173832646E-2</v>
      </c>
      <c r="O1187">
        <f t="shared" ca="1" si="153"/>
        <v>1.7842808920075448</v>
      </c>
      <c r="P1187">
        <f t="shared" ca="1" si="154"/>
        <v>1.9996949824614929</v>
      </c>
      <c r="Q1187">
        <f t="shared" ca="1" si="155"/>
        <v>2.156436469851867</v>
      </c>
      <c r="R1187">
        <f t="shared" ca="1" si="156"/>
        <v>2.2920074062644686</v>
      </c>
    </row>
    <row r="1188" spans="1:18" x14ac:dyDescent="0.3">
      <c r="A1188" s="2">
        <f ca="1">IFERROR(__xludf.DUMMYFUNCTION("""COMPUTED_VALUE"""),45951.6666666666)</f>
        <v>45951.666666666599</v>
      </c>
      <c r="B1188" s="1">
        <f ca="1">IFERROR(__xludf.DUMMYFUNCTION("""COMPUTED_VALUE"""),671.29)</f>
        <v>671.29</v>
      </c>
      <c r="C1188" s="1">
        <f ca="1">IFERROR(__xludf.DUMMYFUNCTION("""COMPUTED_VALUE"""),262.77)</f>
        <v>262.77</v>
      </c>
      <c r="D1188" s="1">
        <f ca="1">IFERROR(__xludf.DUMMYFUNCTION("""COMPUTED_VALUE"""),517.66)</f>
        <v>517.66</v>
      </c>
      <c r="E1188" s="1">
        <f ca="1">IFERROR(__xludf.DUMMYFUNCTION("""COMPUTED_VALUE"""),294.11)</f>
        <v>294.11</v>
      </c>
      <c r="F1188">
        <f t="shared" ca="1" si="149"/>
        <v>-1.4896469536706249E-5</v>
      </c>
      <c r="G1188">
        <f t="shared" ca="1" si="150"/>
        <v>2.0210494203781754E-3</v>
      </c>
      <c r="H1188">
        <f t="shared" ca="1" si="151"/>
        <v>1.6834691073743776E-3</v>
      </c>
      <c r="I1188">
        <f t="shared" ca="1" si="152"/>
        <v>-1.0030630448685454E-2</v>
      </c>
      <c r="O1188">
        <f t="shared" ca="1" si="153"/>
        <v>1.7842543125215922</v>
      </c>
      <c r="P1188">
        <f t="shared" ca="1" si="154"/>
        <v>2.00373646484673</v>
      </c>
      <c r="Q1188">
        <f t="shared" ca="1" si="155"/>
        <v>2.1600667640308782</v>
      </c>
      <c r="R1188">
        <f t="shared" ca="1" si="156"/>
        <v>2.2690171269865798</v>
      </c>
    </row>
    <row r="1189" spans="1:18" x14ac:dyDescent="0.3">
      <c r="A1189" s="2">
        <f ca="1">IFERROR(__xludf.DUMMYFUNCTION("""COMPUTED_VALUE"""),45952.6666666666)</f>
        <v>45952.666666666599</v>
      </c>
      <c r="B1189" s="1">
        <f ca="1">IFERROR(__xludf.DUMMYFUNCTION("""COMPUTED_VALUE"""),667.8)</f>
        <v>667.8</v>
      </c>
      <c r="C1189" s="1">
        <f ca="1">IFERROR(__xludf.DUMMYFUNCTION("""COMPUTED_VALUE"""),258.45)</f>
        <v>258.45</v>
      </c>
      <c r="D1189" s="1">
        <f ca="1">IFERROR(__xludf.DUMMYFUNCTION("""COMPUTED_VALUE"""),520.54)</f>
        <v>520.54</v>
      </c>
      <c r="E1189" s="1">
        <f ca="1">IFERROR(__xludf.DUMMYFUNCTION("""COMPUTED_VALUE"""),294.54)</f>
        <v>294.54000000000002</v>
      </c>
      <c r="F1189">
        <f t="shared" ca="1" si="149"/>
        <v>-5.1989453142457197E-3</v>
      </c>
      <c r="G1189">
        <f t="shared" ca="1" si="150"/>
        <v>-1.6440232903299438E-2</v>
      </c>
      <c r="H1189">
        <f t="shared" ca="1" si="151"/>
        <v>5.5634972762044496E-3</v>
      </c>
      <c r="I1189">
        <f t="shared" ca="1" si="152"/>
        <v>1.4620380129883607E-3</v>
      </c>
      <c r="O1189">
        <f t="shared" ca="1" si="153"/>
        <v>1.7749780719240853</v>
      </c>
      <c r="P1189">
        <f t="shared" ca="1" si="154"/>
        <v>1.9707945706878158</v>
      </c>
      <c r="Q1189">
        <f t="shared" ca="1" si="155"/>
        <v>2.1720842895889838</v>
      </c>
      <c r="R1189">
        <f t="shared" ca="1" si="156"/>
        <v>2.2723345162783559</v>
      </c>
    </row>
    <row r="1190" spans="1:18" x14ac:dyDescent="0.3">
      <c r="A1190" s="2">
        <f ca="1">IFERROR(__xludf.DUMMYFUNCTION("""COMPUTED_VALUE"""),45953.6666666666)</f>
        <v>45953.666666666599</v>
      </c>
      <c r="B1190" s="1">
        <f ca="1">IFERROR(__xludf.DUMMYFUNCTION("""COMPUTED_VALUE"""),671.76)</f>
        <v>671.76</v>
      </c>
      <c r="C1190" s="1">
        <f ca="1">IFERROR(__xludf.DUMMYFUNCTION("""COMPUTED_VALUE"""),259.58)</f>
        <v>259.58</v>
      </c>
      <c r="D1190" s="1">
        <f ca="1">IFERROR(__xludf.DUMMYFUNCTION("""COMPUTED_VALUE"""),520.56)</f>
        <v>520.55999999999995</v>
      </c>
      <c r="E1190" s="1">
        <f ca="1">IFERROR(__xludf.DUMMYFUNCTION("""COMPUTED_VALUE"""),300.44)</f>
        <v>300.44</v>
      </c>
      <c r="F1190">
        <f t="shared" ca="1" si="149"/>
        <v>5.9299191374663626E-3</v>
      </c>
      <c r="G1190">
        <f t="shared" ca="1" si="150"/>
        <v>4.3722189978719116E-3</v>
      </c>
      <c r="H1190">
        <f t="shared" ca="1" si="151"/>
        <v>3.8421639067087664E-5</v>
      </c>
      <c r="I1190">
        <f t="shared" ca="1" si="152"/>
        <v>2.0031235146329793E-2</v>
      </c>
      <c r="O1190">
        <f t="shared" ca="1" si="153"/>
        <v>1.7855035483613713</v>
      </c>
      <c r="P1190">
        <f t="shared" ca="1" si="154"/>
        <v>1.9794113161506799</v>
      </c>
      <c r="Q1190">
        <f t="shared" ca="1" si="155"/>
        <v>2.1721677446275813</v>
      </c>
      <c r="R1190">
        <f t="shared" ca="1" si="156"/>
        <v>2.3178521833050496</v>
      </c>
    </row>
    <row r="1191" spans="1:18" x14ac:dyDescent="0.3">
      <c r="A1191" s="2">
        <f ca="1">IFERROR(__xludf.DUMMYFUNCTION("""COMPUTED_VALUE"""),45954.6666666666)</f>
        <v>45954.666666666599</v>
      </c>
      <c r="B1191" s="1">
        <f ca="1">IFERROR(__xludf.DUMMYFUNCTION("""COMPUTED_VALUE"""),677.25)</f>
        <v>677.25</v>
      </c>
      <c r="C1191" s="1">
        <f ca="1">IFERROR(__xludf.DUMMYFUNCTION("""COMPUTED_VALUE"""),262.82)</f>
        <v>262.82</v>
      </c>
      <c r="D1191" s="1">
        <f ca="1">IFERROR(__xludf.DUMMYFUNCTION("""COMPUTED_VALUE"""),523.61)</f>
        <v>523.61</v>
      </c>
      <c r="E1191" s="1">
        <f ca="1">IFERROR(__xludf.DUMMYFUNCTION("""COMPUTED_VALUE"""),304.15)</f>
        <v>304.14999999999998</v>
      </c>
      <c r="F1191">
        <f t="shared" ca="1" si="149"/>
        <v>8.1725616291532834E-3</v>
      </c>
      <c r="G1191">
        <f t="shared" ca="1" si="150"/>
        <v>1.2481701209646388E-2</v>
      </c>
      <c r="H1191">
        <f t="shared" ca="1" si="151"/>
        <v>5.8590748424774634E-3</v>
      </c>
      <c r="I1191">
        <f t="shared" ca="1" si="152"/>
        <v>1.2348555452003659E-2</v>
      </c>
      <c r="O1191">
        <f t="shared" ca="1" si="153"/>
        <v>1.8000956861494264</v>
      </c>
      <c r="P1191">
        <f t="shared" ca="1" si="154"/>
        <v>2.0041177367698655</v>
      </c>
      <c r="Q1191">
        <f t="shared" ca="1" si="155"/>
        <v>2.1848946380137697</v>
      </c>
      <c r="R1191">
        <f t="shared" ca="1" si="156"/>
        <v>2.3464743095201399</v>
      </c>
    </row>
    <row r="1192" spans="1:18" x14ac:dyDescent="0.3">
      <c r="A1192" s="2">
        <f ca="1">IFERROR(__xludf.DUMMYFUNCTION("""COMPUTED_VALUE"""),45957.6666666666)</f>
        <v>45957.666666666599</v>
      </c>
      <c r="B1192" s="1">
        <f ca="1">IFERROR(__xludf.DUMMYFUNCTION("""COMPUTED_VALUE"""),685.24)</f>
        <v>685.24</v>
      </c>
      <c r="C1192" s="1">
        <f ca="1">IFERROR(__xludf.DUMMYFUNCTION("""COMPUTED_VALUE"""),268.81)</f>
        <v>268.81</v>
      </c>
      <c r="D1192" s="1">
        <f ca="1">IFERROR(__xludf.DUMMYFUNCTION("""COMPUTED_VALUE"""),531.52)</f>
        <v>531.52</v>
      </c>
      <c r="E1192" s="1">
        <f ca="1">IFERROR(__xludf.DUMMYFUNCTION("""COMPUTED_VALUE"""),305.36)</f>
        <v>305.36</v>
      </c>
      <c r="F1192">
        <f t="shared" ca="1" si="149"/>
        <v>1.1797711332595067E-2</v>
      </c>
      <c r="G1192">
        <f t="shared" ca="1" si="150"/>
        <v>2.2791263982954148E-2</v>
      </c>
      <c r="H1192">
        <f t="shared" ca="1" si="151"/>
        <v>1.5106663356314753E-2</v>
      </c>
      <c r="I1192">
        <f t="shared" ca="1" si="152"/>
        <v>3.9783001808319464E-3</v>
      </c>
      <c r="O1192">
        <f t="shared" ca="1" si="153"/>
        <v>1.821332695425667</v>
      </c>
      <c r="P1192">
        <f t="shared" ca="1" si="154"/>
        <v>2.0497941131615081</v>
      </c>
      <c r="Q1192">
        <f t="shared" ca="1" si="155"/>
        <v>2.2179011057792613</v>
      </c>
      <c r="R1192">
        <f t="shared" ca="1" si="156"/>
        <v>2.3558092886900215</v>
      </c>
    </row>
    <row r="1193" spans="1:18" x14ac:dyDescent="0.3">
      <c r="A1193" s="2">
        <f ca="1">IFERROR(__xludf.DUMMYFUNCTION("""COMPUTED_VALUE"""),45958.6666666666)</f>
        <v>45958.666666666599</v>
      </c>
      <c r="B1193" s="1">
        <f ca="1">IFERROR(__xludf.DUMMYFUNCTION("""COMPUTED_VALUE"""),687.06)</f>
        <v>687.06</v>
      </c>
      <c r="C1193" s="1">
        <f ca="1">IFERROR(__xludf.DUMMYFUNCTION("""COMPUTED_VALUE"""),269)</f>
        <v>269</v>
      </c>
      <c r="D1193" s="1">
        <f ca="1">IFERROR(__xludf.DUMMYFUNCTION("""COMPUTED_VALUE"""),542.07)</f>
        <v>542.07000000000005</v>
      </c>
      <c r="E1193" s="1">
        <f ca="1">IFERROR(__xludf.DUMMYFUNCTION("""COMPUTED_VALUE"""),305.51)</f>
        <v>305.51</v>
      </c>
      <c r="F1193">
        <f t="shared" ca="1" si="149"/>
        <v>2.65600373591725E-3</v>
      </c>
      <c r="G1193">
        <f t="shared" ca="1" si="150"/>
        <v>7.0681894274765718E-4</v>
      </c>
      <c r="H1193">
        <f t="shared" ca="1" si="151"/>
        <v>1.9848735701384838E-2</v>
      </c>
      <c r="I1193">
        <f t="shared" ca="1" si="152"/>
        <v>4.9122347393233321E-4</v>
      </c>
      <c r="O1193">
        <f t="shared" ca="1" si="153"/>
        <v>1.826170161869066</v>
      </c>
      <c r="P1193">
        <f t="shared" ca="1" si="154"/>
        <v>2.0512429464694235</v>
      </c>
      <c r="Q1193">
        <f t="shared" ca="1" si="155"/>
        <v>2.2619236386396828</v>
      </c>
      <c r="R1193">
        <f t="shared" ca="1" si="156"/>
        <v>2.3569665175127339</v>
      </c>
    </row>
    <row r="1194" spans="1:18" x14ac:dyDescent="0.3">
      <c r="A1194" s="2">
        <f ca="1">IFERROR(__xludf.DUMMYFUNCTION("""COMPUTED_VALUE"""),45959.6666666666)</f>
        <v>45959.666666666599</v>
      </c>
      <c r="B1194" s="1">
        <f ca="1">IFERROR(__xludf.DUMMYFUNCTION("""COMPUTED_VALUE"""),687.39)</f>
        <v>687.39</v>
      </c>
      <c r="C1194" s="1">
        <f ca="1">IFERROR(__xludf.DUMMYFUNCTION("""COMPUTED_VALUE"""),269.7)</f>
        <v>269.7</v>
      </c>
      <c r="D1194" s="1">
        <f ca="1">IFERROR(__xludf.DUMMYFUNCTION("""COMPUTED_VALUE"""),541.55)</f>
        <v>541.54999999999995</v>
      </c>
      <c r="E1194" s="1">
        <f ca="1">IFERROR(__xludf.DUMMYFUNCTION("""COMPUTED_VALUE"""),309.44)</f>
        <v>309.44</v>
      </c>
      <c r="F1194">
        <f t="shared" ca="1" si="149"/>
        <v>4.8030739673396932E-4</v>
      </c>
      <c r="G1194">
        <f t="shared" ca="1" si="150"/>
        <v>2.6022304832713332E-3</v>
      </c>
      <c r="H1194">
        <f t="shared" ca="1" si="151"/>
        <v>-9.5928570110888898E-4</v>
      </c>
      <c r="I1194">
        <f t="shared" ca="1" si="152"/>
        <v>1.2863736047919894E-2</v>
      </c>
      <c r="O1194">
        <f t="shared" ca="1" si="153"/>
        <v>1.8270472849055064</v>
      </c>
      <c r="P1194">
        <f t="shared" ca="1" si="154"/>
        <v>2.0565807533933218</v>
      </c>
      <c r="Q1194">
        <f t="shared" ca="1" si="155"/>
        <v>2.2597538076361356</v>
      </c>
      <c r="R1194">
        <f t="shared" ca="1" si="156"/>
        <v>2.3872859126678025</v>
      </c>
    </row>
    <row r="1195" spans="1:18" x14ac:dyDescent="0.3">
      <c r="A1195" s="2">
        <f ca="1">IFERROR(__xludf.DUMMYFUNCTION("""COMPUTED_VALUE"""),45960.6666666666)</f>
        <v>45960.666666666599</v>
      </c>
      <c r="B1195" s="1">
        <f ca="1">IFERROR(__xludf.DUMMYFUNCTION("""COMPUTED_VALUE"""),679.83)</f>
        <v>679.83</v>
      </c>
      <c r="C1195" s="1">
        <f ca="1">IFERROR(__xludf.DUMMYFUNCTION("""COMPUTED_VALUE"""),271.4)</f>
        <v>271.39999999999998</v>
      </c>
      <c r="D1195" s="1">
        <f ca="1">IFERROR(__xludf.DUMMYFUNCTION("""COMPUTED_VALUE"""),525.76)</f>
        <v>525.76</v>
      </c>
      <c r="E1195" s="1">
        <f ca="1">IFERROR(__xludf.DUMMYFUNCTION("""COMPUTED_VALUE"""),311.12)</f>
        <v>311.12</v>
      </c>
      <c r="F1195">
        <f t="shared" ca="1" si="149"/>
        <v>-1.0998123336097333E-2</v>
      </c>
      <c r="G1195">
        <f t="shared" ca="1" si="150"/>
        <v>6.3032999629217233E-3</v>
      </c>
      <c r="H1195">
        <f t="shared" ca="1" si="151"/>
        <v>-2.915704921059914E-2</v>
      </c>
      <c r="I1195">
        <f t="shared" ca="1" si="152"/>
        <v>5.4291623578076745E-3</v>
      </c>
      <c r="O1195">
        <f t="shared" ca="1" si="153"/>
        <v>1.8069531935252339</v>
      </c>
      <c r="P1195">
        <f t="shared" ca="1" si="154"/>
        <v>2.0695439987799316</v>
      </c>
      <c r="Q1195">
        <f t="shared" ca="1" si="155"/>
        <v>2.19386605466305</v>
      </c>
      <c r="R1195">
        <f t="shared" ca="1" si="156"/>
        <v>2.4002468754821833</v>
      </c>
    </row>
    <row r="1196" spans="1:18" x14ac:dyDescent="0.3">
      <c r="A1196" s="2">
        <f ca="1">IFERROR(__xludf.DUMMYFUNCTION("""COMPUTED_VALUE"""),45961.6666666666)</f>
        <v>45961.666666666599</v>
      </c>
      <c r="B1196" s="1">
        <f ca="1">IFERROR(__xludf.DUMMYFUNCTION("""COMPUTED_VALUE"""),682.06)</f>
        <v>682.06</v>
      </c>
      <c r="C1196" s="1">
        <f ca="1">IFERROR(__xludf.DUMMYFUNCTION("""COMPUTED_VALUE"""),270.37)</f>
        <v>270.37</v>
      </c>
      <c r="D1196" s="1">
        <f ca="1">IFERROR(__xludf.DUMMYFUNCTION("""COMPUTED_VALUE"""),517.81)</f>
        <v>517.80999999999995</v>
      </c>
      <c r="E1196" s="1">
        <f ca="1">IFERROR(__xludf.DUMMYFUNCTION("""COMPUTED_VALUE"""),309.35)</f>
        <v>309.35000000000002</v>
      </c>
      <c r="F1196">
        <f t="shared" ca="1" si="149"/>
        <v>3.2802318226614071E-3</v>
      </c>
      <c r="G1196">
        <f t="shared" ca="1" si="150"/>
        <v>-3.7951363301399147E-3</v>
      </c>
      <c r="H1196">
        <f t="shared" ca="1" si="151"/>
        <v>-1.5120967741935571E-2</v>
      </c>
      <c r="I1196">
        <f t="shared" ca="1" si="152"/>
        <v>-5.6891231679094293E-3</v>
      </c>
      <c r="O1196">
        <f t="shared" ca="1" si="153"/>
        <v>1.812880418892695</v>
      </c>
      <c r="P1196">
        <f t="shared" ca="1" si="154"/>
        <v>2.0616897971633388</v>
      </c>
      <c r="Q1196">
        <f t="shared" ca="1" si="155"/>
        <v>2.1606926768203625</v>
      </c>
      <c r="R1196">
        <f t="shared" ca="1" si="156"/>
        <v>2.3865915753741751</v>
      </c>
    </row>
    <row r="1197" spans="1:18" x14ac:dyDescent="0.3">
      <c r="A1197" s="2">
        <f ca="1">IFERROR(__xludf.DUMMYFUNCTION("""COMPUTED_VALUE"""),45964.6666666666)</f>
        <v>45964.666666666599</v>
      </c>
      <c r="B1197" s="1">
        <f ca="1">IFERROR(__xludf.DUMMYFUNCTION("""COMPUTED_VALUE"""),683.34)</f>
        <v>683.34</v>
      </c>
      <c r="C1197" s="1">
        <f ca="1">IFERROR(__xludf.DUMMYFUNCTION("""COMPUTED_VALUE"""),269.05)</f>
        <v>269.05</v>
      </c>
      <c r="D1197" s="1">
        <f ca="1">IFERROR(__xludf.DUMMYFUNCTION("""COMPUTED_VALUE"""),517.03)</f>
        <v>517.03</v>
      </c>
      <c r="E1197" s="1">
        <f ca="1">IFERROR(__xludf.DUMMYFUNCTION("""COMPUTED_VALUE"""),309.25)</f>
        <v>309.25</v>
      </c>
      <c r="F1197">
        <f t="shared" ca="1" si="149"/>
        <v>1.8766677418410205E-3</v>
      </c>
      <c r="G1197">
        <f t="shared" ca="1" si="150"/>
        <v>-4.8821984687650007E-3</v>
      </c>
      <c r="H1197">
        <f t="shared" ca="1" si="151"/>
        <v>-1.5063440258009169E-3</v>
      </c>
      <c r="I1197">
        <f t="shared" ca="1" si="152"/>
        <v>-3.2325844512695243E-4</v>
      </c>
      <c r="O1197">
        <f t="shared" ca="1" si="153"/>
        <v>1.816282593094646</v>
      </c>
      <c r="P1197">
        <f t="shared" ca="1" si="154"/>
        <v>2.0516242183925595</v>
      </c>
      <c r="Q1197">
        <f t="shared" ca="1" si="155"/>
        <v>2.1574379303150422</v>
      </c>
      <c r="R1197">
        <f t="shared" ca="1" si="156"/>
        <v>2.3858200894923667</v>
      </c>
    </row>
    <row r="1198" spans="1:18" x14ac:dyDescent="0.3">
      <c r="A1198" s="2">
        <f ca="1">IFERROR(__xludf.DUMMYFUNCTION("""COMPUTED_VALUE"""),45965.6666666666)</f>
        <v>45965.666666666599</v>
      </c>
      <c r="B1198" s="1">
        <f ca="1">IFERROR(__xludf.DUMMYFUNCTION("""COMPUTED_VALUE"""),675.24)</f>
        <v>675.24</v>
      </c>
      <c r="C1198" s="1">
        <f ca="1">IFERROR(__xludf.DUMMYFUNCTION("""COMPUTED_VALUE"""),270.04)</f>
        <v>270.04000000000002</v>
      </c>
      <c r="D1198" s="1">
        <f ca="1">IFERROR(__xludf.DUMMYFUNCTION("""COMPUTED_VALUE"""),514.33)</f>
        <v>514.33000000000004</v>
      </c>
      <c r="E1198" s="1">
        <f ca="1">IFERROR(__xludf.DUMMYFUNCTION("""COMPUTED_VALUE"""),311.68)</f>
        <v>311.68</v>
      </c>
      <c r="F1198">
        <f t="shared" ca="1" si="149"/>
        <v>-1.1853542892264498E-2</v>
      </c>
      <c r="G1198">
        <f t="shared" ca="1" si="150"/>
        <v>3.6796134547482217E-3</v>
      </c>
      <c r="H1198">
        <f t="shared" ca="1" si="151"/>
        <v>-5.2221341121403628E-3</v>
      </c>
      <c r="I1198">
        <f t="shared" ca="1" si="152"/>
        <v>7.8577202910266996E-3</v>
      </c>
      <c r="O1198">
        <f t="shared" ca="1" si="153"/>
        <v>1.7947532094729253</v>
      </c>
      <c r="P1198">
        <f t="shared" ca="1" si="154"/>
        <v>2.0591734024706443</v>
      </c>
      <c r="Q1198">
        <f t="shared" ca="1" si="155"/>
        <v>2.1461715001043187</v>
      </c>
      <c r="R1198">
        <f t="shared" ca="1" si="156"/>
        <v>2.4045671964203099</v>
      </c>
    </row>
    <row r="1199" spans="1:18" x14ac:dyDescent="0.3">
      <c r="A1199" s="2">
        <f ca="1">IFERROR(__xludf.DUMMYFUNCTION("""COMPUTED_VALUE"""),45966.6666666666)</f>
        <v>45966.666666666599</v>
      </c>
      <c r="B1199" s="1">
        <f ca="1">IFERROR(__xludf.DUMMYFUNCTION("""COMPUTED_VALUE"""),677.58)</f>
        <v>677.58</v>
      </c>
      <c r="C1199" s="1">
        <f ca="1">IFERROR(__xludf.DUMMYFUNCTION("""COMPUTED_VALUE"""),270.14)</f>
        <v>270.14</v>
      </c>
      <c r="D1199" s="1">
        <f ca="1">IFERROR(__xludf.DUMMYFUNCTION("""COMPUTED_VALUE"""),507.16)</f>
        <v>507.16</v>
      </c>
      <c r="E1199" s="1">
        <f ca="1">IFERROR(__xludf.DUMMYFUNCTION("""COMPUTED_VALUE"""),313.42)</f>
        <v>313.42</v>
      </c>
      <c r="F1199">
        <f t="shared" ca="1" si="149"/>
        <v>3.4654345121734966E-3</v>
      </c>
      <c r="G1199">
        <f t="shared" ca="1" si="150"/>
        <v>3.7031550881338278E-4</v>
      </c>
      <c r="H1199">
        <f t="shared" ca="1" si="151"/>
        <v>-1.3940466237629567E-2</v>
      </c>
      <c r="I1199">
        <f t="shared" ca="1" si="152"/>
        <v>5.5826488706365793E-3</v>
      </c>
      <c r="O1199">
        <f t="shared" ca="1" si="153"/>
        <v>1.8009728091858668</v>
      </c>
      <c r="P1199">
        <f t="shared" ca="1" si="154"/>
        <v>2.0599359463169149</v>
      </c>
      <c r="Q1199">
        <f t="shared" ca="1" si="155"/>
        <v>2.1162528687669515</v>
      </c>
      <c r="R1199">
        <f t="shared" ca="1" si="156"/>
        <v>2.4179910507637756</v>
      </c>
    </row>
    <row r="1200" spans="1:18" x14ac:dyDescent="0.3">
      <c r="A1200" s="2">
        <f ca="1">IFERROR(__xludf.DUMMYFUNCTION("""COMPUTED_VALUE"""),45967.6666666666)</f>
        <v>45967.666666666599</v>
      </c>
      <c r="B1200" s="1">
        <f ca="1">IFERROR(__xludf.DUMMYFUNCTION("""COMPUTED_VALUE"""),670.31)</f>
        <v>670.31</v>
      </c>
      <c r="C1200" s="1">
        <f ca="1">IFERROR(__xludf.DUMMYFUNCTION("""COMPUTED_VALUE"""),269.77)</f>
        <v>269.77</v>
      </c>
      <c r="D1200" s="1">
        <f ca="1">IFERROR(__xludf.DUMMYFUNCTION("""COMPUTED_VALUE"""),497.1)</f>
        <v>497.1</v>
      </c>
      <c r="E1200" s="1">
        <f ca="1">IFERROR(__xludf.DUMMYFUNCTION("""COMPUTED_VALUE"""),314.21)</f>
        <v>314.20999999999998</v>
      </c>
      <c r="F1200">
        <f t="shared" ca="1" si="149"/>
        <v>-1.0729360370731272E-2</v>
      </c>
      <c r="G1200">
        <f t="shared" ca="1" si="150"/>
        <v>-1.3696601762049477E-3</v>
      </c>
      <c r="H1200">
        <f t="shared" ca="1" si="151"/>
        <v>-1.9835949207350739E-2</v>
      </c>
      <c r="I1200">
        <f t="shared" ca="1" si="152"/>
        <v>2.5205794142044657E-3</v>
      </c>
      <c r="O1200">
        <f t="shared" ca="1" si="153"/>
        <v>1.7816495228982234</v>
      </c>
      <c r="P1200">
        <f t="shared" ca="1" si="154"/>
        <v>2.0571145340857115</v>
      </c>
      <c r="Q1200">
        <f t="shared" ca="1" si="155"/>
        <v>2.0742749843521797</v>
      </c>
      <c r="R1200">
        <f t="shared" ca="1" si="156"/>
        <v>2.4240857892300616</v>
      </c>
    </row>
    <row r="1201" spans="1:18" x14ac:dyDescent="0.3">
      <c r="A1201" s="2">
        <f ca="1">IFERROR(__xludf.DUMMYFUNCTION("""COMPUTED_VALUE"""),45968.6666666666)</f>
        <v>45968.666666666599</v>
      </c>
      <c r="B1201" s="1">
        <f ca="1">IFERROR(__xludf.DUMMYFUNCTION("""COMPUTED_VALUE"""),670.97)</f>
        <v>670.97</v>
      </c>
      <c r="C1201" s="1">
        <f ca="1">IFERROR(__xludf.DUMMYFUNCTION("""COMPUTED_VALUE"""),268.47)</f>
        <v>268.47000000000003</v>
      </c>
      <c r="D1201" s="1">
        <f ca="1">IFERROR(__xludf.DUMMYFUNCTION("""COMPUTED_VALUE"""),496.82)</f>
        <v>496.82</v>
      </c>
      <c r="E1201" s="1">
        <f ca="1">IFERROR(__xludf.DUMMYFUNCTION("""COMPUTED_VALUE"""),316.89)</f>
        <v>316.89</v>
      </c>
      <c r="F1201">
        <f t="shared" ca="1" si="149"/>
        <v>9.8461905685441348E-4</v>
      </c>
      <c r="G1201">
        <f t="shared" ca="1" si="150"/>
        <v>-4.8189198205877398E-3</v>
      </c>
      <c r="H1201">
        <f t="shared" ca="1" si="151"/>
        <v>-5.6326694830020028E-4</v>
      </c>
      <c r="I1201">
        <f t="shared" ca="1" si="152"/>
        <v>8.5293275198116136E-3</v>
      </c>
      <c r="O1201">
        <f t="shared" ca="1" si="153"/>
        <v>1.7834037689711044</v>
      </c>
      <c r="P1201">
        <f t="shared" ca="1" si="154"/>
        <v>2.0472014640841869</v>
      </c>
      <c r="Q1201">
        <f t="shared" ca="1" si="155"/>
        <v>2.0731066138118082</v>
      </c>
      <c r="R1201">
        <f t="shared" ca="1" si="156"/>
        <v>2.4447616108625256</v>
      </c>
    </row>
    <row r="1202" spans="1:18" x14ac:dyDescent="0.3">
      <c r="A1202" s="2">
        <f ca="1">IFERROR(__xludf.DUMMYFUNCTION("""COMPUTED_VALUE"""),45971.6666666666)</f>
        <v>45971.666666666599</v>
      </c>
      <c r="B1202" s="1">
        <f ca="1">IFERROR(__xludf.DUMMYFUNCTION("""COMPUTED_VALUE"""),681.44)</f>
        <v>681.44</v>
      </c>
      <c r="C1202" s="1">
        <f ca="1">IFERROR(__xludf.DUMMYFUNCTION("""COMPUTED_VALUE"""),269.43)</f>
        <v>269.43</v>
      </c>
      <c r="D1202" s="1">
        <f ca="1">IFERROR(__xludf.DUMMYFUNCTION("""COMPUTED_VALUE"""),506)</f>
        <v>506</v>
      </c>
      <c r="E1202" s="1">
        <f ca="1">IFERROR(__xludf.DUMMYFUNCTION("""COMPUTED_VALUE"""),315.62)</f>
        <v>315.62</v>
      </c>
      <c r="F1202">
        <f t="shared" ca="1" si="149"/>
        <v>1.5604274408691934E-2</v>
      </c>
      <c r="G1202">
        <f t="shared" ca="1" si="150"/>
        <v>3.5758185272096676E-3</v>
      </c>
      <c r="H1202">
        <f t="shared" ca="1" si="151"/>
        <v>1.8477517008171986E-2</v>
      </c>
      <c r="I1202">
        <f t="shared" ca="1" si="152"/>
        <v>-4.007699832749477E-3</v>
      </c>
      <c r="O1202">
        <f t="shared" ca="1" si="153"/>
        <v>1.811232490763625</v>
      </c>
      <c r="P1202">
        <f t="shared" ca="1" si="154"/>
        <v>2.0545218850083899</v>
      </c>
      <c r="Q1202">
        <f t="shared" ca="1" si="155"/>
        <v>2.1114124765282694</v>
      </c>
      <c r="R1202">
        <f t="shared" ca="1" si="156"/>
        <v>2.4349637401635595</v>
      </c>
    </row>
    <row r="1203" spans="1:18" x14ac:dyDescent="0.3">
      <c r="A1203" s="2">
        <f ca="1">IFERROR(__xludf.DUMMYFUNCTION("""COMPUTED_VALUE"""),45972.6666666666)</f>
        <v>45972.666666666599</v>
      </c>
      <c r="B1203" s="1">
        <f ca="1">IFERROR(__xludf.DUMMYFUNCTION("""COMPUTED_VALUE"""),683)</f>
        <v>683</v>
      </c>
      <c r="C1203" s="1">
        <f ca="1">IFERROR(__xludf.DUMMYFUNCTION("""COMPUTED_VALUE"""),275.25)</f>
        <v>275.25</v>
      </c>
      <c r="D1203" s="1">
        <f ca="1">IFERROR(__xludf.DUMMYFUNCTION("""COMPUTED_VALUE"""),508.68)</f>
        <v>508.68</v>
      </c>
      <c r="E1203" s="1">
        <f ca="1">IFERROR(__xludf.DUMMYFUNCTION("""COMPUTED_VALUE"""),320.41)</f>
        <v>320.41000000000003</v>
      </c>
      <c r="F1203">
        <f t="shared" ca="1" si="149"/>
        <v>2.2892697816388023E-3</v>
      </c>
      <c r="G1203">
        <f t="shared" ca="1" si="150"/>
        <v>2.1601158000222668E-2</v>
      </c>
      <c r="H1203">
        <f t="shared" ca="1" si="151"/>
        <v>5.2964426877470487E-3</v>
      </c>
      <c r="I1203">
        <f t="shared" ca="1" si="152"/>
        <v>1.517647804321659E-2</v>
      </c>
      <c r="O1203">
        <f t="shared" ca="1" si="153"/>
        <v>1.8153788905722525</v>
      </c>
      <c r="P1203">
        <f t="shared" ca="1" si="154"/>
        <v>2.0989019368613713</v>
      </c>
      <c r="Q1203">
        <f t="shared" ca="1" si="155"/>
        <v>2.1225954517003953</v>
      </c>
      <c r="R1203">
        <f t="shared" ca="1" si="156"/>
        <v>2.4719179139021805</v>
      </c>
    </row>
    <row r="1204" spans="1:18" x14ac:dyDescent="0.3">
      <c r="A1204" s="2">
        <f ca="1">IFERROR(__xludf.DUMMYFUNCTION("""COMPUTED_VALUE"""),45973.6666666666)</f>
        <v>45973.666666666599</v>
      </c>
      <c r="B1204" s="1">
        <f ca="1">IFERROR(__xludf.DUMMYFUNCTION("""COMPUTED_VALUE"""),683.38)</f>
        <v>683.38</v>
      </c>
      <c r="C1204" s="1">
        <f ca="1">IFERROR(__xludf.DUMMYFUNCTION("""COMPUTED_VALUE"""),273.47)</f>
        <v>273.47000000000003</v>
      </c>
      <c r="D1204" s="1">
        <f ca="1">IFERROR(__xludf.DUMMYFUNCTION("""COMPUTED_VALUE"""),511.14)</f>
        <v>511.14</v>
      </c>
      <c r="E1204" s="1">
        <f ca="1">IFERROR(__xludf.DUMMYFUNCTION("""COMPUTED_VALUE"""),309.48)</f>
        <v>309.48</v>
      </c>
      <c r="F1204">
        <f t="shared" ca="1" si="149"/>
        <v>5.5636896046851452E-4</v>
      </c>
      <c r="G1204">
        <f t="shared" ca="1" si="150"/>
        <v>-6.4668483197092563E-3</v>
      </c>
      <c r="H1204">
        <f t="shared" ca="1" si="151"/>
        <v>4.8360462373200821E-3</v>
      </c>
      <c r="I1204">
        <f t="shared" ca="1" si="152"/>
        <v>-3.4112543303891907E-2</v>
      </c>
      <c r="O1204">
        <f t="shared" ca="1" si="153"/>
        <v>1.816388911038457</v>
      </c>
      <c r="P1204">
        <f t="shared" ca="1" si="154"/>
        <v>2.0853286563977447</v>
      </c>
      <c r="Q1204">
        <f t="shared" ca="1" si="155"/>
        <v>2.1328604214479436</v>
      </c>
      <c r="R1204">
        <f t="shared" ca="1" si="156"/>
        <v>2.3875945070205264</v>
      </c>
    </row>
    <row r="1205" spans="1:18" x14ac:dyDescent="0.3">
      <c r="A1205" s="2">
        <f ca="1">IFERROR(__xludf.DUMMYFUNCTION("""COMPUTED_VALUE"""),45974.6666666666)</f>
        <v>45974.666666666599</v>
      </c>
      <c r="B1205" s="1">
        <f ca="1">IFERROR(__xludf.DUMMYFUNCTION("""COMPUTED_VALUE"""),672.04)</f>
        <v>672.04</v>
      </c>
      <c r="C1205" s="1">
        <f ca="1">IFERROR(__xludf.DUMMYFUNCTION("""COMPUTED_VALUE"""),272.95)</f>
        <v>272.95</v>
      </c>
      <c r="D1205" s="1">
        <f ca="1">IFERROR(__xludf.DUMMYFUNCTION("""COMPUTED_VALUE"""),503.29)</f>
        <v>503.29</v>
      </c>
      <c r="E1205" s="1">
        <f ca="1">IFERROR(__xludf.DUMMYFUNCTION("""COMPUTED_VALUE"""),303.61)</f>
        <v>303.61</v>
      </c>
      <c r="F1205">
        <f t="shared" ca="1" si="149"/>
        <v>-1.659398870321056E-2</v>
      </c>
      <c r="G1205">
        <f t="shared" ca="1" si="150"/>
        <v>-1.9014882802502601E-3</v>
      </c>
      <c r="H1205">
        <f t="shared" ca="1" si="151"/>
        <v>-1.535782760104857E-2</v>
      </c>
      <c r="I1205">
        <f t="shared" ca="1" si="152"/>
        <v>-1.8967299987075106E-2</v>
      </c>
      <c r="O1205">
        <f t="shared" ca="1" si="153"/>
        <v>1.7862477739680478</v>
      </c>
      <c r="P1205">
        <f t="shared" ca="1" si="154"/>
        <v>2.0813634283971343</v>
      </c>
      <c r="Q1205">
        <f t="shared" ca="1" si="155"/>
        <v>2.1001043187982464</v>
      </c>
      <c r="R1205">
        <f t="shared" ca="1" si="156"/>
        <v>2.3423082857583752</v>
      </c>
    </row>
    <row r="1206" spans="1:18" x14ac:dyDescent="0.3">
      <c r="A1206" s="2">
        <f ca="1">IFERROR(__xludf.DUMMYFUNCTION("""COMPUTED_VALUE"""),45975.6666666666)</f>
        <v>45975.666666666599</v>
      </c>
      <c r="B1206" s="1">
        <f ca="1">IFERROR(__xludf.DUMMYFUNCTION("""COMPUTED_VALUE"""),671.93)</f>
        <v>671.93</v>
      </c>
      <c r="C1206" s="1">
        <f ca="1">IFERROR(__xludf.DUMMYFUNCTION("""COMPUTED_VALUE"""),272.41)</f>
        <v>272.41000000000003</v>
      </c>
      <c r="D1206" s="1">
        <f ca="1">IFERROR(__xludf.DUMMYFUNCTION("""COMPUTED_VALUE"""),510.18)</f>
        <v>510.18</v>
      </c>
      <c r="E1206" s="1">
        <f ca="1">IFERROR(__xludf.DUMMYFUNCTION("""COMPUTED_VALUE"""),300.37)</f>
        <v>300.37</v>
      </c>
      <c r="F1206">
        <f t="shared" ca="1" si="149"/>
        <v>-1.6368073328970544E-4</v>
      </c>
      <c r="G1206">
        <f t="shared" ca="1" si="150"/>
        <v>-1.9783843194722977E-3</v>
      </c>
      <c r="H1206">
        <f t="shared" ca="1" si="151"/>
        <v>1.3689920324266299E-2</v>
      </c>
      <c r="I1206">
        <f t="shared" ca="1" si="152"/>
        <v>-1.0671585257402619E-2</v>
      </c>
      <c r="O1206">
        <f t="shared" ca="1" si="153"/>
        <v>1.7859553996225677</v>
      </c>
      <c r="P1206">
        <f t="shared" ca="1" si="154"/>
        <v>2.0772456916272701</v>
      </c>
      <c r="Q1206">
        <f t="shared" ca="1" si="155"/>
        <v>2.1288545795952416</v>
      </c>
      <c r="R1206">
        <f t="shared" ca="1" si="156"/>
        <v>2.3173121431877841</v>
      </c>
    </row>
    <row r="1207" spans="1:18" x14ac:dyDescent="0.3">
      <c r="A1207" s="2">
        <f ca="1">IFERROR(__xludf.DUMMYFUNCTION("""COMPUTED_VALUE"""),45978.6666666666)</f>
        <v>45978.666666666599</v>
      </c>
      <c r="B1207" s="1">
        <f ca="1">IFERROR(__xludf.DUMMYFUNCTION("""COMPUTED_VALUE"""),665.67)</f>
        <v>665.67</v>
      </c>
      <c r="C1207" s="1">
        <f ca="1">IFERROR(__xludf.DUMMYFUNCTION("""COMPUTED_VALUE"""),267.46)</f>
        <v>267.45999999999998</v>
      </c>
      <c r="D1207" s="1">
        <f ca="1">IFERROR(__xludf.DUMMYFUNCTION("""COMPUTED_VALUE"""),507.49)</f>
        <v>507.49</v>
      </c>
      <c r="E1207" s="1">
        <f ca="1">IFERROR(__xludf.DUMMYFUNCTION("""COMPUTED_VALUE"""),299.41)</f>
        <v>299.41000000000003</v>
      </c>
      <c r="F1207">
        <f t="shared" ca="1" si="149"/>
        <v>-9.3164466536692688E-3</v>
      </c>
      <c r="G1207">
        <f t="shared" ca="1" si="150"/>
        <v>-1.8171139091810305E-2</v>
      </c>
      <c r="H1207">
        <f t="shared" ca="1" si="151"/>
        <v>-5.2726488690266133E-3</v>
      </c>
      <c r="I1207">
        <f t="shared" ca="1" si="152"/>
        <v>-3.1960581948928973E-3</v>
      </c>
      <c r="O1207">
        <f t="shared" ca="1" si="153"/>
        <v>1.7693166414161514</v>
      </c>
      <c r="P1207">
        <f t="shared" ca="1" si="154"/>
        <v>2.0394997712368474</v>
      </c>
      <c r="Q1207">
        <f t="shared" ca="1" si="155"/>
        <v>2.1176298769038167</v>
      </c>
      <c r="R1207">
        <f t="shared" ca="1" si="156"/>
        <v>2.3099058787224238</v>
      </c>
    </row>
    <row r="1208" spans="1:18" x14ac:dyDescent="0.3">
      <c r="A1208" s="2">
        <f ca="1">IFERROR(__xludf.DUMMYFUNCTION("""COMPUTED_VALUE"""),45979.6666666666)</f>
        <v>45979.666666666599</v>
      </c>
      <c r="B1208" s="1">
        <f ca="1">IFERROR(__xludf.DUMMYFUNCTION("""COMPUTED_VALUE"""),660.08)</f>
        <v>660.08</v>
      </c>
      <c r="C1208" s="1">
        <f ca="1">IFERROR(__xludf.DUMMYFUNCTION("""COMPUTED_VALUE"""),267.44)</f>
        <v>267.44</v>
      </c>
      <c r="D1208" s="1">
        <f ca="1">IFERROR(__xludf.DUMMYFUNCTION("""COMPUTED_VALUE"""),493.79)</f>
        <v>493.79</v>
      </c>
      <c r="E1208" s="1">
        <f ca="1">IFERROR(__xludf.DUMMYFUNCTION("""COMPUTED_VALUE"""),303.27)</f>
        <v>303.27</v>
      </c>
      <c r="F1208">
        <f t="shared" ca="1" si="149"/>
        <v>-8.3975543437437745E-3</v>
      </c>
      <c r="G1208">
        <f t="shared" ca="1" si="150"/>
        <v>-7.477753682786888E-5</v>
      </c>
      <c r="H1208">
        <f t="shared" ca="1" si="151"/>
        <v>-2.6995605824745292E-2</v>
      </c>
      <c r="I1208">
        <f t="shared" ca="1" si="152"/>
        <v>1.2892020974583201E-2</v>
      </c>
      <c r="O1208">
        <f t="shared" ca="1" si="153"/>
        <v>1.754458708768569</v>
      </c>
      <c r="P1208">
        <f t="shared" ca="1" si="154"/>
        <v>2.0393472624675932</v>
      </c>
      <c r="Q1208">
        <f t="shared" ca="1" si="155"/>
        <v>2.0604631754642173</v>
      </c>
      <c r="R1208">
        <f t="shared" ca="1" si="156"/>
        <v>2.3396852337602265</v>
      </c>
    </row>
    <row r="1209" spans="1:18" x14ac:dyDescent="0.3">
      <c r="A1209" s="2">
        <f ca="1">IFERROR(__xludf.DUMMYFUNCTION("""COMPUTED_VALUE"""),45980.6666666666)</f>
        <v>45980.666666666599</v>
      </c>
      <c r="B1209" s="1">
        <f ca="1">IFERROR(__xludf.DUMMYFUNCTION("""COMPUTED_VALUE"""),662.63)</f>
        <v>662.63</v>
      </c>
      <c r="C1209" s="1">
        <f ca="1">IFERROR(__xludf.DUMMYFUNCTION("""COMPUTED_VALUE"""),268.56)</f>
        <v>268.56</v>
      </c>
      <c r="D1209" s="1">
        <f ca="1">IFERROR(__xludf.DUMMYFUNCTION("""COMPUTED_VALUE"""),487.12)</f>
        <v>487.12</v>
      </c>
      <c r="E1209" s="1">
        <f ca="1">IFERROR(__xludf.DUMMYFUNCTION("""COMPUTED_VALUE"""),298.38)</f>
        <v>298.38</v>
      </c>
      <c r="F1209">
        <f t="shared" ca="1" si="149"/>
        <v>3.8631681008361933E-3</v>
      </c>
      <c r="G1209">
        <f t="shared" ca="1" si="150"/>
        <v>4.1878552198624163E-3</v>
      </c>
      <c r="H1209">
        <f t="shared" ca="1" si="151"/>
        <v>-1.3507766459426104E-2</v>
      </c>
      <c r="I1209">
        <f t="shared" ca="1" si="152"/>
        <v>-1.6124245721634144E-2</v>
      </c>
      <c r="O1209">
        <f t="shared" ca="1" si="153"/>
        <v>1.7612364776865179</v>
      </c>
      <c r="P1209">
        <f t="shared" ca="1" si="154"/>
        <v>2.0478877535458304</v>
      </c>
      <c r="Q1209">
        <f t="shared" ca="1" si="155"/>
        <v>2.0326309200917994</v>
      </c>
      <c r="R1209">
        <f t="shared" ca="1" si="156"/>
        <v>2.3019595741397976</v>
      </c>
    </row>
    <row r="1210" spans="1:18" x14ac:dyDescent="0.3">
      <c r="A1210" s="2">
        <f ca="1">IFERROR(__xludf.DUMMYFUNCTION("""COMPUTED_VALUE"""),45981.6666666666)</f>
        <v>45981.666666666599</v>
      </c>
      <c r="B1210" s="1">
        <f ca="1">IFERROR(__xludf.DUMMYFUNCTION("""COMPUTED_VALUE"""),652.53)</f>
        <v>652.53</v>
      </c>
      <c r="C1210" s="1">
        <f ca="1">IFERROR(__xludf.DUMMYFUNCTION("""COMPUTED_VALUE"""),266.25)</f>
        <v>266.25</v>
      </c>
      <c r="D1210" s="1">
        <f ca="1">IFERROR(__xludf.DUMMYFUNCTION("""COMPUTED_VALUE"""),478.43)</f>
        <v>478.43</v>
      </c>
      <c r="E1210" s="1">
        <f ca="1">IFERROR(__xludf.DUMMYFUNCTION("""COMPUTED_VALUE"""),298.02)</f>
        <v>298.02</v>
      </c>
      <c r="F1210">
        <f t="shared" ca="1" si="149"/>
        <v>-1.5242292078535566E-2</v>
      </c>
      <c r="G1210">
        <f t="shared" ca="1" si="150"/>
        <v>-8.6014298480786497E-3</v>
      </c>
      <c r="H1210">
        <f t="shared" ca="1" si="151"/>
        <v>-1.7839546723599928E-2</v>
      </c>
      <c r="I1210">
        <f t="shared" ca="1" si="152"/>
        <v>-1.2065151819827525E-3</v>
      </c>
      <c r="O1210">
        <f t="shared" ca="1" si="153"/>
        <v>1.7343911968742489</v>
      </c>
      <c r="P1210">
        <f t="shared" ca="1" si="154"/>
        <v>2.0302729906969668</v>
      </c>
      <c r="Q1210">
        <f t="shared" ca="1" si="155"/>
        <v>1.9963697058209879</v>
      </c>
      <c r="R1210">
        <f t="shared" ca="1" si="156"/>
        <v>2.2991822249652873</v>
      </c>
    </row>
    <row r="1211" spans="1:18" x14ac:dyDescent="0.3">
      <c r="A1211" s="2">
        <f ca="1">IFERROR(__xludf.DUMMYFUNCTION("""COMPUTED_VALUE"""),45982.6666666666)</f>
        <v>45982.666666666599</v>
      </c>
      <c r="B1211" s="1">
        <f ca="1">IFERROR(__xludf.DUMMYFUNCTION("""COMPUTED_VALUE"""),659.03)</f>
        <v>659.03</v>
      </c>
      <c r="C1211" s="1">
        <f ca="1">IFERROR(__xludf.DUMMYFUNCTION("""COMPUTED_VALUE"""),271.49)</f>
        <v>271.49</v>
      </c>
      <c r="D1211" s="1">
        <f ca="1">IFERROR(__xludf.DUMMYFUNCTION("""COMPUTED_VALUE"""),472.12)</f>
        <v>472.12</v>
      </c>
      <c r="E1211" s="1">
        <f ca="1">IFERROR(__xludf.DUMMYFUNCTION("""COMPUTED_VALUE"""),298)</f>
        <v>298</v>
      </c>
      <c r="F1211">
        <f t="shared" ca="1" si="149"/>
        <v>9.9612278362680648E-3</v>
      </c>
      <c r="G1211">
        <f t="shared" ca="1" si="150"/>
        <v>1.9680751173708953E-2</v>
      </c>
      <c r="H1211">
        <f t="shared" ca="1" si="151"/>
        <v>-1.3188972263445023E-2</v>
      </c>
      <c r="I1211">
        <f t="shared" ca="1" si="152"/>
        <v>-6.7109589960344314E-5</v>
      </c>
      <c r="O1211">
        <f t="shared" ca="1" si="153"/>
        <v>1.7516678627435307</v>
      </c>
      <c r="P1211">
        <f t="shared" ca="1" si="154"/>
        <v>2.0702302882415755</v>
      </c>
      <c r="Q1211">
        <f t="shared" ca="1" si="155"/>
        <v>1.970039641143333</v>
      </c>
      <c r="R1211">
        <f t="shared" ca="1" si="156"/>
        <v>2.2990279277889258</v>
      </c>
    </row>
    <row r="1212" spans="1:18" x14ac:dyDescent="0.3">
      <c r="A1212" s="2">
        <f ca="1">IFERROR(__xludf.DUMMYFUNCTION("""COMPUTED_VALUE"""),45985.6666666666)</f>
        <v>45985.666666666599</v>
      </c>
      <c r="B1212" s="1">
        <f ca="1">IFERROR(__xludf.DUMMYFUNCTION("""COMPUTED_VALUE"""),668.73)</f>
        <v>668.73</v>
      </c>
      <c r="C1212" s="1">
        <f ca="1">IFERROR(__xludf.DUMMYFUNCTION("""COMPUTED_VALUE"""),275.92)</f>
        <v>275.92</v>
      </c>
      <c r="D1212" s="1">
        <f ca="1">IFERROR(__xludf.DUMMYFUNCTION("""COMPUTED_VALUE"""),474)</f>
        <v>474</v>
      </c>
      <c r="E1212" s="1">
        <f ca="1">IFERROR(__xludf.DUMMYFUNCTION("""COMPUTED_VALUE"""),303)</f>
        <v>303</v>
      </c>
      <c r="F1212">
        <f t="shared" ca="1" si="149"/>
        <v>1.4718601581111703E-2</v>
      </c>
      <c r="G1212">
        <f t="shared" ca="1" si="150"/>
        <v>1.6317359755423796E-2</v>
      </c>
      <c r="H1212">
        <f t="shared" ca="1" si="151"/>
        <v>3.9820384647970761E-3</v>
      </c>
      <c r="I1212">
        <f t="shared" ca="1" si="152"/>
        <v>1.6778523489932886E-2</v>
      </c>
      <c r="O1212">
        <f t="shared" ca="1" si="153"/>
        <v>1.77744996411769</v>
      </c>
      <c r="P1212">
        <f t="shared" ca="1" si="154"/>
        <v>2.1040109806313883</v>
      </c>
      <c r="Q1212">
        <f t="shared" ca="1" si="155"/>
        <v>1.9778844147715406</v>
      </c>
      <c r="R1212">
        <f t="shared" ca="1" si="156"/>
        <v>2.3376022218793442</v>
      </c>
    </row>
    <row r="1213" spans="1:18" x14ac:dyDescent="0.3">
      <c r="A1213" s="2">
        <f ca="1">IFERROR(__xludf.DUMMYFUNCTION("""COMPUTED_VALUE"""),45986.6666666666)</f>
        <v>45986.666666666599</v>
      </c>
      <c r="B1213" s="1">
        <f ca="1">IFERROR(__xludf.DUMMYFUNCTION("""COMPUTED_VALUE"""),675.02)</f>
        <v>675.02</v>
      </c>
      <c r="C1213" s="1">
        <f ca="1">IFERROR(__xludf.DUMMYFUNCTION("""COMPUTED_VALUE"""),276.97)</f>
        <v>276.97000000000003</v>
      </c>
      <c r="D1213" s="1">
        <f ca="1">IFERROR(__xludf.DUMMYFUNCTION("""COMPUTED_VALUE"""),476.99)</f>
        <v>476.99</v>
      </c>
      <c r="E1213" s="1">
        <f ca="1">IFERROR(__xludf.DUMMYFUNCTION("""COMPUTED_VALUE"""),307.64)</f>
        <v>307.64</v>
      </c>
      <c r="F1213">
        <f t="shared" ca="1" si="149"/>
        <v>9.4058887742436616E-3</v>
      </c>
      <c r="G1213">
        <f t="shared" ca="1" si="150"/>
        <v>3.8054508553204236E-3</v>
      </c>
      <c r="H1213">
        <f t="shared" ca="1" si="151"/>
        <v>6.3080168776371501E-3</v>
      </c>
      <c r="I1213">
        <f t="shared" ca="1" si="152"/>
        <v>1.5313531353135269E-2</v>
      </c>
      <c r="O1213">
        <f t="shared" ca="1" si="153"/>
        <v>1.7941684607819643</v>
      </c>
      <c r="P1213">
        <f t="shared" ca="1" si="154"/>
        <v>2.1120176910172357</v>
      </c>
      <c r="Q1213">
        <f t="shared" ca="1" si="155"/>
        <v>1.9903609430419349</v>
      </c>
      <c r="R1213">
        <f t="shared" ca="1" si="156"/>
        <v>2.3733991667952519</v>
      </c>
    </row>
    <row r="1214" spans="1:18" x14ac:dyDescent="0.3">
      <c r="A1214" s="2">
        <f ca="1">IFERROR(__xludf.DUMMYFUNCTION("""COMPUTED_VALUE"""),45987.6666666666)</f>
        <v>45987.666666666599</v>
      </c>
      <c r="B1214" s="1">
        <f ca="1">IFERROR(__xludf.DUMMYFUNCTION("""COMPUTED_VALUE"""),679.68)</f>
        <v>679.68</v>
      </c>
      <c r="C1214" s="1">
        <f ca="1">IFERROR(__xludf.DUMMYFUNCTION("""COMPUTED_VALUE"""),277.55)</f>
        <v>277.55</v>
      </c>
      <c r="D1214" s="1">
        <f ca="1">IFERROR(__xludf.DUMMYFUNCTION("""COMPUTED_VALUE"""),485.5)</f>
        <v>485.5</v>
      </c>
      <c r="E1214" s="1">
        <f ca="1">IFERROR(__xludf.DUMMYFUNCTION("""COMPUTED_VALUE"""),313.08)</f>
        <v>313.08</v>
      </c>
      <c r="F1214">
        <f t="shared" ca="1" si="149"/>
        <v>6.9034991555805281E-3</v>
      </c>
      <c r="G1214">
        <f t="shared" ca="1" si="150"/>
        <v>2.094089612593364E-3</v>
      </c>
      <c r="H1214">
        <f t="shared" ca="1" si="151"/>
        <v>1.7841044885636995E-2</v>
      </c>
      <c r="I1214">
        <f t="shared" ca="1" si="152"/>
        <v>1.768300611103887E-2</v>
      </c>
      <c r="O1214">
        <f t="shared" ca="1" si="153"/>
        <v>1.8065545012359419</v>
      </c>
      <c r="P1214">
        <f t="shared" ca="1" si="154"/>
        <v>2.1164404453256083</v>
      </c>
      <c r="Q1214">
        <f t="shared" ca="1" si="155"/>
        <v>2.0258710619653648</v>
      </c>
      <c r="R1214">
        <f t="shared" ca="1" si="156"/>
        <v>2.4153679987656269</v>
      </c>
    </row>
    <row r="1215" spans="1:18" x14ac:dyDescent="0.3">
      <c r="A1215" s="2">
        <f ca="1">IFERROR(__xludf.DUMMYFUNCTION("""COMPUTED_VALUE"""),45989.5520833333)</f>
        <v>45989.552083333299</v>
      </c>
      <c r="B1215" s="1">
        <f ca="1">IFERROR(__xludf.DUMMYFUNCTION("""COMPUTED_VALUE"""),683.39)</f>
        <v>683.39</v>
      </c>
      <c r="C1215" s="1">
        <f ca="1">IFERROR(__xludf.DUMMYFUNCTION("""COMPUTED_VALUE"""),278.85)</f>
        <v>278.85000000000002</v>
      </c>
      <c r="D1215" s="1">
        <f ca="1">IFERROR(__xludf.DUMMYFUNCTION("""COMPUTED_VALUE"""),492.01)</f>
        <v>492.01</v>
      </c>
      <c r="E1215" s="1">
        <f ca="1">IFERROR(__xludf.DUMMYFUNCTION("""COMPUTED_VALUE"""),308.92)</f>
        <v>308.92</v>
      </c>
      <c r="F1215">
        <f t="shared" ca="1" si="149"/>
        <v>5.4584510357815978E-3</v>
      </c>
      <c r="G1215">
        <f t="shared" ca="1" si="150"/>
        <v>4.6838407494145607E-3</v>
      </c>
      <c r="H1215">
        <f t="shared" ca="1" si="151"/>
        <v>1.3408856848609662E-2</v>
      </c>
      <c r="I1215">
        <f t="shared" ca="1" si="152"/>
        <v>-1.328733869937386E-2</v>
      </c>
      <c r="O1215">
        <f t="shared" ca="1" si="153"/>
        <v>1.816415490524409</v>
      </c>
      <c r="P1215">
        <f t="shared" ca="1" si="154"/>
        <v>2.1263535153271333</v>
      </c>
      <c r="Q1215">
        <f t="shared" ca="1" si="155"/>
        <v>2.0530356770289995</v>
      </c>
      <c r="R1215">
        <f t="shared" ca="1" si="156"/>
        <v>2.3832741860823994</v>
      </c>
    </row>
    <row r="1216" spans="1:18" x14ac:dyDescent="0.3">
      <c r="A1216" s="2">
        <f ca="1">IFERROR(__xludf.DUMMYFUNCTION("""COMPUTED_VALUE"""),45992.6666666666)</f>
        <v>45992.666666666599</v>
      </c>
      <c r="B1216" s="1">
        <f ca="1">IFERROR(__xludf.DUMMYFUNCTION("""COMPUTED_VALUE"""),680.27)</f>
        <v>680.27</v>
      </c>
      <c r="C1216" s="1">
        <f ca="1">IFERROR(__xludf.DUMMYFUNCTION("""COMPUTED_VALUE"""),283.1)</f>
        <v>283.10000000000002</v>
      </c>
      <c r="D1216" s="1">
        <f ca="1">IFERROR(__xludf.DUMMYFUNCTION("""COMPUTED_VALUE"""),486.74)</f>
        <v>486.74</v>
      </c>
      <c r="E1216" s="1">
        <f ca="1">IFERROR(__xludf.DUMMYFUNCTION("""COMPUTED_VALUE"""),307.88)</f>
        <v>307.88</v>
      </c>
      <c r="F1216">
        <f t="shared" ca="1" si="149"/>
        <v>-4.5654750581659151E-3</v>
      </c>
      <c r="G1216">
        <f t="shared" ca="1" si="150"/>
        <v>1.5241169087322932E-2</v>
      </c>
      <c r="H1216">
        <f t="shared" ca="1" si="151"/>
        <v>-1.0711164407227459E-2</v>
      </c>
      <c r="I1216">
        <f t="shared" ca="1" si="152"/>
        <v>-3.3665673960896684E-3</v>
      </c>
      <c r="O1216">
        <f t="shared" ca="1" si="153"/>
        <v>1.8081226909071535</v>
      </c>
      <c r="P1216">
        <f t="shared" ca="1" si="154"/>
        <v>2.1587616287936577</v>
      </c>
      <c r="Q1216">
        <f t="shared" ca="1" si="155"/>
        <v>2.0310452743584384</v>
      </c>
      <c r="R1216">
        <f t="shared" ca="1" si="156"/>
        <v>2.3752507329115922</v>
      </c>
    </row>
    <row r="1217" spans="1:18" x14ac:dyDescent="0.3">
      <c r="A1217" s="2">
        <f ca="1">IFERROR(__xludf.DUMMYFUNCTION("""COMPUTED_VALUE"""),45993.6666666666)</f>
        <v>45993.666666666599</v>
      </c>
      <c r="B1217" s="1">
        <f ca="1">IFERROR(__xludf.DUMMYFUNCTION("""COMPUTED_VALUE"""),681.53)</f>
        <v>681.53</v>
      </c>
      <c r="C1217" s="1">
        <f ca="1">IFERROR(__xludf.DUMMYFUNCTION("""COMPUTED_VALUE"""),286.19)</f>
        <v>286.19</v>
      </c>
      <c r="D1217" s="1">
        <f ca="1">IFERROR(__xludf.DUMMYFUNCTION("""COMPUTED_VALUE"""),490)</f>
        <v>490</v>
      </c>
      <c r="E1217" s="1">
        <f ca="1">IFERROR(__xludf.DUMMYFUNCTION("""COMPUTED_VALUE"""),312.13)</f>
        <v>312.13</v>
      </c>
      <c r="F1217">
        <f t="shared" ca="1" si="149"/>
        <v>1.8522057418377863E-3</v>
      </c>
      <c r="G1217">
        <f t="shared" ca="1" si="150"/>
        <v>1.0914871070293094E-2</v>
      </c>
      <c r="H1217">
        <f t="shared" ca="1" si="151"/>
        <v>6.6976209064387371E-3</v>
      </c>
      <c r="I1217">
        <f t="shared" ca="1" si="152"/>
        <v>1.3804079511497987E-2</v>
      </c>
      <c r="O1217">
        <f t="shared" ca="1" si="153"/>
        <v>1.8114717061371988</v>
      </c>
      <c r="P1217">
        <f t="shared" ca="1" si="154"/>
        <v>2.1823242336434365</v>
      </c>
      <c r="Q1217">
        <f t="shared" ca="1" si="155"/>
        <v>2.044648445649905</v>
      </c>
      <c r="R1217">
        <f t="shared" ca="1" si="156"/>
        <v>2.4080388828884476</v>
      </c>
    </row>
    <row r="1218" spans="1:18" x14ac:dyDescent="0.3">
      <c r="A1218" s="2">
        <f ca="1">IFERROR(__xludf.DUMMYFUNCTION("""COMPUTED_VALUE"""),45994.6666666666)</f>
        <v>45994.666666666599</v>
      </c>
      <c r="B1218" s="1">
        <f ca="1">IFERROR(__xludf.DUMMYFUNCTION("""COMPUTED_VALUE"""),683.89)</f>
        <v>683.89</v>
      </c>
      <c r="C1218" s="1">
        <f ca="1">IFERROR(__xludf.DUMMYFUNCTION("""COMPUTED_VALUE"""),284.15)</f>
        <v>284.14999999999998</v>
      </c>
      <c r="D1218" s="1">
        <f ca="1">IFERROR(__xludf.DUMMYFUNCTION("""COMPUTED_VALUE"""),477.73)</f>
        <v>477.73</v>
      </c>
      <c r="E1218" s="1">
        <f ca="1">IFERROR(__xludf.DUMMYFUNCTION("""COMPUTED_VALUE"""),316.1)</f>
        <v>316.10000000000002</v>
      </c>
      <c r="F1218">
        <f t="shared" ca="1" si="149"/>
        <v>3.4627969421742459E-3</v>
      </c>
      <c r="G1218">
        <f t="shared" ca="1" si="150"/>
        <v>-7.1281316607848645E-3</v>
      </c>
      <c r="H1218">
        <f t="shared" ca="1" si="151"/>
        <v>-2.5040816326530574E-2</v>
      </c>
      <c r="I1218">
        <f t="shared" ca="1" si="152"/>
        <v>1.2719059366289774E-2</v>
      </c>
      <c r="O1218">
        <f t="shared" ca="1" si="153"/>
        <v>1.817744464822046</v>
      </c>
      <c r="P1218">
        <f t="shared" ca="1" si="154"/>
        <v>2.1667683391795047</v>
      </c>
      <c r="Q1218">
        <f t="shared" ca="1" si="155"/>
        <v>1.9934487794700595</v>
      </c>
      <c r="R1218">
        <f t="shared" ca="1" si="156"/>
        <v>2.4386668723962401</v>
      </c>
    </row>
    <row r="1219" spans="1:18" x14ac:dyDescent="0.3">
      <c r="A1219" s="2">
        <f ca="1">IFERROR(__xludf.DUMMYFUNCTION("""COMPUTED_VALUE"""),45995.6666666666)</f>
        <v>45995.666666666599</v>
      </c>
      <c r="B1219" s="1">
        <f ca="1">IFERROR(__xludf.DUMMYFUNCTION("""COMPUTED_VALUE"""),684.39)</f>
        <v>684.39</v>
      </c>
      <c r="C1219" s="1">
        <f ca="1">IFERROR(__xludf.DUMMYFUNCTION("""COMPUTED_VALUE"""),280.7)</f>
        <v>280.7</v>
      </c>
      <c r="D1219" s="1">
        <f ca="1">IFERROR(__xludf.DUMMYFUNCTION("""COMPUTED_VALUE"""),480.84)</f>
        <v>480.84</v>
      </c>
      <c r="E1219" s="1">
        <f ca="1">IFERROR(__xludf.DUMMYFUNCTION("""COMPUTED_VALUE"""),315.04)</f>
        <v>315.04000000000002</v>
      </c>
      <c r="F1219">
        <f t="shared" ca="1" si="149"/>
        <v>7.311117284943485E-4</v>
      </c>
      <c r="G1219">
        <f t="shared" ca="1" si="150"/>
        <v>-1.2141474573288716E-2</v>
      </c>
      <c r="H1219">
        <f t="shared" ca="1" si="151"/>
        <v>6.5099533209133963E-3</v>
      </c>
      <c r="I1219">
        <f t="shared" ca="1" si="152"/>
        <v>-3.3533691869661571E-3</v>
      </c>
      <c r="O1219">
        <f t="shared" ca="1" si="153"/>
        <v>1.819073439119683</v>
      </c>
      <c r="P1219">
        <f t="shared" ca="1" si="154"/>
        <v>2.1404605764831497</v>
      </c>
      <c r="Q1219">
        <f t="shared" ca="1" si="155"/>
        <v>2.0064260379720413</v>
      </c>
      <c r="R1219">
        <f t="shared" ca="1" si="156"/>
        <v>2.4304891220490714</v>
      </c>
    </row>
    <row r="1220" spans="1:18" x14ac:dyDescent="0.3">
      <c r="A1220" s="2">
        <f ca="1">IFERROR(__xludf.DUMMYFUNCTION("""COMPUTED_VALUE"""),45996.6666666666)</f>
        <v>45996.666666666599</v>
      </c>
      <c r="B1220" s="1">
        <f ca="1">IFERROR(__xludf.DUMMYFUNCTION("""COMPUTED_VALUE"""),685.69)</f>
        <v>685.69</v>
      </c>
      <c r="C1220" s="1">
        <f ca="1">IFERROR(__xludf.DUMMYFUNCTION("""COMPUTED_VALUE"""),278.78)</f>
        <v>278.77999999999997</v>
      </c>
      <c r="D1220" s="1">
        <f ca="1">IFERROR(__xludf.DUMMYFUNCTION("""COMPUTED_VALUE"""),483.16)</f>
        <v>483.16</v>
      </c>
      <c r="E1220" s="1">
        <f ca="1">IFERROR(__xludf.DUMMYFUNCTION("""COMPUTED_VALUE"""),315.21)</f>
        <v>315.20999999999998</v>
      </c>
      <c r="F1220">
        <f t="shared" ref="F1220:F1256" ca="1" si="157">(B1220-B1219)/B1219</f>
        <v>1.8995017460805509E-3</v>
      </c>
      <c r="G1220">
        <f t="shared" ref="G1220:G1256" ca="1" si="158">(C1220-C1219)/C1219</f>
        <v>-6.8400427502672461E-3</v>
      </c>
      <c r="H1220">
        <f t="shared" ref="H1220:H1256" ca="1" si="159">(D1220-D1219)/D1219</f>
        <v>4.8248897762250441E-3</v>
      </c>
      <c r="I1220">
        <f t="shared" ref="I1220:I1256" ca="1" si="160">(E1220-E1219)/E1219</f>
        <v>5.3961401726751858E-4</v>
      </c>
      <c r="O1220">
        <f t="shared" ref="O1220:O1256" ca="1" si="161">O1219*(1+F1220)</f>
        <v>1.8225287722935395</v>
      </c>
      <c r="P1220">
        <f t="shared" ref="P1220:P1256" ca="1" si="162">P1219*(1+G1220)</f>
        <v>2.1258197346347432</v>
      </c>
      <c r="Q1220">
        <f t="shared" ref="Q1220:Q1256" ca="1" si="163">Q1219*(1+H1220)</f>
        <v>2.0161068224494043</v>
      </c>
      <c r="R1220">
        <f t="shared" ref="R1220:R1256" ca="1" si="164">R1219*(1+I1220)</f>
        <v>2.4318006480481453</v>
      </c>
    </row>
    <row r="1221" spans="1:18" x14ac:dyDescent="0.3">
      <c r="A1221" s="2">
        <f ca="1">IFERROR(__xludf.DUMMYFUNCTION("""COMPUTED_VALUE"""),45999.6666666666)</f>
        <v>45999.666666666599</v>
      </c>
      <c r="B1221" s="1">
        <f ca="1">IFERROR(__xludf.DUMMYFUNCTION("""COMPUTED_VALUE"""),683.63)</f>
        <v>683.63</v>
      </c>
      <c r="C1221" s="1">
        <f ca="1">IFERROR(__xludf.DUMMYFUNCTION("""COMPUTED_VALUE"""),277.89)</f>
        <v>277.89</v>
      </c>
      <c r="D1221" s="1">
        <f ca="1">IFERROR(__xludf.DUMMYFUNCTION("""COMPUTED_VALUE"""),491.02)</f>
        <v>491.02</v>
      </c>
      <c r="E1221" s="1">
        <f ca="1">IFERROR(__xludf.DUMMYFUNCTION("""COMPUTED_VALUE"""),300.51)</f>
        <v>300.51</v>
      </c>
      <c r="F1221">
        <f t="shared" ca="1" si="157"/>
        <v>-3.0042730680045777E-3</v>
      </c>
      <c r="G1221">
        <f t="shared" ca="1" si="158"/>
        <v>-3.1924815266517917E-3</v>
      </c>
      <c r="H1221">
        <f t="shared" ca="1" si="159"/>
        <v>1.6267902972100248E-2</v>
      </c>
      <c r="I1221">
        <f t="shared" ca="1" si="160"/>
        <v>-4.6635576282478317E-2</v>
      </c>
      <c r="O1221">
        <f t="shared" ca="1" si="161"/>
        <v>1.8170533981872745</v>
      </c>
      <c r="P1221">
        <f t="shared" ca="1" si="162"/>
        <v>2.1190330944029299</v>
      </c>
      <c r="Q1221">
        <f t="shared" ca="1" si="163"/>
        <v>2.0489046526184005</v>
      </c>
      <c r="R1221">
        <f t="shared" ca="1" si="164"/>
        <v>2.318392223422316</v>
      </c>
    </row>
    <row r="1222" spans="1:18" x14ac:dyDescent="0.3">
      <c r="A1222" s="2">
        <f ca="1">IFERROR(__xludf.DUMMYFUNCTION("""COMPUTED_VALUE"""),46000.6666666666)</f>
        <v>46000.666666666599</v>
      </c>
      <c r="B1222" s="1">
        <f ca="1">IFERROR(__xludf.DUMMYFUNCTION("""COMPUTED_VALUE"""),683.04)</f>
        <v>683.04</v>
      </c>
      <c r="C1222" s="1">
        <f ca="1">IFERROR(__xludf.DUMMYFUNCTION("""COMPUTED_VALUE"""),277.18)</f>
        <v>277.18</v>
      </c>
      <c r="D1222" s="1">
        <f ca="1">IFERROR(__xludf.DUMMYFUNCTION("""COMPUTED_VALUE"""),492.02)</f>
        <v>492.02</v>
      </c>
      <c r="E1222" s="1">
        <f ca="1">IFERROR(__xludf.DUMMYFUNCTION("""COMPUTED_VALUE"""),310.11)</f>
        <v>310.11</v>
      </c>
      <c r="F1222">
        <f t="shared" ca="1" si="157"/>
        <v>-8.6303994851020562E-4</v>
      </c>
      <c r="G1222">
        <f t="shared" ca="1" si="158"/>
        <v>-2.5549677930115497E-3</v>
      </c>
      <c r="H1222">
        <f t="shared" ca="1" si="159"/>
        <v>2.0365769215103255E-3</v>
      </c>
      <c r="I1222">
        <f t="shared" ca="1" si="160"/>
        <v>3.1945692323050889E-2</v>
      </c>
      <c r="O1222">
        <f t="shared" ca="1" si="161"/>
        <v>1.8154852085160627</v>
      </c>
      <c r="P1222">
        <f t="shared" ca="1" si="162"/>
        <v>2.1136190330944049</v>
      </c>
      <c r="Q1222">
        <f t="shared" ca="1" si="163"/>
        <v>2.053077404548298</v>
      </c>
      <c r="R1222">
        <f t="shared" ca="1" si="164"/>
        <v>2.392454868075919</v>
      </c>
    </row>
    <row r="1223" spans="1:18" x14ac:dyDescent="0.3">
      <c r="A1223" s="2">
        <f ca="1">IFERROR(__xludf.DUMMYFUNCTION("""COMPUTED_VALUE"""),46001.6666666666)</f>
        <v>46001.666666666599</v>
      </c>
      <c r="B1223" s="1">
        <f ca="1">IFERROR(__xludf.DUMMYFUNCTION("""COMPUTED_VALUE"""),687.57)</f>
        <v>687.57</v>
      </c>
      <c r="C1223" s="1">
        <f ca="1">IFERROR(__xludf.DUMMYFUNCTION("""COMPUTED_VALUE"""),278.78)</f>
        <v>278.77999999999997</v>
      </c>
      <c r="D1223" s="1">
        <f ca="1">IFERROR(__xludf.DUMMYFUNCTION("""COMPUTED_VALUE"""),478.56)</f>
        <v>478.56</v>
      </c>
      <c r="E1223" s="1">
        <f ca="1">IFERROR(__xludf.DUMMYFUNCTION("""COMPUTED_VALUE"""),317.38)</f>
        <v>317.38</v>
      </c>
      <c r="F1223">
        <f t="shared" ca="1" si="157"/>
        <v>6.6321152494730716E-3</v>
      </c>
      <c r="G1223">
        <f t="shared" ca="1" si="158"/>
        <v>5.7724222526876609E-3</v>
      </c>
      <c r="H1223">
        <f t="shared" ca="1" si="159"/>
        <v>-2.7356611519856876E-2</v>
      </c>
      <c r="I1223">
        <f t="shared" ca="1" si="160"/>
        <v>2.3443294314920451E-2</v>
      </c>
      <c r="O1223">
        <f t="shared" ca="1" si="161"/>
        <v>1.8275257156526548</v>
      </c>
      <c r="P1223">
        <f t="shared" ca="1" si="162"/>
        <v>2.1258197346347432</v>
      </c>
      <c r="Q1223">
        <f t="shared" ca="1" si="163"/>
        <v>1.9969121635718741</v>
      </c>
      <c r="R1223">
        <f t="shared" ca="1" si="164"/>
        <v>2.4485418916833872</v>
      </c>
    </row>
    <row r="1224" spans="1:18" x14ac:dyDescent="0.3">
      <c r="A1224" s="2">
        <f ca="1">IFERROR(__xludf.DUMMYFUNCTION("""COMPUTED_VALUE"""),46002.6666666666)</f>
        <v>46002.666666666599</v>
      </c>
      <c r="B1224" s="1">
        <f ca="1">IFERROR(__xludf.DUMMYFUNCTION("""COMPUTED_VALUE"""),689.17)</f>
        <v>689.17</v>
      </c>
      <c r="C1224" s="1">
        <f ca="1">IFERROR(__xludf.DUMMYFUNCTION("""COMPUTED_VALUE"""),278.03)</f>
        <v>278.02999999999997</v>
      </c>
      <c r="D1224" s="1">
        <f ca="1">IFERROR(__xludf.DUMMYFUNCTION("""COMPUTED_VALUE"""),483.47)</f>
        <v>483.47</v>
      </c>
      <c r="E1224" s="1">
        <f ca="1">IFERROR(__xludf.DUMMYFUNCTION("""COMPUTED_VALUE"""),318.52)</f>
        <v>318.52</v>
      </c>
      <c r="F1224">
        <f t="shared" ca="1" si="157"/>
        <v>2.3270357927191545E-3</v>
      </c>
      <c r="G1224">
        <f t="shared" ca="1" si="158"/>
        <v>-2.6902934213358207E-3</v>
      </c>
      <c r="H1224">
        <f t="shared" ca="1" si="159"/>
        <v>1.0259946506185275E-2</v>
      </c>
      <c r="I1224">
        <f t="shared" ca="1" si="160"/>
        <v>3.5919087529144443E-3</v>
      </c>
      <c r="O1224">
        <f t="shared" ca="1" si="161"/>
        <v>1.8317784334050933</v>
      </c>
      <c r="P1224">
        <f t="shared" ca="1" si="162"/>
        <v>2.1201006557877093</v>
      </c>
      <c r="Q1224">
        <f t="shared" ca="1" si="163"/>
        <v>2.0174003755476719</v>
      </c>
      <c r="R1224">
        <f t="shared" ca="1" si="164"/>
        <v>2.4573368307360024</v>
      </c>
    </row>
    <row r="1225" spans="1:18" x14ac:dyDescent="0.3">
      <c r="A1225" s="2">
        <f ca="1">IFERROR(__xludf.DUMMYFUNCTION("""COMPUTED_VALUE"""),46003.6666666666)</f>
        <v>46003.666666666599</v>
      </c>
      <c r="B1225" s="1">
        <f ca="1">IFERROR(__xludf.DUMMYFUNCTION("""COMPUTED_VALUE"""),681.76)</f>
        <v>681.76</v>
      </c>
      <c r="C1225" s="1">
        <f ca="1">IFERROR(__xludf.DUMMYFUNCTION("""COMPUTED_VALUE"""),278.28)</f>
        <v>278.27999999999997</v>
      </c>
      <c r="D1225" s="1">
        <f ca="1">IFERROR(__xludf.DUMMYFUNCTION("""COMPUTED_VALUE"""),478.53)</f>
        <v>478.53</v>
      </c>
      <c r="E1225" s="1">
        <f ca="1">IFERROR(__xludf.DUMMYFUNCTION("""COMPUTED_VALUE"""),320.02)</f>
        <v>320.02</v>
      </c>
      <c r="F1225">
        <f t="shared" ca="1" si="157"/>
        <v>-1.0752064077078179E-2</v>
      </c>
      <c r="G1225">
        <f t="shared" ca="1" si="158"/>
        <v>8.9918354134445929E-4</v>
      </c>
      <c r="H1225">
        <f t="shared" ca="1" si="159"/>
        <v>-1.0217800484001187E-2</v>
      </c>
      <c r="I1225">
        <f t="shared" ca="1" si="160"/>
        <v>4.7092804219515264E-3</v>
      </c>
      <c r="O1225">
        <f t="shared" ca="1" si="161"/>
        <v>1.8120830343141119</v>
      </c>
      <c r="P1225">
        <f t="shared" ca="1" si="162"/>
        <v>2.1220070154033874</v>
      </c>
      <c r="Q1225">
        <f t="shared" ca="1" si="163"/>
        <v>1.9967869810139767</v>
      </c>
      <c r="R1225">
        <f t="shared" ca="1" si="164"/>
        <v>2.4689091189631278</v>
      </c>
    </row>
    <row r="1226" spans="1:18" x14ac:dyDescent="0.3">
      <c r="A1226" s="2">
        <f ca="1">IFERROR(__xludf.DUMMYFUNCTION("""COMPUTED_VALUE"""),46006.6666666666)</f>
        <v>46006.666666666599</v>
      </c>
      <c r="B1226" s="1">
        <f ca="1">IFERROR(__xludf.DUMMYFUNCTION("""COMPUTED_VALUE"""),680.73)</f>
        <v>680.73</v>
      </c>
      <c r="C1226" s="1">
        <f ca="1">IFERROR(__xludf.DUMMYFUNCTION("""COMPUTED_VALUE"""),274.11)</f>
        <v>274.11</v>
      </c>
      <c r="D1226" s="1">
        <f ca="1">IFERROR(__xludf.DUMMYFUNCTION("""COMPUTED_VALUE"""),474.82)</f>
        <v>474.82</v>
      </c>
      <c r="E1226" s="1">
        <f ca="1">IFERROR(__xludf.DUMMYFUNCTION("""COMPUTED_VALUE"""),315.55)</f>
        <v>315.55</v>
      </c>
      <c r="F1226">
        <f t="shared" ca="1" si="157"/>
        <v>-1.5107955878901267E-3</v>
      </c>
      <c r="G1226">
        <f t="shared" ca="1" si="158"/>
        <v>-1.498490728762383E-2</v>
      </c>
      <c r="H1226">
        <f t="shared" ca="1" si="159"/>
        <v>-7.752909953398909E-3</v>
      </c>
      <c r="I1226">
        <f t="shared" ca="1" si="160"/>
        <v>-1.3967877007686928E-2</v>
      </c>
      <c r="O1226">
        <f t="shared" ca="1" si="161"/>
        <v>1.8093453472609795</v>
      </c>
      <c r="P1226">
        <f t="shared" ca="1" si="162"/>
        <v>2.0902089370138803</v>
      </c>
      <c r="Q1226">
        <f t="shared" ca="1" si="163"/>
        <v>1.981306071354056</v>
      </c>
      <c r="R1226">
        <f t="shared" ca="1" si="164"/>
        <v>2.434423700046294</v>
      </c>
    </row>
    <row r="1227" spans="1:18" x14ac:dyDescent="0.3">
      <c r="A1227" s="2">
        <f ca="1">IFERROR(__xludf.DUMMYFUNCTION("""COMPUTED_VALUE"""),46007.6666666666)</f>
        <v>46007.666666666599</v>
      </c>
      <c r="B1227" s="1">
        <f ca="1">IFERROR(__xludf.DUMMYFUNCTION("""COMPUTED_VALUE"""),678.87)</f>
        <v>678.87</v>
      </c>
      <c r="C1227" s="1">
        <f ca="1">IFERROR(__xludf.DUMMYFUNCTION("""COMPUTED_VALUE"""),274.61)</f>
        <v>274.61</v>
      </c>
      <c r="D1227" s="1">
        <f ca="1">IFERROR(__xludf.DUMMYFUNCTION("""COMPUTED_VALUE"""),476.39)</f>
        <v>476.39</v>
      </c>
      <c r="E1227" s="1">
        <f ca="1">IFERROR(__xludf.DUMMYFUNCTION("""COMPUTED_VALUE"""),314.98)</f>
        <v>314.98</v>
      </c>
      <c r="F1227">
        <f t="shared" ca="1" si="157"/>
        <v>-2.7323608479132896E-3</v>
      </c>
      <c r="G1227">
        <f t="shared" ca="1" si="158"/>
        <v>1.8240852212615373E-3</v>
      </c>
      <c r="H1227">
        <f t="shared" ca="1" si="159"/>
        <v>3.306516153489729E-3</v>
      </c>
      <c r="I1227">
        <f t="shared" ca="1" si="160"/>
        <v>-1.8063698304547399E-3</v>
      </c>
      <c r="O1227">
        <f t="shared" ca="1" si="161"/>
        <v>1.8044015628737695</v>
      </c>
      <c r="P1227">
        <f t="shared" ca="1" si="162"/>
        <v>2.0940216562452361</v>
      </c>
      <c r="Q1227">
        <f t="shared" ca="1" si="163"/>
        <v>1.9878572918839956</v>
      </c>
      <c r="R1227">
        <f t="shared" ca="1" si="164"/>
        <v>2.4300262305199865</v>
      </c>
    </row>
    <row r="1228" spans="1:18" x14ac:dyDescent="0.3">
      <c r="A1228" s="2">
        <f ca="1">IFERROR(__xludf.DUMMYFUNCTION("""COMPUTED_VALUE"""),46008.6666666666)</f>
        <v>46008.666666666599</v>
      </c>
      <c r="B1228" s="1">
        <f ca="1">IFERROR(__xludf.DUMMYFUNCTION("""COMPUTED_VALUE"""),671.4)</f>
        <v>671.4</v>
      </c>
      <c r="C1228" s="1">
        <f ca="1">IFERROR(__xludf.DUMMYFUNCTION("""COMPUTED_VALUE"""),271.84)</f>
        <v>271.83999999999997</v>
      </c>
      <c r="D1228" s="1">
        <f ca="1">IFERROR(__xludf.DUMMYFUNCTION("""COMPUTED_VALUE"""),476.12)</f>
        <v>476.12</v>
      </c>
      <c r="E1228" s="1">
        <f ca="1">IFERROR(__xludf.DUMMYFUNCTION("""COMPUTED_VALUE"""),313)</f>
        <v>313</v>
      </c>
      <c r="F1228">
        <f t="shared" ca="1" si="157"/>
        <v>-1.1003579477661448E-2</v>
      </c>
      <c r="G1228">
        <f t="shared" ca="1" si="158"/>
        <v>-1.0087032518845048E-2</v>
      </c>
      <c r="H1228">
        <f t="shared" ca="1" si="159"/>
        <v>-5.6676252650135776E-4</v>
      </c>
      <c r="I1228">
        <f t="shared" ca="1" si="160"/>
        <v>-6.2861134040257099E-3</v>
      </c>
      <c r="O1228">
        <f t="shared" ca="1" si="161"/>
        <v>1.7845466868670716</v>
      </c>
      <c r="P1228">
        <f t="shared" ca="1" si="162"/>
        <v>2.0728991917035247</v>
      </c>
      <c r="Q1228">
        <f t="shared" ca="1" si="163"/>
        <v>1.9867306488629233</v>
      </c>
      <c r="R1228">
        <f t="shared" ca="1" si="164"/>
        <v>2.4147508100601804</v>
      </c>
    </row>
    <row r="1229" spans="1:18" x14ac:dyDescent="0.3">
      <c r="A1229" s="2">
        <f ca="1">IFERROR(__xludf.DUMMYFUNCTION("""COMPUTED_VALUE"""),46009.6666666666)</f>
        <v>46009.666666666599</v>
      </c>
      <c r="B1229" s="1">
        <f ca="1">IFERROR(__xludf.DUMMYFUNCTION("""COMPUTED_VALUE"""),676.47)</f>
        <v>676.47</v>
      </c>
      <c r="C1229" s="1">
        <f ca="1">IFERROR(__xludf.DUMMYFUNCTION("""COMPUTED_VALUE"""),272.19)</f>
        <v>272.19</v>
      </c>
      <c r="D1229" s="1">
        <f ca="1">IFERROR(__xludf.DUMMYFUNCTION("""COMPUTED_VALUE"""),483.98)</f>
        <v>483.98</v>
      </c>
      <c r="E1229" s="1">
        <f ca="1">IFERROR(__xludf.DUMMYFUNCTION("""COMPUTED_VALUE"""),317.21)</f>
        <v>317.20999999999998</v>
      </c>
      <c r="F1229">
        <f t="shared" ca="1" si="157"/>
        <v>7.5513851653262586E-3</v>
      </c>
      <c r="G1229">
        <f t="shared" ca="1" si="158"/>
        <v>1.287522071807029E-3</v>
      </c>
      <c r="H1229">
        <f t="shared" ca="1" si="159"/>
        <v>1.6508443249600969E-2</v>
      </c>
      <c r="I1229">
        <f t="shared" ca="1" si="160"/>
        <v>1.3450479233226773E-2</v>
      </c>
      <c r="O1229">
        <f t="shared" ca="1" si="161"/>
        <v>1.7980224862451115</v>
      </c>
      <c r="P1229">
        <f t="shared" ca="1" si="162"/>
        <v>2.0755680951654738</v>
      </c>
      <c r="Q1229">
        <f t="shared" ca="1" si="163"/>
        <v>2.0195284790319197</v>
      </c>
      <c r="R1229">
        <f t="shared" ca="1" si="164"/>
        <v>2.4472303656843124</v>
      </c>
    </row>
    <row r="1230" spans="1:18" x14ac:dyDescent="0.3">
      <c r="A1230" s="2">
        <f ca="1">IFERROR(__xludf.DUMMYFUNCTION("""COMPUTED_VALUE"""),46010.6666666666)</f>
        <v>46010.666666666599</v>
      </c>
      <c r="B1230" s="1">
        <f ca="1">IFERROR(__xludf.DUMMYFUNCTION("""COMPUTED_VALUE"""),680.59)</f>
        <v>680.59</v>
      </c>
      <c r="C1230" s="1">
        <f ca="1">IFERROR(__xludf.DUMMYFUNCTION("""COMPUTED_VALUE"""),273.67)</f>
        <v>273.67</v>
      </c>
      <c r="D1230" s="1">
        <f ca="1">IFERROR(__xludf.DUMMYFUNCTION("""COMPUTED_VALUE"""),485.92)</f>
        <v>485.92</v>
      </c>
      <c r="E1230" s="1">
        <f ca="1">IFERROR(__xludf.DUMMYFUNCTION("""COMPUTED_VALUE"""),323.09)</f>
        <v>323.08999999999997</v>
      </c>
      <c r="F1230">
        <f t="shared" ca="1" si="157"/>
        <v>6.0904400786435534E-3</v>
      </c>
      <c r="G1230">
        <f t="shared" ca="1" si="158"/>
        <v>5.4373783019215187E-3</v>
      </c>
      <c r="H1230">
        <f t="shared" ca="1" si="159"/>
        <v>4.0084301004173675E-3</v>
      </c>
      <c r="I1230">
        <f t="shared" ca="1" si="160"/>
        <v>1.8536616121812035E-2</v>
      </c>
      <c r="O1230">
        <f t="shared" ca="1" si="161"/>
        <v>1.8089732344576408</v>
      </c>
      <c r="P1230">
        <f t="shared" ca="1" si="162"/>
        <v>2.0868537440902872</v>
      </c>
      <c r="Q1230">
        <f t="shared" ca="1" si="163"/>
        <v>2.0276236177759213</v>
      </c>
      <c r="R1230">
        <f t="shared" ca="1" si="164"/>
        <v>2.4925937355346446</v>
      </c>
    </row>
    <row r="1231" spans="1:18" x14ac:dyDescent="0.3">
      <c r="A1231" s="2">
        <f ca="1">IFERROR(__xludf.DUMMYFUNCTION("""COMPUTED_VALUE"""),46013.6666666666)</f>
        <v>46013.666666666599</v>
      </c>
      <c r="B1231" s="1">
        <f ca="1">IFERROR(__xludf.DUMMYFUNCTION("""COMPUTED_VALUE"""),684.83)</f>
        <v>684.83</v>
      </c>
      <c r="C1231" s="1">
        <f ca="1">IFERROR(__xludf.DUMMYFUNCTION("""COMPUTED_VALUE"""),270.97)</f>
        <v>270.97000000000003</v>
      </c>
      <c r="D1231" s="1">
        <f ca="1">IFERROR(__xludf.DUMMYFUNCTION("""COMPUTED_VALUE"""),484.92)</f>
        <v>484.92</v>
      </c>
      <c r="E1231" s="1">
        <f ca="1">IFERROR(__xludf.DUMMYFUNCTION("""COMPUTED_VALUE"""),325.93)</f>
        <v>325.93</v>
      </c>
      <c r="F1231">
        <f t="shared" ca="1" si="157"/>
        <v>6.229888772976401E-3</v>
      </c>
      <c r="G1231">
        <f t="shared" ca="1" si="158"/>
        <v>-9.8658968831073501E-3</v>
      </c>
      <c r="H1231">
        <f t="shared" ca="1" si="159"/>
        <v>-2.057951926243003E-3</v>
      </c>
      <c r="I1231">
        <f t="shared" ca="1" si="160"/>
        <v>8.7901203998886745E-3</v>
      </c>
      <c r="O1231">
        <f t="shared" ca="1" si="161"/>
        <v>1.8202429365016033</v>
      </c>
      <c r="P1231">
        <f t="shared" ca="1" si="162"/>
        <v>2.066265060240966</v>
      </c>
      <c r="Q1231">
        <f t="shared" ca="1" si="163"/>
        <v>2.0234508658460233</v>
      </c>
      <c r="R1231">
        <f t="shared" ca="1" si="164"/>
        <v>2.514503934578002</v>
      </c>
    </row>
    <row r="1232" spans="1:18" x14ac:dyDescent="0.3">
      <c r="A1232" s="2">
        <f ca="1">IFERROR(__xludf.DUMMYFUNCTION("""COMPUTED_VALUE"""),46014.6666666666)</f>
        <v>46014.666666666599</v>
      </c>
      <c r="B1232" s="1">
        <f ca="1">IFERROR(__xludf.DUMMYFUNCTION("""COMPUTED_VALUE"""),687.96)</f>
        <v>687.96</v>
      </c>
      <c r="C1232" s="1">
        <f ca="1">IFERROR(__xludf.DUMMYFUNCTION("""COMPUTED_VALUE"""),272.36)</f>
        <v>272.36</v>
      </c>
      <c r="D1232" s="1">
        <f ca="1">IFERROR(__xludf.DUMMYFUNCTION("""COMPUTED_VALUE"""),486.85)</f>
        <v>486.85</v>
      </c>
      <c r="E1232" s="1">
        <f ca="1">IFERROR(__xludf.DUMMYFUNCTION("""COMPUTED_VALUE"""),329.17)</f>
        <v>329.17</v>
      </c>
      <c r="F1232">
        <f t="shared" ca="1" si="157"/>
        <v>4.5704773447424836E-3</v>
      </c>
      <c r="G1232">
        <f t="shared" ca="1" si="158"/>
        <v>5.129719157102211E-3</v>
      </c>
      <c r="H1232">
        <f t="shared" ca="1" si="159"/>
        <v>3.9800379444032141E-3</v>
      </c>
      <c r="I1232">
        <f t="shared" ca="1" si="160"/>
        <v>9.9407848310987292E-3</v>
      </c>
      <c r="O1232">
        <f t="shared" ca="1" si="161"/>
        <v>1.8285623156048116</v>
      </c>
      <c r="P1232">
        <f t="shared" ca="1" si="162"/>
        <v>2.076864419704135</v>
      </c>
      <c r="Q1232">
        <f t="shared" ca="1" si="163"/>
        <v>2.0315042770707263</v>
      </c>
      <c r="R1232">
        <f t="shared" ca="1" si="164"/>
        <v>2.5395000771485932</v>
      </c>
    </row>
    <row r="1233" spans="1:18" x14ac:dyDescent="0.3">
      <c r="A1233" s="2">
        <f ca="1">IFERROR(__xludf.DUMMYFUNCTION("""COMPUTED_VALUE"""),46015.5416666666)</f>
        <v>46015.541666666599</v>
      </c>
      <c r="B1233" s="1">
        <f ca="1">IFERROR(__xludf.DUMMYFUNCTION("""COMPUTED_VALUE"""),690.38)</f>
        <v>690.38</v>
      </c>
      <c r="C1233" s="1">
        <f ca="1">IFERROR(__xludf.DUMMYFUNCTION("""COMPUTED_VALUE"""),273.81)</f>
        <v>273.81</v>
      </c>
      <c r="D1233" s="1">
        <f ca="1">IFERROR(__xludf.DUMMYFUNCTION("""COMPUTED_VALUE"""),488.02)</f>
        <v>488.02</v>
      </c>
      <c r="E1233" s="1">
        <f ca="1">IFERROR(__xludf.DUMMYFUNCTION("""COMPUTED_VALUE"""),327.91)</f>
        <v>327.91</v>
      </c>
      <c r="F1233">
        <f t="shared" ca="1" si="157"/>
        <v>3.5176463747891721E-3</v>
      </c>
      <c r="G1233">
        <f t="shared" ca="1" si="158"/>
        <v>5.323836099280322E-3</v>
      </c>
      <c r="H1233">
        <f t="shared" ca="1" si="159"/>
        <v>2.4032042723630665E-3</v>
      </c>
      <c r="I1233">
        <f t="shared" ca="1" si="160"/>
        <v>-3.8278093386395809E-3</v>
      </c>
      <c r="O1233">
        <f t="shared" ca="1" si="161"/>
        <v>1.8349945512053751</v>
      </c>
      <c r="P1233">
        <f t="shared" ca="1" si="162"/>
        <v>2.0879213054750667</v>
      </c>
      <c r="Q1233">
        <f t="shared" ca="1" si="163"/>
        <v>2.0363863968287061</v>
      </c>
      <c r="R1233">
        <f t="shared" ca="1" si="164"/>
        <v>2.529779355037808</v>
      </c>
    </row>
    <row r="1234" spans="1:18" x14ac:dyDescent="0.3">
      <c r="A1234" s="2">
        <f ca="1">IFERROR(__xludf.DUMMYFUNCTION("""COMPUTED_VALUE"""),46017.6666666666)</f>
        <v>46017.666666666599</v>
      </c>
      <c r="B1234" s="1">
        <f ca="1">IFERROR(__xludf.DUMMYFUNCTION("""COMPUTED_VALUE"""),690.31)</f>
        <v>690.31</v>
      </c>
      <c r="C1234" s="1">
        <f ca="1">IFERROR(__xludf.DUMMYFUNCTION("""COMPUTED_VALUE"""),273.4)</f>
        <v>273.39999999999998</v>
      </c>
      <c r="D1234" s="1">
        <f ca="1">IFERROR(__xludf.DUMMYFUNCTION("""COMPUTED_VALUE"""),487.71)</f>
        <v>487.71</v>
      </c>
      <c r="E1234" s="1">
        <f ca="1">IFERROR(__xludf.DUMMYFUNCTION("""COMPUTED_VALUE"""),323.75)</f>
        <v>323.75</v>
      </c>
      <c r="F1234">
        <f t="shared" ca="1" si="157"/>
        <v>-1.013934354993627E-4</v>
      </c>
      <c r="G1234">
        <f t="shared" ca="1" si="158"/>
        <v>-1.4973887001936562E-3</v>
      </c>
      <c r="H1234">
        <f t="shared" ca="1" si="159"/>
        <v>-6.3521986803819982E-4</v>
      </c>
      <c r="I1234">
        <f t="shared" ca="1" si="160"/>
        <v>-1.268640785581417E-2</v>
      </c>
      <c r="O1234">
        <f t="shared" ca="1" si="161"/>
        <v>1.834808494803706</v>
      </c>
      <c r="P1234">
        <f t="shared" ca="1" si="162"/>
        <v>2.0847948757053549</v>
      </c>
      <c r="Q1234">
        <f t="shared" ca="1" si="163"/>
        <v>2.0350928437304381</v>
      </c>
      <c r="R1234">
        <f t="shared" ca="1" si="164"/>
        <v>2.4976855423545796</v>
      </c>
    </row>
    <row r="1235" spans="1:18" x14ac:dyDescent="0.3">
      <c r="A1235" s="2">
        <f ca="1">IFERROR(__xludf.DUMMYFUNCTION("""COMPUTED_VALUE"""),46020.6666666666)</f>
        <v>46020.666666666599</v>
      </c>
      <c r="B1235" s="1">
        <f ca="1">IFERROR(__xludf.DUMMYFUNCTION("""COMPUTED_VALUE"""),687.85)</f>
        <v>687.85</v>
      </c>
      <c r="C1235" s="1">
        <f ca="1">IFERROR(__xludf.DUMMYFUNCTION("""COMPUTED_VALUE"""),273.76)</f>
        <v>273.76</v>
      </c>
      <c r="D1235" s="1">
        <f ca="1">IFERROR(__xludf.DUMMYFUNCTION("""COMPUTED_VALUE"""),487.1)</f>
        <v>487.1</v>
      </c>
      <c r="E1235" s="1">
        <f ca="1">IFERROR(__xludf.DUMMYFUNCTION("""COMPUTED_VALUE"""),323.42)</f>
        <v>323.42</v>
      </c>
      <c r="F1235">
        <f t="shared" ca="1" si="157"/>
        <v>-3.563616346279096E-3</v>
      </c>
      <c r="G1235">
        <f t="shared" ca="1" si="158"/>
        <v>1.3167520117045124E-3</v>
      </c>
      <c r="H1235">
        <f t="shared" ca="1" si="159"/>
        <v>-1.250743269565842E-3</v>
      </c>
      <c r="I1235">
        <f t="shared" ca="1" si="160"/>
        <v>-1.0193050193049702E-3</v>
      </c>
      <c r="O1235">
        <f t="shared" ca="1" si="161"/>
        <v>1.8282699412593317</v>
      </c>
      <c r="P1235">
        <f t="shared" ca="1" si="162"/>
        <v>2.0875400335519312</v>
      </c>
      <c r="Q1235">
        <f t="shared" ca="1" si="163"/>
        <v>2.0325474650532005</v>
      </c>
      <c r="R1235">
        <f t="shared" ca="1" si="164"/>
        <v>2.4951396389446123</v>
      </c>
    </row>
    <row r="1236" spans="1:18" x14ac:dyDescent="0.3">
      <c r="A1236" s="2">
        <f ca="1">IFERROR(__xludf.DUMMYFUNCTION("""COMPUTED_VALUE"""),46021.6666666666)</f>
        <v>46021.666666666599</v>
      </c>
      <c r="B1236" s="1">
        <f ca="1">IFERROR(__xludf.DUMMYFUNCTION("""COMPUTED_VALUE"""),687.01)</f>
        <v>687.01</v>
      </c>
      <c r="C1236" s="1">
        <f ca="1">IFERROR(__xludf.DUMMYFUNCTION("""COMPUTED_VALUE"""),273.08)</f>
        <v>273.08</v>
      </c>
      <c r="D1236" s="1">
        <f ca="1">IFERROR(__xludf.DUMMYFUNCTION("""COMPUTED_VALUE"""),487.48)</f>
        <v>487.48</v>
      </c>
      <c r="E1236" s="1">
        <f ca="1">IFERROR(__xludf.DUMMYFUNCTION("""COMPUTED_VALUE"""),322.22)</f>
        <v>322.22000000000003</v>
      </c>
      <c r="F1236">
        <f t="shared" ca="1" si="157"/>
        <v>-1.2211964817911345E-3</v>
      </c>
      <c r="G1236">
        <f t="shared" ca="1" si="158"/>
        <v>-2.4839275277615679E-3</v>
      </c>
      <c r="H1236">
        <f t="shared" ca="1" si="159"/>
        <v>7.8012728392526267E-4</v>
      </c>
      <c r="I1236">
        <f t="shared" ca="1" si="160"/>
        <v>-3.7103456805392017E-3</v>
      </c>
      <c r="O1236">
        <f t="shared" ca="1" si="161"/>
        <v>1.8260372644393015</v>
      </c>
      <c r="P1236">
        <f t="shared" ca="1" si="162"/>
        <v>2.0823547353972871</v>
      </c>
      <c r="Q1236">
        <f t="shared" ca="1" si="163"/>
        <v>2.0341331107865614</v>
      </c>
      <c r="R1236">
        <f t="shared" ca="1" si="164"/>
        <v>2.4858818083629122</v>
      </c>
    </row>
    <row r="1237" spans="1:18" x14ac:dyDescent="0.3">
      <c r="A1237" s="2">
        <f ca="1">IFERROR(__xludf.DUMMYFUNCTION("""COMPUTED_VALUE"""),46022.6666666666)</f>
        <v>46022.666666666599</v>
      </c>
      <c r="B1237" s="1">
        <f ca="1">IFERROR(__xludf.DUMMYFUNCTION("""COMPUTED_VALUE"""),681.92)</f>
        <v>681.92</v>
      </c>
      <c r="C1237" s="1">
        <f ca="1">IFERROR(__xludf.DUMMYFUNCTION("""COMPUTED_VALUE"""),271.86)</f>
        <v>271.86</v>
      </c>
      <c r="D1237" s="1">
        <f ca="1">IFERROR(__xludf.DUMMYFUNCTION("""COMPUTED_VALUE"""),483.62)</f>
        <v>483.62</v>
      </c>
      <c r="E1237" s="1">
        <f ca="1">IFERROR(__xludf.DUMMYFUNCTION("""COMPUTED_VALUE"""),325.48)</f>
        <v>325.48</v>
      </c>
      <c r="F1237">
        <f t="shared" ca="1" si="157"/>
        <v>-7.4089169007729612E-3</v>
      </c>
      <c r="G1237">
        <f t="shared" ca="1" si="158"/>
        <v>-4.4675552951514959E-3</v>
      </c>
      <c r="H1237">
        <f t="shared" ca="1" si="159"/>
        <v>-7.9182735701977796E-3</v>
      </c>
      <c r="I1237">
        <f t="shared" ca="1" si="160"/>
        <v>1.0117311153869997E-2</v>
      </c>
      <c r="O1237">
        <f t="shared" ca="1" si="161"/>
        <v>1.8125083060893559</v>
      </c>
      <c r="P1237">
        <f t="shared" ca="1" si="162"/>
        <v>2.0730517004727793</v>
      </c>
      <c r="Q1237">
        <f t="shared" ca="1" si="163"/>
        <v>2.0180262883371558</v>
      </c>
      <c r="R1237">
        <f t="shared" ca="1" si="164"/>
        <v>2.5110322481098648</v>
      </c>
    </row>
    <row r="1238" spans="1:18" x14ac:dyDescent="0.3">
      <c r="A1238" s="2">
        <f ca="1">IFERROR(__xludf.DUMMYFUNCTION("""COMPUTED_VALUE"""),46024.6666666666)</f>
        <v>46024.666666666599</v>
      </c>
      <c r="B1238" s="1">
        <f ca="1">IFERROR(__xludf.DUMMYFUNCTION("""COMPUTED_VALUE"""),683.17)</f>
        <v>683.17</v>
      </c>
      <c r="C1238" s="1">
        <f ca="1">IFERROR(__xludf.DUMMYFUNCTION("""COMPUTED_VALUE"""),271.01)</f>
        <v>271.01</v>
      </c>
      <c r="D1238" s="1">
        <f ca="1">IFERROR(__xludf.DUMMYFUNCTION("""COMPUTED_VALUE"""),472.94)</f>
        <v>472.94</v>
      </c>
      <c r="E1238" s="1">
        <f ca="1">IFERROR(__xludf.DUMMYFUNCTION("""COMPUTED_VALUE"""),334.04)</f>
        <v>334.04</v>
      </c>
      <c r="F1238">
        <f t="shared" ca="1" si="157"/>
        <v>1.8330595964335993E-3</v>
      </c>
      <c r="G1238">
        <f t="shared" ca="1" si="158"/>
        <v>-3.1266092841904757E-3</v>
      </c>
      <c r="H1238">
        <f t="shared" ca="1" si="159"/>
        <v>-2.2083453951449498E-2</v>
      </c>
      <c r="I1238">
        <f t="shared" ca="1" si="160"/>
        <v>2.6299619024210401E-2</v>
      </c>
      <c r="O1238">
        <f t="shared" ca="1" si="161"/>
        <v>1.8158307418334485</v>
      </c>
      <c r="P1238">
        <f t="shared" ca="1" si="162"/>
        <v>2.066570077779474</v>
      </c>
      <c r="Q1238">
        <f t="shared" ca="1" si="163"/>
        <v>1.9734612977258477</v>
      </c>
      <c r="R1238">
        <f t="shared" ca="1" si="164"/>
        <v>2.5770714395926611</v>
      </c>
    </row>
    <row r="1239" spans="1:18" x14ac:dyDescent="0.3">
      <c r="A1239" s="2">
        <f ca="1">IFERROR(__xludf.DUMMYFUNCTION("""COMPUTED_VALUE"""),46027.6666666666)</f>
        <v>46027.666666666599</v>
      </c>
      <c r="B1239" s="1">
        <f ca="1">IFERROR(__xludf.DUMMYFUNCTION("""COMPUTED_VALUE"""),687.72)</f>
        <v>687.72</v>
      </c>
      <c r="C1239" s="1">
        <f ca="1">IFERROR(__xludf.DUMMYFUNCTION("""COMPUTED_VALUE"""),267.26)</f>
        <v>267.26</v>
      </c>
      <c r="D1239" s="1">
        <f ca="1">IFERROR(__xludf.DUMMYFUNCTION("""COMPUTED_VALUE"""),472.85)</f>
        <v>472.85</v>
      </c>
      <c r="E1239" s="1">
        <f ca="1">IFERROR(__xludf.DUMMYFUNCTION("""COMPUTED_VALUE"""),334.61)</f>
        <v>334.61</v>
      </c>
      <c r="F1239">
        <f t="shared" ca="1" si="157"/>
        <v>6.6601285185240401E-3</v>
      </c>
      <c r="G1239">
        <f t="shared" ca="1" si="158"/>
        <v>-1.3837127781262684E-2</v>
      </c>
      <c r="H1239">
        <f t="shared" ca="1" si="159"/>
        <v>-1.9029898084318305E-4</v>
      </c>
      <c r="I1239">
        <f t="shared" ca="1" si="160"/>
        <v>1.7063824691653489E-3</v>
      </c>
      <c r="O1239">
        <f t="shared" ca="1" si="161"/>
        <v>1.8279244079419459</v>
      </c>
      <c r="P1239">
        <f t="shared" ca="1" si="162"/>
        <v>2.0379746835443053</v>
      </c>
      <c r="Q1239">
        <f t="shared" ca="1" si="163"/>
        <v>1.9730857500521568</v>
      </c>
      <c r="R1239">
        <f t="shared" ca="1" si="164"/>
        <v>2.5814689091189691</v>
      </c>
    </row>
    <row r="1240" spans="1:18" x14ac:dyDescent="0.3">
      <c r="A1240" s="2">
        <f ca="1">IFERROR(__xludf.DUMMYFUNCTION("""COMPUTED_VALUE"""),46028.6666666666)</f>
        <v>46028.666666666599</v>
      </c>
      <c r="B1240" s="1">
        <f ca="1">IFERROR(__xludf.DUMMYFUNCTION("""COMPUTED_VALUE"""),691.81)</f>
        <v>691.81</v>
      </c>
      <c r="C1240" s="1">
        <f ca="1">IFERROR(__xludf.DUMMYFUNCTION("""COMPUTED_VALUE"""),262.36)</f>
        <v>262.36</v>
      </c>
      <c r="D1240" s="1">
        <f ca="1">IFERROR(__xludf.DUMMYFUNCTION("""COMPUTED_VALUE"""),478.51)</f>
        <v>478.51</v>
      </c>
      <c r="E1240" s="1">
        <f ca="1">IFERROR(__xludf.DUMMYFUNCTION("""COMPUTED_VALUE"""),326.99)</f>
        <v>326.99</v>
      </c>
      <c r="F1240">
        <f t="shared" ca="1" si="157"/>
        <v>5.9471878089919121E-3</v>
      </c>
      <c r="G1240">
        <f t="shared" ca="1" si="158"/>
        <v>-1.8334206390780428E-2</v>
      </c>
      <c r="H1240">
        <f t="shared" ca="1" si="159"/>
        <v>1.1969969334884145E-2</v>
      </c>
      <c r="I1240">
        <f t="shared" ca="1" si="160"/>
        <v>-2.2772780251636246E-2</v>
      </c>
      <c r="O1240">
        <f t="shared" ca="1" si="161"/>
        <v>1.8387954176966168</v>
      </c>
      <c r="P1240">
        <f t="shared" ca="1" si="162"/>
        <v>2.0006100350770186</v>
      </c>
      <c r="Q1240">
        <f t="shared" ca="1" si="163"/>
        <v>1.9967035259753778</v>
      </c>
      <c r="R1240">
        <f t="shared" ca="1" si="164"/>
        <v>2.5226816849251716</v>
      </c>
    </row>
    <row r="1241" spans="1:18" x14ac:dyDescent="0.3">
      <c r="A1241" s="2">
        <f ca="1">IFERROR(__xludf.DUMMYFUNCTION("""COMPUTED_VALUE"""),46029.6666666666)</f>
        <v>46029.666666666599</v>
      </c>
      <c r="B1241" s="1">
        <f ca="1">IFERROR(__xludf.DUMMYFUNCTION("""COMPUTED_VALUE"""),689.58)</f>
        <v>689.58</v>
      </c>
      <c r="C1241" s="1">
        <f ca="1">IFERROR(__xludf.DUMMYFUNCTION("""COMPUTED_VALUE"""),260.33)</f>
        <v>260.33</v>
      </c>
      <c r="D1241" s="1">
        <f ca="1">IFERROR(__xludf.DUMMYFUNCTION("""COMPUTED_VALUE"""),483.47)</f>
        <v>483.47</v>
      </c>
      <c r="E1241" s="1">
        <f ca="1">IFERROR(__xludf.DUMMYFUNCTION("""COMPUTED_VALUE"""),329.79)</f>
        <v>329.79</v>
      </c>
      <c r="F1241">
        <f t="shared" ca="1" si="157"/>
        <v>-3.2234283979704031E-3</v>
      </c>
      <c r="G1241">
        <f t="shared" ca="1" si="158"/>
        <v>-7.7374599786553949E-3</v>
      </c>
      <c r="H1241">
        <f t="shared" ca="1" si="159"/>
        <v>1.0365509602725202E-2</v>
      </c>
      <c r="I1241">
        <f t="shared" ca="1" si="160"/>
        <v>8.5629529955044848E-3</v>
      </c>
      <c r="O1241">
        <f t="shared" ca="1" si="161"/>
        <v>1.8328681923291557</v>
      </c>
      <c r="P1241">
        <f t="shared" ca="1" si="162"/>
        <v>1.9851303949977139</v>
      </c>
      <c r="Q1241">
        <f t="shared" ca="1" si="163"/>
        <v>2.017400375547671</v>
      </c>
      <c r="R1241">
        <f t="shared" ca="1" si="164"/>
        <v>2.5442832896158061</v>
      </c>
    </row>
    <row r="1242" spans="1:18" x14ac:dyDescent="0.3">
      <c r="A1242" s="2">
        <f ca="1">IFERROR(__xludf.DUMMYFUNCTION("""COMPUTED_VALUE"""),46030.6666666666)</f>
        <v>46030.666666666599</v>
      </c>
      <c r="B1242" s="1">
        <f ca="1">IFERROR(__xludf.DUMMYFUNCTION("""COMPUTED_VALUE"""),689.51)</f>
        <v>689.51</v>
      </c>
      <c r="C1242" s="1">
        <f ca="1">IFERROR(__xludf.DUMMYFUNCTION("""COMPUTED_VALUE"""),259.04)</f>
        <v>259.04000000000002</v>
      </c>
      <c r="D1242" s="1">
        <f ca="1">IFERROR(__xludf.DUMMYFUNCTION("""COMPUTED_VALUE"""),478.11)</f>
        <v>478.11</v>
      </c>
      <c r="E1242" s="1">
        <f ca="1">IFERROR(__xludf.DUMMYFUNCTION("""COMPUTED_VALUE"""),329.19)</f>
        <v>329.19</v>
      </c>
      <c r="F1242">
        <f t="shared" ca="1" si="157"/>
        <v>-1.0151106470612549E-4</v>
      </c>
      <c r="G1242">
        <f t="shared" ca="1" si="158"/>
        <v>-4.9552491069026379E-3</v>
      </c>
      <c r="H1242">
        <f t="shared" ca="1" si="159"/>
        <v>-1.1086520363207673E-2</v>
      </c>
      <c r="I1242">
        <f t="shared" ca="1" si="160"/>
        <v>-1.8193395797326259E-3</v>
      </c>
      <c r="O1242">
        <f t="shared" ca="1" si="161"/>
        <v>1.8326821359274863</v>
      </c>
      <c r="P1242">
        <f t="shared" ca="1" si="162"/>
        <v>1.9752935793808164</v>
      </c>
      <c r="Q1242">
        <f t="shared" ca="1" si="163"/>
        <v>1.9950344252034189</v>
      </c>
      <c r="R1242">
        <f t="shared" ca="1" si="164"/>
        <v>2.539654374324956</v>
      </c>
    </row>
    <row r="1243" spans="1:18" x14ac:dyDescent="0.3">
      <c r="A1243" s="2">
        <f ca="1">IFERROR(__xludf.DUMMYFUNCTION("""COMPUTED_VALUE"""),46031.6666666666)</f>
        <v>46031.666666666599</v>
      </c>
      <c r="B1243" s="1">
        <f ca="1">IFERROR(__xludf.DUMMYFUNCTION("""COMPUTED_VALUE"""),694.07)</f>
        <v>694.07</v>
      </c>
      <c r="C1243" s="1">
        <f ca="1">IFERROR(__xludf.DUMMYFUNCTION("""COMPUTED_VALUE"""),259.37)</f>
        <v>259.37</v>
      </c>
      <c r="D1243" s="1">
        <f ca="1">IFERROR(__xludf.DUMMYFUNCTION("""COMPUTED_VALUE"""),479.28)</f>
        <v>479.28</v>
      </c>
      <c r="E1243" s="1">
        <f ca="1">IFERROR(__xludf.DUMMYFUNCTION("""COMPUTED_VALUE"""),324.49)</f>
        <v>324.49</v>
      </c>
      <c r="F1243">
        <f t="shared" ca="1" si="157"/>
        <v>6.6133921190411442E-3</v>
      </c>
      <c r="G1243">
        <f t="shared" ca="1" si="158"/>
        <v>1.273934527486041E-3</v>
      </c>
      <c r="H1243">
        <f t="shared" ca="1" si="159"/>
        <v>2.4471355964107823E-3</v>
      </c>
      <c r="I1243">
        <f t="shared" ca="1" si="160"/>
        <v>-1.4277468938910624E-2</v>
      </c>
      <c r="O1243">
        <f t="shared" ca="1" si="161"/>
        <v>1.8448023815219368</v>
      </c>
      <c r="P1243">
        <f t="shared" ca="1" si="162"/>
        <v>1.9778099740735113</v>
      </c>
      <c r="Q1243">
        <f t="shared" ca="1" si="163"/>
        <v>1.9999165449613991</v>
      </c>
      <c r="R1243">
        <f t="shared" ca="1" si="164"/>
        <v>2.5033945378799629</v>
      </c>
    </row>
    <row r="1244" spans="1:18" x14ac:dyDescent="0.3">
      <c r="A1244" s="2">
        <f ca="1">IFERROR(__xludf.DUMMYFUNCTION("""COMPUTED_VALUE"""),46034.6666666666)</f>
        <v>46034.666666666599</v>
      </c>
      <c r="B1244" s="1">
        <f ca="1">IFERROR(__xludf.DUMMYFUNCTION("""COMPUTED_VALUE"""),695.16)</f>
        <v>695.16</v>
      </c>
      <c r="C1244" s="1">
        <f ca="1">IFERROR(__xludf.DUMMYFUNCTION("""COMPUTED_VALUE"""),260.25)</f>
        <v>260.25</v>
      </c>
      <c r="D1244" s="1">
        <f ca="1">IFERROR(__xludf.DUMMYFUNCTION("""COMPUTED_VALUE"""),477.18)</f>
        <v>477.18</v>
      </c>
      <c r="E1244" s="1">
        <f ca="1">IFERROR(__xludf.DUMMYFUNCTION("""COMPUTED_VALUE"""),310.9)</f>
        <v>310.89999999999998</v>
      </c>
      <c r="F1244">
        <f t="shared" ca="1" si="157"/>
        <v>1.5704467849063034E-3</v>
      </c>
      <c r="G1244">
        <f t="shared" ca="1" si="158"/>
        <v>3.3928364884142168E-3</v>
      </c>
      <c r="H1244">
        <f t="shared" ca="1" si="159"/>
        <v>-4.3815723585377362E-3</v>
      </c>
      <c r="I1244">
        <f t="shared" ca="1" si="160"/>
        <v>-4.1881105735153724E-2</v>
      </c>
      <c r="O1244">
        <f t="shared" ca="1" si="161"/>
        <v>1.8476995454907852</v>
      </c>
      <c r="P1244">
        <f t="shared" ca="1" si="162"/>
        <v>1.9845203599206973</v>
      </c>
      <c r="Q1244">
        <f t="shared" ca="1" si="163"/>
        <v>1.991153765908614</v>
      </c>
      <c r="R1244">
        <f t="shared" ca="1" si="164"/>
        <v>2.3985496065422058</v>
      </c>
    </row>
    <row r="1245" spans="1:18" x14ac:dyDescent="0.3">
      <c r="A1245" s="2">
        <f ca="1">IFERROR(__xludf.DUMMYFUNCTION("""COMPUTED_VALUE"""),46035.6666666666)</f>
        <v>46035.666666666599</v>
      </c>
      <c r="B1245" s="1">
        <f ca="1">IFERROR(__xludf.DUMMYFUNCTION("""COMPUTED_VALUE"""),693.77)</f>
        <v>693.77</v>
      </c>
      <c r="C1245" s="1">
        <f ca="1">IFERROR(__xludf.DUMMYFUNCTION("""COMPUTED_VALUE"""),261.05)</f>
        <v>261.05</v>
      </c>
      <c r="D1245" s="1">
        <f ca="1">IFERROR(__xludf.DUMMYFUNCTION("""COMPUTED_VALUE"""),470.67)</f>
        <v>470.67</v>
      </c>
      <c r="E1245" s="1">
        <f ca="1">IFERROR(__xludf.DUMMYFUNCTION("""COMPUTED_VALUE"""),307.87)</f>
        <v>307.87</v>
      </c>
      <c r="F1245">
        <f t="shared" ca="1" si="157"/>
        <v>-1.9995396743195614E-3</v>
      </c>
      <c r="G1245">
        <f t="shared" ca="1" si="158"/>
        <v>3.0739673390970659E-3</v>
      </c>
      <c r="H1245">
        <f t="shared" ca="1" si="159"/>
        <v>-1.3642650572111134E-2</v>
      </c>
      <c r="I1245">
        <f t="shared" ca="1" si="160"/>
        <v>-9.7458990028947336E-3</v>
      </c>
      <c r="O1245">
        <f t="shared" ca="1" si="161"/>
        <v>1.8440049969433543</v>
      </c>
      <c r="P1245">
        <f t="shared" ca="1" si="162"/>
        <v>1.9906207106908669</v>
      </c>
      <c r="Q1245">
        <f t="shared" ca="1" si="163"/>
        <v>1.9639891508449796</v>
      </c>
      <c r="R1245">
        <f t="shared" ca="1" si="164"/>
        <v>2.3751735843234125</v>
      </c>
    </row>
    <row r="1246" spans="1:18" x14ac:dyDescent="0.3">
      <c r="A1246" s="2">
        <f ca="1">IFERROR(__xludf.DUMMYFUNCTION("""COMPUTED_VALUE"""),46036.6666666666)</f>
        <v>46036.666666666599</v>
      </c>
      <c r="B1246" s="1">
        <f ca="1">IFERROR(__xludf.DUMMYFUNCTION("""COMPUTED_VALUE"""),690.36)</f>
        <v>690.36</v>
      </c>
      <c r="C1246" s="1">
        <f ca="1">IFERROR(__xludf.DUMMYFUNCTION("""COMPUTED_VALUE"""),259.96)</f>
        <v>259.95999999999998</v>
      </c>
      <c r="D1246" s="1">
        <f ca="1">IFERROR(__xludf.DUMMYFUNCTION("""COMPUTED_VALUE"""),459.38)</f>
        <v>459.38</v>
      </c>
      <c r="E1246" s="1">
        <f ca="1">IFERROR(__xludf.DUMMYFUNCTION("""COMPUTED_VALUE"""),309.26)</f>
        <v>309.26</v>
      </c>
      <c r="F1246">
        <f t="shared" ca="1" si="157"/>
        <v>-4.9151736166164126E-3</v>
      </c>
      <c r="G1246">
        <f t="shared" ca="1" si="158"/>
        <v>-4.1754453169892047E-3</v>
      </c>
      <c r="H1246">
        <f t="shared" ca="1" si="159"/>
        <v>-2.3987082244460067E-2</v>
      </c>
      <c r="I1246">
        <f t="shared" ca="1" si="160"/>
        <v>4.5148926494948723E-3</v>
      </c>
      <c r="O1246">
        <f t="shared" ca="1" si="161"/>
        <v>1.8349413922334694</v>
      </c>
      <c r="P1246">
        <f t="shared" ca="1" si="162"/>
        <v>1.982308982766511</v>
      </c>
      <c r="Q1246">
        <f t="shared" ca="1" si="163"/>
        <v>1.9168787815564337</v>
      </c>
      <c r="R1246">
        <f t="shared" ca="1" si="164"/>
        <v>2.3858972380805485</v>
      </c>
    </row>
    <row r="1247" spans="1:18" x14ac:dyDescent="0.3">
      <c r="A1247" s="2">
        <f ca="1">IFERROR(__xludf.DUMMYFUNCTION("""COMPUTED_VALUE"""),46037.6666666666)</f>
        <v>46037.666666666599</v>
      </c>
      <c r="B1247" s="1">
        <f ca="1">IFERROR(__xludf.DUMMYFUNCTION("""COMPUTED_VALUE"""),692.24)</f>
        <v>692.24</v>
      </c>
      <c r="C1247" s="1">
        <f ca="1">IFERROR(__xludf.DUMMYFUNCTION("""COMPUTED_VALUE"""),258.21)</f>
        <v>258.20999999999998</v>
      </c>
      <c r="D1247" s="1">
        <f ca="1">IFERROR(__xludf.DUMMYFUNCTION("""COMPUTED_VALUE"""),456.66)</f>
        <v>456.66</v>
      </c>
      <c r="E1247" s="1">
        <f ca="1">IFERROR(__xludf.DUMMYFUNCTION("""COMPUTED_VALUE"""),312.47)</f>
        <v>312.47000000000003</v>
      </c>
      <c r="F1247">
        <f t="shared" ca="1" si="157"/>
        <v>2.723216872356445E-3</v>
      </c>
      <c r="G1247">
        <f t="shared" ca="1" si="158"/>
        <v>-6.7318048930604711E-3</v>
      </c>
      <c r="H1247">
        <f t="shared" ca="1" si="159"/>
        <v>-5.9210239888544784E-3</v>
      </c>
      <c r="I1247">
        <f t="shared" ca="1" si="160"/>
        <v>1.0379615857207645E-2</v>
      </c>
      <c r="O1247">
        <f t="shared" ca="1" si="161"/>
        <v>1.8399383355925849</v>
      </c>
      <c r="P1247">
        <f t="shared" ca="1" si="162"/>
        <v>1.9689644654567657</v>
      </c>
      <c r="Q1247">
        <f t="shared" ca="1" si="163"/>
        <v>1.9055288963071118</v>
      </c>
      <c r="R1247">
        <f t="shared" ca="1" si="164"/>
        <v>2.4106619348865972</v>
      </c>
    </row>
    <row r="1248" spans="1:18" x14ac:dyDescent="0.3">
      <c r="A1248" s="2">
        <f ca="1">IFERROR(__xludf.DUMMYFUNCTION("""COMPUTED_VALUE"""),46038.6666666666)</f>
        <v>46038.666666666599</v>
      </c>
      <c r="B1248" s="1">
        <f ca="1">IFERROR(__xludf.DUMMYFUNCTION("""COMPUTED_VALUE"""),691.66)</f>
        <v>691.66</v>
      </c>
      <c r="C1248" s="1">
        <f ca="1">IFERROR(__xludf.DUMMYFUNCTION("""COMPUTED_VALUE"""),255.53)</f>
        <v>255.53</v>
      </c>
      <c r="D1248" s="1">
        <f ca="1">IFERROR(__xludf.DUMMYFUNCTION("""COMPUTED_VALUE"""),459.86)</f>
        <v>459.86</v>
      </c>
      <c r="E1248" s="1">
        <f ca="1">IFERROR(__xludf.DUMMYFUNCTION("""COMPUTED_VALUE"""),302.74)</f>
        <v>302.74</v>
      </c>
      <c r="F1248">
        <f t="shared" ca="1" si="157"/>
        <v>-8.3785970183757215E-4</v>
      </c>
      <c r="G1248">
        <f t="shared" ca="1" si="158"/>
        <v>-1.0379148754889348E-2</v>
      </c>
      <c r="H1248">
        <f t="shared" ca="1" si="159"/>
        <v>7.0074015679060754E-3</v>
      </c>
      <c r="I1248">
        <f t="shared" ca="1" si="160"/>
        <v>-3.1138989342976982E-2</v>
      </c>
      <c r="O1248">
        <f t="shared" ca="1" si="161"/>
        <v>1.8383967254073257</v>
      </c>
      <c r="P1248">
        <f t="shared" ca="1" si="162"/>
        <v>1.9485282903766987</v>
      </c>
      <c r="Q1248">
        <f t="shared" ca="1" si="163"/>
        <v>1.9188817024827844</v>
      </c>
      <c r="R1248">
        <f t="shared" ca="1" si="164"/>
        <v>2.3355963585866433</v>
      </c>
    </row>
    <row r="1249" spans="1:18" x14ac:dyDescent="0.3">
      <c r="A1249" s="2">
        <f ca="1">IFERROR(__xludf.DUMMYFUNCTION("""COMPUTED_VALUE"""),46042.6666666666)</f>
        <v>46042.666666666599</v>
      </c>
      <c r="B1249" s="1">
        <f ca="1">IFERROR(__xludf.DUMMYFUNCTION("""COMPUTED_VALUE"""),677.58)</f>
        <v>677.58</v>
      </c>
      <c r="C1249" s="1">
        <f ca="1">IFERROR(__xludf.DUMMYFUNCTION("""COMPUTED_VALUE"""),246.7)</f>
        <v>246.7</v>
      </c>
      <c r="D1249" s="1">
        <f ca="1">IFERROR(__xludf.DUMMYFUNCTION("""COMPUTED_VALUE"""),454.52)</f>
        <v>454.52</v>
      </c>
      <c r="E1249" s="1">
        <f ca="1">IFERROR(__xludf.DUMMYFUNCTION("""COMPUTED_VALUE"""),302.04)</f>
        <v>302.04000000000002</v>
      </c>
      <c r="F1249">
        <f t="shared" ca="1" si="157"/>
        <v>-2.0356822716363427E-2</v>
      </c>
      <c r="G1249">
        <f t="shared" ca="1" si="158"/>
        <v>-3.4555629475991126E-2</v>
      </c>
      <c r="H1249">
        <f t="shared" ca="1" si="159"/>
        <v>-1.1612229809072396E-2</v>
      </c>
      <c r="I1249">
        <f t="shared" ca="1" si="160"/>
        <v>-2.3122151020677434E-3</v>
      </c>
      <c r="O1249">
        <f t="shared" ca="1" si="161"/>
        <v>1.8009728091858657</v>
      </c>
      <c r="P1249">
        <f t="shared" ca="1" si="162"/>
        <v>1.881195668750955</v>
      </c>
      <c r="Q1249">
        <f t="shared" ca="1" si="163"/>
        <v>1.8965992071771303</v>
      </c>
      <c r="R1249">
        <f t="shared" ca="1" si="164"/>
        <v>2.3301959574139848</v>
      </c>
    </row>
    <row r="1250" spans="1:18" x14ac:dyDescent="0.3">
      <c r="A1250" s="2">
        <f ca="1">IFERROR(__xludf.DUMMYFUNCTION("""COMPUTED_VALUE"""),46043.6666666666)</f>
        <v>46043.666666666599</v>
      </c>
      <c r="B1250" s="1">
        <f ca="1">IFERROR(__xludf.DUMMYFUNCTION("""COMPUTED_VALUE"""),685.4)</f>
        <v>685.4</v>
      </c>
      <c r="C1250" s="1">
        <f ca="1">IFERROR(__xludf.DUMMYFUNCTION("""COMPUTED_VALUE"""),247.65)</f>
        <v>247.65</v>
      </c>
      <c r="D1250" s="1">
        <f ca="1">IFERROR(__xludf.DUMMYFUNCTION("""COMPUTED_VALUE"""),444.11)</f>
        <v>444.11</v>
      </c>
      <c r="E1250" s="1">
        <f ca="1">IFERROR(__xludf.DUMMYFUNCTION("""COMPUTED_VALUE"""),303.63)</f>
        <v>303.63</v>
      </c>
      <c r="F1250">
        <f t="shared" ca="1" si="157"/>
        <v>1.154107264086888E-2</v>
      </c>
      <c r="G1250">
        <f t="shared" ca="1" si="158"/>
        <v>3.850830968788071E-3</v>
      </c>
      <c r="H1250">
        <f t="shared" ca="1" si="159"/>
        <v>-2.2903282583824625E-2</v>
      </c>
      <c r="I1250">
        <f t="shared" ca="1" si="160"/>
        <v>5.2642034167659085E-3</v>
      </c>
      <c r="O1250">
        <f t="shared" ca="1" si="161"/>
        <v>1.8217579672009094</v>
      </c>
      <c r="P1250">
        <f t="shared" ca="1" si="162"/>
        <v>1.8884398352905314</v>
      </c>
      <c r="Q1250">
        <f t="shared" ca="1" si="163"/>
        <v>1.8531608595868947</v>
      </c>
      <c r="R1250">
        <f t="shared" ca="1" si="164"/>
        <v>2.3424625829347372</v>
      </c>
    </row>
    <row r="1251" spans="1:18" x14ac:dyDescent="0.3">
      <c r="A1251" s="2">
        <f ca="1">IFERROR(__xludf.DUMMYFUNCTION("""COMPUTED_VALUE"""),46044.6666666666)</f>
        <v>46044.666666666599</v>
      </c>
      <c r="B1251" s="1">
        <f ca="1">IFERROR(__xludf.DUMMYFUNCTION("""COMPUTED_VALUE"""),688.98)</f>
        <v>688.98</v>
      </c>
      <c r="C1251" s="1">
        <f ca="1">IFERROR(__xludf.DUMMYFUNCTION("""COMPUTED_VALUE"""),248.35)</f>
        <v>248.35</v>
      </c>
      <c r="D1251" s="1">
        <f ca="1">IFERROR(__xludf.DUMMYFUNCTION("""COMPUTED_VALUE"""),451.14)</f>
        <v>451.14</v>
      </c>
      <c r="E1251" s="1">
        <f ca="1">IFERROR(__xludf.DUMMYFUNCTION("""COMPUTED_VALUE"""),297.72)</f>
        <v>297.72000000000003</v>
      </c>
      <c r="F1251">
        <f t="shared" ca="1" si="157"/>
        <v>5.2232273125182973E-3</v>
      </c>
      <c r="G1251">
        <f t="shared" ca="1" si="158"/>
        <v>2.826569755703568E-3</v>
      </c>
      <c r="H1251">
        <f t="shared" ca="1" si="159"/>
        <v>1.582941163225321E-2</v>
      </c>
      <c r="I1251">
        <f t="shared" ca="1" si="160"/>
        <v>-1.9464479794486605E-2</v>
      </c>
      <c r="O1251">
        <f t="shared" ca="1" si="161"/>
        <v>1.8312734231719912</v>
      </c>
      <c r="P1251">
        <f t="shared" ca="1" si="162"/>
        <v>1.8937776422144292</v>
      </c>
      <c r="Q1251">
        <f t="shared" ca="1" si="163"/>
        <v>1.8824953056540759</v>
      </c>
      <c r="R1251">
        <f t="shared" ca="1" si="164"/>
        <v>2.296867767319863</v>
      </c>
    </row>
    <row r="1252" spans="1:18" x14ac:dyDescent="0.3">
      <c r="A1252" s="2">
        <f ca="1">IFERROR(__xludf.DUMMYFUNCTION("""COMPUTED_VALUE"""),46045.6666666666)</f>
        <v>46045.666666666599</v>
      </c>
      <c r="B1252" s="1">
        <f ca="1">IFERROR(__xludf.DUMMYFUNCTION("""COMPUTED_VALUE"""),689.23)</f>
        <v>689.23</v>
      </c>
      <c r="C1252" s="1">
        <f ca="1">IFERROR(__xludf.DUMMYFUNCTION("""COMPUTED_VALUE"""),248.04)</f>
        <v>248.04</v>
      </c>
      <c r="D1252" s="1">
        <f ca="1">IFERROR(__xludf.DUMMYFUNCTION("""COMPUTED_VALUE"""),465.95)</f>
        <v>465.95</v>
      </c>
      <c r="E1252" s="1">
        <f ca="1">IFERROR(__xludf.DUMMYFUNCTION("""COMPUTED_VALUE"""),301.04)</f>
        <v>301.04000000000002</v>
      </c>
      <c r="F1252">
        <f t="shared" ca="1" si="157"/>
        <v>3.6285523527533457E-4</v>
      </c>
      <c r="G1252">
        <f t="shared" ca="1" si="158"/>
        <v>-1.2482383732635486E-3</v>
      </c>
      <c r="H1252">
        <f t="shared" ca="1" si="159"/>
        <v>3.2827946978764913E-2</v>
      </c>
      <c r="I1252">
        <f t="shared" ca="1" si="160"/>
        <v>1.1151417439204598E-2</v>
      </c>
      <c r="O1252">
        <f t="shared" ca="1" si="161"/>
        <v>1.8319379103208095</v>
      </c>
      <c r="P1252">
        <f t="shared" ca="1" si="162"/>
        <v>1.8914137562909885</v>
      </c>
      <c r="Q1252">
        <f t="shared" ca="1" si="163"/>
        <v>1.9442937617358618</v>
      </c>
      <c r="R1252">
        <f t="shared" ca="1" si="164"/>
        <v>2.3224810985959006</v>
      </c>
    </row>
    <row r="1253" spans="1:18" x14ac:dyDescent="0.3">
      <c r="A1253" s="2">
        <f ca="1">IFERROR(__xludf.DUMMYFUNCTION("""COMPUTED_VALUE"""),46048.6666666666)</f>
        <v>46048.666666666599</v>
      </c>
      <c r="B1253" s="1">
        <f ca="1">IFERROR(__xludf.DUMMYFUNCTION("""COMPUTED_VALUE"""),692.73)</f>
        <v>692.73</v>
      </c>
      <c r="C1253" s="1">
        <f ca="1">IFERROR(__xludf.DUMMYFUNCTION("""COMPUTED_VALUE"""),255.41)</f>
        <v>255.41</v>
      </c>
      <c r="D1253" s="1">
        <f ca="1">IFERROR(__xludf.DUMMYFUNCTION("""COMPUTED_VALUE"""),470.28)</f>
        <v>470.28</v>
      </c>
      <c r="E1253" s="1">
        <f ca="1">IFERROR(__xludf.DUMMYFUNCTION("""COMPUTED_VALUE"""),300.31)</f>
        <v>300.31</v>
      </c>
      <c r="F1253">
        <f t="shared" ca="1" si="157"/>
        <v>5.0781306675565484E-3</v>
      </c>
      <c r="G1253">
        <f t="shared" ca="1" si="158"/>
        <v>2.97129495242703E-2</v>
      </c>
      <c r="H1253">
        <f t="shared" ca="1" si="159"/>
        <v>9.2928425796758966E-3</v>
      </c>
      <c r="I1253">
        <f t="shared" ca="1" si="160"/>
        <v>-2.42492692001069E-3</v>
      </c>
      <c r="O1253">
        <f t="shared" ca="1" si="161"/>
        <v>1.8412407304042691</v>
      </c>
      <c r="P1253">
        <f t="shared" ca="1" si="162"/>
        <v>1.947613237761173</v>
      </c>
      <c r="Q1253">
        <f t="shared" ca="1" si="163"/>
        <v>1.962361777592319</v>
      </c>
      <c r="R1253">
        <f t="shared" ca="1" si="164"/>
        <v>2.3168492516586991</v>
      </c>
    </row>
    <row r="1254" spans="1:18" x14ac:dyDescent="0.3">
      <c r="A1254" s="2">
        <f ca="1">IFERROR(__xludf.DUMMYFUNCTION("""COMPUTED_VALUE"""),46049.6666666666)</f>
        <v>46049.666666666599</v>
      </c>
      <c r="B1254" s="1">
        <f ca="1">IFERROR(__xludf.DUMMYFUNCTION("""COMPUTED_VALUE"""),695.49)</f>
        <v>695.49</v>
      </c>
      <c r="C1254" s="1">
        <f ca="1">IFERROR(__xludf.DUMMYFUNCTION("""COMPUTED_VALUE"""),258.27)</f>
        <v>258.27</v>
      </c>
      <c r="D1254" s="1">
        <f ca="1">IFERROR(__xludf.DUMMYFUNCTION("""COMPUTED_VALUE"""),480.58)</f>
        <v>480.58</v>
      </c>
      <c r="E1254" s="1">
        <f ca="1">IFERROR(__xludf.DUMMYFUNCTION("""COMPUTED_VALUE"""),300.77)</f>
        <v>300.77</v>
      </c>
      <c r="F1254">
        <f t="shared" ca="1" si="157"/>
        <v>3.9842362825343071E-3</v>
      </c>
      <c r="G1254">
        <f t="shared" ca="1" si="158"/>
        <v>1.1197682158098686E-2</v>
      </c>
      <c r="H1254">
        <f t="shared" ca="1" si="159"/>
        <v>2.1901845708939379E-2</v>
      </c>
      <c r="I1254">
        <f t="shared" ca="1" si="160"/>
        <v>1.5317505244579919E-3</v>
      </c>
      <c r="O1254">
        <f t="shared" ca="1" si="161"/>
        <v>1.848576668527226</v>
      </c>
      <c r="P1254">
        <f t="shared" ca="1" si="162"/>
        <v>1.9694219917645279</v>
      </c>
      <c r="Q1254">
        <f t="shared" ca="1" si="163"/>
        <v>2.005341122470266</v>
      </c>
      <c r="R1254">
        <f t="shared" ca="1" si="164"/>
        <v>2.3203980867150178</v>
      </c>
    </row>
    <row r="1255" spans="1:18" x14ac:dyDescent="0.3">
      <c r="A1255" s="2">
        <f ca="1">IFERROR(__xludf.DUMMYFUNCTION("""COMPUTED_VALUE"""),46050.6666666666)</f>
        <v>46050.666666666599</v>
      </c>
      <c r="B1255" s="1">
        <f ca="1">IFERROR(__xludf.DUMMYFUNCTION("""COMPUTED_VALUE"""),695.42)</f>
        <v>695.42</v>
      </c>
      <c r="C1255" s="1">
        <f ca="1">IFERROR(__xludf.DUMMYFUNCTION("""COMPUTED_VALUE"""),256.44)</f>
        <v>256.44</v>
      </c>
      <c r="D1255" s="1">
        <f ca="1">IFERROR(__xludf.DUMMYFUNCTION("""COMPUTED_VALUE"""),481.63)</f>
        <v>481.63</v>
      </c>
      <c r="E1255" s="1">
        <f ca="1">IFERROR(__xludf.DUMMYFUNCTION("""COMPUTED_VALUE"""),306.42)</f>
        <v>306.42</v>
      </c>
      <c r="F1255">
        <f t="shared" ca="1" si="157"/>
        <v>-1.0064846367316572E-4</v>
      </c>
      <c r="G1255">
        <f t="shared" ca="1" si="158"/>
        <v>-7.0856080845626062E-3</v>
      </c>
      <c r="H1255">
        <f t="shared" ca="1" si="159"/>
        <v>2.1848599608806263E-3</v>
      </c>
      <c r="I1255">
        <f t="shared" ca="1" si="160"/>
        <v>1.8785118196628769E-2</v>
      </c>
      <c r="O1255">
        <f t="shared" ca="1" si="161"/>
        <v>1.8483906121255567</v>
      </c>
      <c r="P1255">
        <f t="shared" ca="1" si="162"/>
        <v>1.9554674393777658</v>
      </c>
      <c r="Q1255">
        <f t="shared" ca="1" si="163"/>
        <v>2.0097225119966589</v>
      </c>
      <c r="R1255">
        <f t="shared" ca="1" si="164"/>
        <v>2.3639870390371907</v>
      </c>
    </row>
    <row r="1256" spans="1:18" x14ac:dyDescent="0.3">
      <c r="A1256" s="2">
        <f ca="1">IFERROR(__xludf.DUMMYFUNCTION("""COMPUTED_VALUE"""),46051.6666666666)</f>
        <v>46051.666666666599</v>
      </c>
      <c r="B1256" s="1">
        <f ca="1">IFERROR(__xludf.DUMMYFUNCTION("""COMPUTED_VALUE"""),694.04)</f>
        <v>694.04</v>
      </c>
      <c r="C1256" s="1">
        <f ca="1">IFERROR(__xludf.DUMMYFUNCTION("""COMPUTED_VALUE"""),258.28)</f>
        <v>258.27999999999997</v>
      </c>
      <c r="D1256" s="1">
        <f ca="1">IFERROR(__xludf.DUMMYFUNCTION("""COMPUTED_VALUE"""),433.5)</f>
        <v>433.5</v>
      </c>
      <c r="F1256">
        <f t="shared" ca="1" si="157"/>
        <v>-1.9844122976043189E-3</v>
      </c>
      <c r="G1256">
        <f t="shared" ca="1" si="158"/>
        <v>7.1751676805489589E-3</v>
      </c>
      <c r="H1256">
        <f t="shared" ca="1" si="159"/>
        <v>-9.9931482673421501E-2</v>
      </c>
      <c r="O1256">
        <f t="shared" ca="1" si="161"/>
        <v>1.8447226430640784</v>
      </c>
      <c r="P1256">
        <f t="shared" ca="1" si="162"/>
        <v>1.9694982461491548</v>
      </c>
      <c r="Q1256">
        <f t="shared" ca="1" si="163"/>
        <v>1.8088879616106797</v>
      </c>
      <c r="R1256">
        <f t="shared" ca="1" si="164"/>
        <v>2.3639870390371907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Gupta</dc:creator>
  <cp:lastModifiedBy>Siddharth Gupta</cp:lastModifiedBy>
  <cp:lastPrinted>2026-02-02T18:57:12Z</cp:lastPrinted>
  <dcterms:created xsi:type="dcterms:W3CDTF">2026-01-30T01:00:36Z</dcterms:created>
  <dcterms:modified xsi:type="dcterms:W3CDTF">2026-02-04T22:16:45Z</dcterms:modified>
</cp:coreProperties>
</file>